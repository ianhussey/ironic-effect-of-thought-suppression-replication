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data/"/>
    </mc:Choice>
  </mc:AlternateContent>
  <xr:revisionPtr revIDLastSave="0" documentId="13_ncr:1_{11F27A42-27F0-BC46-B030-FE24C64DFFDD}" xr6:coauthVersionLast="47" xr6:coauthVersionMax="47" xr10:uidLastSave="{00000000-0000-0000-0000-000000000000}"/>
  <bookViews>
    <workbookView xWindow="0" yWindow="740" windowWidth="27320" windowHeight="1614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<sst xmlns="http://schemas.openxmlformats.org/spreadsheetml/2006/main" count="75" uniqueCount="71">
  <si>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</si>
  <si>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</si>
  <si>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</si>
  <si>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</si>
  <si>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</si>
  <si>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</si>
  <si>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</si>
  <si>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</si>
  <si>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</si>
  <si>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</si>
  <si>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</si>
  <si>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</si>
  <si>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</si>
  <si>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</si>
  <si>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</si>
  <si>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</si>
  <si>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</si>
  <si>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</si>
  <si>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</si>
  <si>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</si>
  <si>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</si>
  <si>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</si>
  <si>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</si>
  <si>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</si>
  <si>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</si>
  <si>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</si>
  <si>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</si>
  <si>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</si>
  <si>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</si>
  <si>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</si>
  <si>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</si>
  <si>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</si>
  <si>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</si>
  <si>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</si>
  <si>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</si>
  <si>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</si>
  <si>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</si>
  <si>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</si>
  <si>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</si>
  <si>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</si>
  <si>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</si>
  <si>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</si>
  <si>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</si>
  <si>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</si>
  <si>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</si>
  <si>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</si>
  <si>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</si>
  <si>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</si>
  <si>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</si>
  <si>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</si>
  <si>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</si>
  <si>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</si>
  <si>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</si>
  <si>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</si>
  <si>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</si>
  <si>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</si>
  <si>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</si>
  <si>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</si>
  <si>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</si>
  <si>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</si>
  <si>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</si>
  <si>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</si>
  <si>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</si>
  <si>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</si>
  <si>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</si>
  <si>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</si>
  <si>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EXCLUDED </t>
  </si>
  <si>
    <t>failed MC</t>
  </si>
  <si>
    <t>failed probe</t>
  </si>
  <si>
    <t>6E</t>
  </si>
  <si>
    <t>13E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</si>
</sst>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8" borderId="0" xfId="0" applyFont="1" applyFill="1"/>
    <xf numFmtId="0" fontId="7" fillId="8" borderId="0" xfId="0" applyFont="1" applyFill="1"/>
    <xf numFmtId="0" fontId="4" fillId="0" borderId="0" xfId="0" applyFont="1"/>
    <xf numFmtId="0" fontId="4" fillId="6" borderId="1" xfId="0" applyFont="1" applyFill="1" applyBorder="1"/>
    <xf numFmtId="0" fontId="7" fillId="6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9" borderId="2" xfId="0" applyFont="1" applyFill="1" applyBorder="1"/>
    <xf numFmtId="0" fontId="7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7" fillId="10" borderId="0" xfId="0" applyFont="1" applyFill="1" applyAlignment="1">
      <alignment horizontal="right"/>
    </xf>
    <xf numFmtId="0" fontId="7" fillId="10" borderId="0" xfId="0" applyFont="1" applyFill="1"/>
    <xf numFmtId="0" fontId="0" fillId="10" borderId="0" xfId="0" applyFill="1"/>
    <xf numFmtId="0" fontId="7" fillId="3" borderId="0" xfId="0" applyFont="1" applyFill="1"/>
    <xf numFmtId="0" fontId="0" fillId="3" borderId="0" xfId="0" applyFill="1"/>
    <xf numFmtId="0" fontId="7" fillId="2" borderId="0" xfId="0" applyFont="1" applyFill="1"/>
    <xf numFmtId="0" fontId="0" fillId="2" borderId="0" xfId="0" applyFill="1"/>
    <xf numFmtId="0" fontId="7" fillId="6" borderId="0" xfId="0" applyFont="1" applyFill="1"/>
    <xf numFmtId="0" fontId="7" fillId="0" borderId="0" xfId="0" applyFont="1"/>
    <xf numFmtId="0" fontId="6" fillId="0" borderId="0" xfId="0" applyFont="1"/>
    <xf numFmtId="0" fontId="0" fillId="10" borderId="5" xfId="0" applyFill="1" applyBorder="1"/>
    <xf numFmtId="0" fontId="7" fillId="10" borderId="5" xfId="0" applyFont="1" applyFill="1" applyBorder="1"/>
    <xf numFmtId="0" fontId="7" fillId="3" borderId="5" xfId="0" applyFont="1" applyFill="1" applyBorder="1"/>
    <xf numFmtId="0" fontId="7" fillId="2" borderId="5" xfId="0" applyFont="1" applyFill="1" applyBorder="1"/>
    <xf numFmtId="0" fontId="0" fillId="10" borderId="10" xfId="0" applyFill="1" applyBorder="1"/>
    <xf numFmtId="0" fontId="7" fillId="10" borderId="10" xfId="0" applyFont="1" applyFill="1" applyBorder="1"/>
    <xf numFmtId="0" fontId="7" fillId="3" borderId="10" xfId="0" applyFont="1" applyFill="1" applyBorder="1"/>
    <xf numFmtId="0" fontId="7" fillId="2" borderId="10" xfId="0" applyFont="1" applyFill="1" applyBorder="1"/>
    <xf numFmtId="0" fontId="7" fillId="4" borderId="5" xfId="0" applyFont="1" applyFill="1" applyBorder="1"/>
    <xf numFmtId="0" fontId="7" fillId="4" borderId="0" xfId="0" applyFont="1" applyFill="1"/>
    <xf numFmtId="0" fontId="7" fillId="4" borderId="10" xfId="0" applyFont="1" applyFill="1" applyBorder="1"/>
    <xf numFmtId="0" fontId="0" fillId="4" borderId="0" xfId="0" applyFill="1"/>
    <xf numFmtId="0" fontId="7" fillId="8" borderId="5" xfId="0" applyFont="1" applyFill="1" applyBorder="1"/>
    <xf numFmtId="0" fontId="7" fillId="8" borderId="10" xfId="0" applyFont="1" applyFill="1" applyBorder="1"/>
    <xf numFmtId="0" fontId="0" fillId="8" borderId="0" xfId="0" applyFill="1"/>
    <xf numFmtId="0" fontId="0" fillId="6" borderId="0" xfId="0" applyFill="1"/>
    <xf numFmtId="0" fontId="7" fillId="5" borderId="5" xfId="0" applyFont="1" applyFill="1" applyBorder="1"/>
    <xf numFmtId="0" fontId="7" fillId="5" borderId="0" xfId="0" applyFont="1" applyFill="1"/>
    <xf numFmtId="0" fontId="7" fillId="5" borderId="10" xfId="0" applyFont="1" applyFill="1" applyBorder="1"/>
    <xf numFmtId="0" fontId="0" fillId="5" borderId="0" xfId="0" applyFill="1"/>
    <xf numFmtId="2" fontId="7" fillId="5" borderId="5" xfId="0" applyNumberFormat="1" applyFont="1" applyFill="1" applyBorder="1"/>
    <xf numFmtId="2" fontId="7" fillId="5" borderId="0" xfId="0" applyNumberFormat="1" applyFont="1" applyFill="1"/>
    <xf numFmtId="2" fontId="7" fillId="5" borderId="10" xfId="0" applyNumberFormat="1" applyFont="1" applyFill="1" applyBorder="1"/>
    <xf numFmtId="2" fontId="7" fillId="3" borderId="5" xfId="0" applyNumberFormat="1" applyFont="1" applyFill="1" applyBorder="1"/>
    <xf numFmtId="2" fontId="7" fillId="3" borderId="0" xfId="0" applyNumberFormat="1" applyFont="1" applyFill="1"/>
    <xf numFmtId="2" fontId="7" fillId="3" borderId="10" xfId="0" applyNumberFormat="1" applyFont="1" applyFill="1" applyBorder="1"/>
    <xf numFmtId="2" fontId="7" fillId="2" borderId="5" xfId="0" applyNumberFormat="1" applyFont="1" applyFill="1" applyBorder="1"/>
    <xf numFmtId="2" fontId="7" fillId="2" borderId="0" xfId="0" applyNumberFormat="1" applyFont="1" applyFill="1"/>
    <xf numFmtId="2" fontId="7" fillId="2" borderId="10" xfId="0" applyNumberFormat="1" applyFont="1" applyFill="1" applyBorder="1"/>
    <xf numFmtId="2" fontId="7" fillId="4" borderId="5" xfId="0" applyNumberFormat="1" applyFont="1" applyFill="1" applyBorder="1"/>
    <xf numFmtId="2" fontId="7" fillId="4" borderId="0" xfId="0" applyNumberFormat="1" applyFont="1" applyFill="1"/>
    <xf numFmtId="2" fontId="7" fillId="4" borderId="10" xfId="0" applyNumberFormat="1" applyFont="1" applyFill="1" applyBorder="1"/>
    <xf numFmtId="0" fontId="2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6" fillId="0" borderId="0" xfId="0" applyFont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"/>
  <sheetViews>
    <sheetView tabSelected="1" zoomScale="112" zoomScaleNormal="90" workbookViewId="0">
      <pane ySplit="1" topLeftCell="A2" activePane="bottomLeft" state="frozen"/>
      <selection pane="bottomLeft" activeCell="F18" sqref="F18"/>
    </sheetView>
  </sheetViews>
  <sheetFormatPr baseColWidth="10" defaultColWidth="8.83203125" defaultRowHeight="15" x14ac:dyDescent="0.2"/>
  <cols>
    <col min="1" max="1" width="61.5" customWidth="1"/>
    <col min="2" max="2" width="11.6640625" customWidth="1"/>
    <col min="3" max="3" width="4.5" customWidth="1"/>
    <col min="4" max="4" width="14.83203125" style="25" customWidth="1"/>
    <col min="5" max="5" width="12.83203125" style="25" customWidth="1"/>
    <col min="6" max="6" width="13.83203125" style="25" customWidth="1"/>
    <col min="7" max="7" width="21.1640625" style="25" customWidth="1"/>
    <col min="8" max="8" width="20.6640625" style="27" customWidth="1"/>
    <col min="9" max="9" width="20.5" style="27" customWidth="1"/>
    <col min="10" max="10" width="21" style="29" customWidth="1"/>
    <col min="11" max="11" width="20.83203125" style="29" customWidth="1"/>
    <col min="12" max="12" width="24" style="47" customWidth="1"/>
    <col min="13" max="13" width="23.6640625" style="47" customWidth="1"/>
    <col min="14" max="14" width="24.6640625" style="52" customWidth="1"/>
    <col min="15" max="15" width="25.33203125" style="52" customWidth="1"/>
    <col min="16" max="16" width="21" style="27" customWidth="1"/>
    <col min="17" max="17" width="20.6640625" style="27" customWidth="1"/>
    <col min="18" max="19" width="21.5" style="29" customWidth="1"/>
    <col min="20" max="20" width="24.5" style="44" customWidth="1"/>
    <col min="21" max="21" width="24.6640625" style="44" customWidth="1"/>
    <col min="22" max="22" width="25.33203125" style="52" customWidth="1"/>
    <col min="23" max="23" width="25.6640625" style="52" customWidth="1"/>
    <col min="24" max="25" width="18.5" style="27" customWidth="1"/>
    <col min="26" max="27" width="19.1640625" style="29" customWidth="1"/>
    <col min="28" max="29" width="22.1640625" style="44" customWidth="1"/>
    <col min="30" max="30" width="22.5" style="52" customWidth="1"/>
    <col min="31" max="31" width="23" style="52" customWidth="1"/>
    <col min="32" max="32" width="18.1640625" style="27" customWidth="1"/>
    <col min="33" max="33" width="18.5" style="29" customWidth="1"/>
    <col min="34" max="34" width="21.33203125" style="44" customWidth="1"/>
    <col min="35" max="35" width="22.1640625" style="52" customWidth="1"/>
    <col min="36" max="36" width="14.33203125" style="47" customWidth="1"/>
    <col min="37" max="37" width="13.5" style="47" customWidth="1"/>
    <col min="38" max="38" width="12.5" style="47" customWidth="1"/>
    <col min="39" max="41" width="9.1640625" style="48"/>
    <col min="42" max="42" width="14.1640625" style="48" customWidth="1"/>
  </cols>
  <sheetData>
    <row r="1" spans="1:42" ht="16" x14ac:dyDescent="0.2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42</v>
      </c>
      <c r="I1" s="4" t="s">
        <v>43</v>
      </c>
      <c r="J1" s="5" t="s">
        <v>44</v>
      </c>
      <c r="K1" s="5" t="s">
        <v>45</v>
      </c>
      <c r="L1" s="8" t="s">
        <v>46</v>
      </c>
      <c r="M1" s="8" t="s">
        <v>47</v>
      </c>
      <c r="N1" s="7" t="s">
        <v>48</v>
      </c>
      <c r="O1" s="7" t="s">
        <v>49</v>
      </c>
      <c r="P1" s="4" t="s">
        <v>50</v>
      </c>
      <c r="Q1" s="4" t="s">
        <v>51</v>
      </c>
      <c r="R1" s="5" t="s">
        <v>52</v>
      </c>
      <c r="S1" s="5" t="s">
        <v>53</v>
      </c>
      <c r="T1" s="6" t="s">
        <v>54</v>
      </c>
      <c r="U1" s="6" t="s">
        <v>55</v>
      </c>
      <c r="V1" s="7" t="s">
        <v>56</v>
      </c>
      <c r="W1" s="7" t="s">
        <v>57</v>
      </c>
      <c r="X1" s="4" t="s">
        <v>59</v>
      </c>
      <c r="Y1" s="4" t="s">
        <v>58</v>
      </c>
      <c r="Z1" s="5" t="s">
        <v>60</v>
      </c>
      <c r="AA1" s="5" t="s">
        <v>61</v>
      </c>
      <c r="AB1" s="6" t="s">
        <v>62</v>
      </c>
      <c r="AC1" s="6" t="s">
        <v>63</v>
      </c>
      <c r="AD1" s="7" t="s">
        <v>64</v>
      </c>
      <c r="AE1" s="7" t="s">
        <v>65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5" t="s">
        <v>27</v>
      </c>
      <c r="AN1" s="65" t="s">
        <v>28</v>
      </c>
      <c r="AO1" s="65" t="s">
        <v>29</v>
      </c>
      <c r="AP1" s="65" t="s">
        <v>39</v>
      </c>
    </row>
    <row r="2" spans="1:42" ht="16" x14ac:dyDescent="0.2">
      <c r="A2" s="12" t="s">
        <v>7</v>
      </c>
      <c r="B2" s="31"/>
      <c r="C2" s="72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1</v>
      </c>
      <c r="AN2" s="66">
        <v>30</v>
      </c>
      <c r="AO2" s="66">
        <v>1</v>
      </c>
      <c r="AP2" s="67">
        <v>1</v>
      </c>
    </row>
    <row r="3" spans="1:42" ht="16" x14ac:dyDescent="0.2">
      <c r="A3" s="12" t="s">
        <v>10</v>
      </c>
      <c r="B3" s="31"/>
      <c r="C3" s="73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5" si="0">AVERAGE(X3:Y3)</f>
        <v>0.5</v>
      </c>
      <c r="AG3" s="60">
        <f t="shared" ref="AG3:AG5" si="1">AVERAGE(Z3:AA3)</f>
        <v>0</v>
      </c>
      <c r="AH3" s="63">
        <f t="shared" ref="AH3:AH5" si="2">AVERAGE(AB3:AC3)</f>
        <v>0.5</v>
      </c>
      <c r="AI3" s="54">
        <f t="shared" ref="AI3:AI5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8">
        <v>1</v>
      </c>
    </row>
    <row r="4" spans="1:42" ht="16" x14ac:dyDescent="0.2">
      <c r="A4" s="12" t="s">
        <v>12</v>
      </c>
      <c r="B4" s="31"/>
      <c r="C4" s="73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60">
        <f t="shared" si="1"/>
        <v>0</v>
      </c>
      <c r="AH4" s="63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8">
        <v>1</v>
      </c>
    </row>
    <row r="5" spans="1:42" ht="16" x14ac:dyDescent="0.2">
      <c r="A5" s="12" t="s">
        <v>13</v>
      </c>
      <c r="B5" s="31"/>
      <c r="C5" s="74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 t="shared" si="0"/>
        <v>0</v>
      </c>
      <c r="AG5" s="61">
        <f t="shared" si="1"/>
        <v>1</v>
      </c>
      <c r="AH5" s="64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69">
        <v>2</v>
      </c>
      <c r="AN5" s="69">
        <v>21</v>
      </c>
      <c r="AO5" s="69">
        <v>2</v>
      </c>
      <c r="AP5" s="70">
        <v>1</v>
      </c>
    </row>
    <row r="6" spans="1:42" ht="15.75" customHeight="1" x14ac:dyDescent="0.2">
      <c r="A6" s="13" t="s">
        <v>14</v>
      </c>
      <c r="B6" t="s">
        <v>67</v>
      </c>
      <c r="D6" s="25" t="s">
        <v>69</v>
      </c>
      <c r="E6" s="25">
        <v>2</v>
      </c>
      <c r="F6" s="25">
        <v>4</v>
      </c>
      <c r="G6" s="25">
        <v>2</v>
      </c>
      <c r="AJ6" s="9">
        <v>0</v>
      </c>
      <c r="AK6" s="9">
        <v>0</v>
      </c>
      <c r="AL6" s="9">
        <v>0</v>
      </c>
      <c r="AM6" s="48">
        <v>2</v>
      </c>
    </row>
    <row r="7" spans="1:42" ht="16" x14ac:dyDescent="0.2">
      <c r="A7" s="13" t="s">
        <v>15</v>
      </c>
      <c r="B7" t="s">
        <v>68</v>
      </c>
      <c r="D7" s="25" t="s">
        <v>70</v>
      </c>
      <c r="E7" s="25">
        <v>1</v>
      </c>
      <c r="F7" s="25">
        <v>1</v>
      </c>
      <c r="G7" s="25">
        <v>1</v>
      </c>
      <c r="AJ7" s="47">
        <v>1</v>
      </c>
      <c r="AK7" s="47">
        <v>0</v>
      </c>
      <c r="AL7" s="47">
        <v>1</v>
      </c>
      <c r="AM7" s="48">
        <v>1</v>
      </c>
    </row>
    <row r="8" spans="1:42" ht="16" x14ac:dyDescent="0.2">
      <c r="A8" s="14" t="s">
        <v>16</v>
      </c>
      <c r="B8" s="32"/>
      <c r="C8" s="71"/>
      <c r="D8" s="23"/>
    </row>
    <row r="9" spans="1:42" ht="16" x14ac:dyDescent="0.2">
      <c r="A9" s="14" t="s">
        <v>17</v>
      </c>
      <c r="B9" s="32"/>
      <c r="C9" s="71"/>
    </row>
    <row r="10" spans="1:42" ht="16" x14ac:dyDescent="0.2">
      <c r="A10" s="15" t="s">
        <v>18</v>
      </c>
      <c r="B10" s="32"/>
      <c r="C10" s="71"/>
    </row>
    <row r="11" spans="1:42" ht="16" x14ac:dyDescent="0.2">
      <c r="A11" s="15" t="s">
        <v>19</v>
      </c>
      <c r="B11" s="32"/>
      <c r="C11" s="71"/>
    </row>
    <row r="12" spans="1:42" ht="16" x14ac:dyDescent="0.2">
      <c r="A12" s="16" t="s">
        <v>20</v>
      </c>
      <c r="B12" s="32"/>
      <c r="C12" s="71"/>
    </row>
    <row r="13" spans="1:42" ht="16" x14ac:dyDescent="0.2">
      <c r="A13" s="16" t="s">
        <v>21</v>
      </c>
      <c r="B13" s="32"/>
      <c r="C13" s="71"/>
    </row>
    <row r="14" spans="1:42" ht="16" x14ac:dyDescent="0.2">
      <c r="A14" s="17" t="s">
        <v>36</v>
      </c>
      <c r="B14" s="32"/>
      <c r="C14" s="71"/>
    </row>
    <row r="15" spans="1:42" ht="16" x14ac:dyDescent="0.2">
      <c r="A15" s="17" t="s">
        <v>37</v>
      </c>
      <c r="B15" s="32"/>
      <c r="C15" s="71"/>
    </row>
    <row r="16" spans="1:42" ht="16" x14ac:dyDescent="0.2">
      <c r="A16" s="18" t="s">
        <v>31</v>
      </c>
      <c r="B16" s="31"/>
      <c r="C16" s="71"/>
    </row>
    <row r="17" spans="1:3" ht="16" x14ac:dyDescent="0.2">
      <c r="A17" s="18" t="s">
        <v>32</v>
      </c>
      <c r="B17" s="31"/>
      <c r="C17" s="71"/>
    </row>
    <row r="18" spans="1:3" x14ac:dyDescent="0.2">
      <c r="A18" s="19" t="s">
        <v>33</v>
      </c>
      <c r="C18" s="71"/>
    </row>
    <row r="19" spans="1:3" x14ac:dyDescent="0.2">
      <c r="A19" s="19" t="s">
        <v>30</v>
      </c>
      <c r="C19" s="71"/>
    </row>
    <row r="20" spans="1:3" ht="16" thickBot="1" x14ac:dyDescent="0.25">
      <c r="A20" s="20" t="s">
        <v>40</v>
      </c>
      <c r="C20" s="71"/>
    </row>
    <row r="21" spans="1:3" x14ac:dyDescent="0.2">
      <c r="C21" s="71"/>
    </row>
    <row r="86" spans="2:2" x14ac:dyDescent="0.2">
      <c r="B86" t="s">
        <v>66</v>
      </c>
    </row>
  </sheetData>
  <mergeCells count="1">
    <mergeCell ref="C2:C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AVERAGEIF(testdata!$E$2:$E$7, "Concentration", testdata!AG2:AG7)</f>
        <v>#DIV/0!</v>
      </c>
      <c r="C3" s="2" t="e">
        <f>AVERAGEIF(testdata!$E$2:$E$7, "Suppression", testdata!AG2:AG7)</f>
        <v>#DIV/0!</v>
      </c>
    </row>
    <row r="4" spans="1:3" x14ac:dyDescent="0.2">
      <c r="A4" s="1" t="s">
        <v>2</v>
      </c>
      <c r="B4" s="2" t="e">
        <f>AVERAGEIF(testdata!$E$2:$E$7, "Concentration", testdata!AF2:AF7)</f>
        <v>#DIV/0!</v>
      </c>
      <c r="C4" s="2" t="e">
        <f>AVERAGEIF(testdata!$E$2:$E$7, "Suppression", testdata!AF2:AF7)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2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2024-10-28T17:40:57Z</dcterms:modified>
</cp:coreProperties>
</file>