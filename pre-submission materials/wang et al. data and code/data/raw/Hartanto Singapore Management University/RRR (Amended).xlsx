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meilan/Desktop/"/>
    </mc:Choice>
  </mc:AlternateContent>
  <xr:revisionPtr revIDLastSave="0" documentId="8_{F3FBD608-3A7C-4245-AE29-572065CDEA80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Meilan (before resolving)" sheetId="1" r:id="rId1"/>
    <sheet name="Noelle (resolving)" sheetId="6" state="hidden" r:id="rId2"/>
    <sheet name="Noelle (before resolving)" sheetId="4" r:id="rId3"/>
    <sheet name="Meilan (resolving)" sheetId="5" state="hidden" r:id="rId4"/>
    <sheet name="Resolved" sheetId="3" r:id="rId5"/>
    <sheet name="summarystats" sheetId="2" r:id="rId6"/>
  </sheets>
  <definedNames>
    <definedName name="_xlnm._FilterDatabase" localSheetId="0" hidden="1">'Meilan (before resolving)'!$A$1:$AL$13</definedName>
    <definedName name="_xlnm._FilterDatabase" localSheetId="3" hidden="1">'Meilan (resolving)'!$A$1:$AL$13</definedName>
    <definedName name="_xlnm._FilterDatabase" localSheetId="2" hidden="1">'Noelle (before resolving)'!$C$1:$AI$126</definedName>
    <definedName name="_xlnm._FilterDatabase" localSheetId="4" hidden="1">Resolved!$B$1:$AI$126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6" i="3" l="1"/>
  <c r="Z108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6" i="3"/>
  <c r="A18" i="3"/>
  <c r="P120" i="3" l="1"/>
  <c r="P126" i="3"/>
  <c r="P115" i="3"/>
  <c r="P114" i="3"/>
  <c r="P111" i="3"/>
  <c r="P106" i="3"/>
  <c r="P103" i="3"/>
  <c r="P84" i="3"/>
  <c r="P78" i="3"/>
  <c r="P75" i="3"/>
  <c r="P67" i="3"/>
  <c r="P41" i="3"/>
  <c r="Z109" i="3"/>
  <c r="P118" i="3"/>
  <c r="P117" i="3"/>
  <c r="P116" i="3"/>
  <c r="P113" i="3"/>
  <c r="P112" i="3"/>
  <c r="P107" i="3"/>
  <c r="P105" i="3"/>
  <c r="P102" i="3"/>
  <c r="P100" i="3"/>
  <c r="P99" i="3"/>
  <c r="P98" i="3"/>
  <c r="P97" i="3"/>
  <c r="P96" i="3"/>
  <c r="P95" i="3"/>
  <c r="P94" i="3"/>
  <c r="P92" i="3"/>
  <c r="P89" i="3"/>
  <c r="P86" i="3"/>
  <c r="P83" i="3"/>
  <c r="P81" i="3"/>
  <c r="P77" i="3"/>
  <c r="P72" i="3"/>
  <c r="P70" i="3"/>
  <c r="P69" i="3"/>
  <c r="P66" i="3"/>
  <c r="P64" i="3"/>
  <c r="P63" i="3"/>
  <c r="P60" i="3"/>
  <c r="P59" i="3"/>
  <c r="P53" i="3"/>
  <c r="P50" i="3"/>
  <c r="P47" i="3"/>
  <c r="P45" i="3"/>
  <c r="P38" i="3"/>
  <c r="P36" i="3"/>
  <c r="P35" i="3"/>
  <c r="P32" i="3"/>
  <c r="P28" i="3"/>
  <c r="P29" i="3"/>
  <c r="P30" i="3"/>
  <c r="P27" i="3"/>
  <c r="P17" i="3"/>
  <c r="P16" i="3"/>
  <c r="P9" i="3"/>
  <c r="P11" i="3"/>
  <c r="P12" i="3"/>
  <c r="P13" i="3"/>
  <c r="P14" i="3"/>
  <c r="P8" i="3"/>
  <c r="P2" i="3"/>
  <c r="A18" i="6"/>
  <c r="Z5" i="6"/>
  <c r="P5" i="6"/>
  <c r="Z4" i="6"/>
  <c r="P4" i="6"/>
  <c r="Z3" i="6"/>
  <c r="P3" i="6"/>
  <c r="Z2" i="6"/>
  <c r="P2" i="6"/>
  <c r="Z5" i="5"/>
  <c r="P5" i="5"/>
  <c r="Z4" i="5"/>
  <c r="P4" i="5"/>
  <c r="Z3" i="5"/>
  <c r="P3" i="5"/>
  <c r="Z2" i="5"/>
  <c r="P2" i="5"/>
  <c r="Z5" i="3"/>
  <c r="P5" i="3"/>
  <c r="Z4" i="3"/>
  <c r="P4" i="3"/>
  <c r="Z3" i="3"/>
  <c r="P3" i="3"/>
  <c r="Z2" i="3"/>
  <c r="A18" i="4"/>
  <c r="Z5" i="4"/>
  <c r="P5" i="4"/>
  <c r="Z4" i="4"/>
  <c r="P4" i="4"/>
  <c r="Z3" i="4"/>
  <c r="P3" i="4"/>
  <c r="Z2" i="4"/>
  <c r="P2" i="4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tc={D6D4526F-2D65-A34D-9B22-9CF1FCF51373}</author>
    <author>tc={2F757C77-2A61-0E4B-B471-8B76409C23CA}</author>
  </authors>
  <commentList>
    <comment ref="AD7" authorId="0" shapeId="0" xr:uid="{D6D4526F-2D65-A34D-9B22-9CF1FCF5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AD8" authorId="1" shapeId="0" xr:uid="{2F757C77-2A61-0E4B-B471-8B76409C23CA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tc={EF3F2392-0B6E-EE45-976F-29335DC581A2}</author>
  </authors>
  <commentList>
    <comment ref="D33" authorId="0" shapeId="0" xr:uid="{EF3F2392-0B6E-EE45-976F-29335DC581A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code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tc={E7EB2E7F-581E-024E-86C6-D2F1E0107906}</author>
    <author>tc={4DF2115C-C6C8-9F48-9BCD-7EEF0528AFA2}</author>
    <author>tc={FF936B7B-2F98-7442-A5EC-36F00538E6A4}</author>
    <author>tc={9B22A9B4-EF3A-3142-9D92-5C6DD10F4AB5}</author>
    <author>tc={DE48A019-AF5A-B84F-A72F-DBBE8E011F36}</author>
    <author>tc={1B06DCDF-483E-B940-96BF-B8202634375D}</author>
    <author>tc={EDFC3E99-EE1F-3143-BDFC-31B36B4CC61B}</author>
    <author>tc={7AACB928-483B-7343-A7D3-157900320F1A}</author>
    <author>tc={8901ECA2-84E1-464E-B05D-FE4DE7BD05BD}</author>
    <author>tc={3127F3F2-334B-E94F-A654-3FB9EB906396}</author>
    <author>tc={81372EA1-07BC-AC4C-A0FA-593B46D6CB4E}</author>
    <author>tc={10B2D5F8-22F6-9946-80EA-89D76CDC9A7D}</author>
    <author>tc={56712FCF-3210-5A4D-A12F-C50B94A6336F}</author>
    <author>tc={35B68939-B221-114A-91B3-A95569ED0BF7}</author>
    <author>tc={27E4AAFD-5804-984A-8D4F-F49FBB057548}</author>
    <author>tc={49ED8D92-BF38-3F49-8E7A-E0DC607347BB}</author>
    <author>tc={9963D1BF-C727-4944-B935-FA35402B44AE}</author>
    <author>tc={046B01B4-EC35-1246-894B-C30886446835}</author>
    <author>tc={016D03C4-13C7-844B-8B9A-CFAD2BFEE6D1}</author>
    <author>tc={530D4EFE-7C56-264C-BC2E-BDAE840C8822}</author>
    <author>tc={6C22AF3E-921A-C34E-8CDF-44CDFE81526D}</author>
  </authors>
  <commentList>
    <comment ref="D6" authorId="0" shapeId="0" xr:uid="{E7EB2E7F-581E-024E-86C6-D2F1E01079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two cannot hear anything.. never talk no bell ring too</t>
      </text>
    </comment>
    <comment ref="AD7" authorId="1" shapeId="0" xr:uid="{4DF2115C-C6C8-9F48-9BCD-7EEF0528AFA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D8" authorId="2" shapeId="0" xr:uid="{FF936B7B-2F98-7442-A5EC-36F00538E6A4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counted whenever he said ‘tigger’ from Winnie the Pooh as tiger… &gt; to discuss with Noelle &amp; Fro</t>
      </text>
    </comment>
    <comment ref="AD8" authorId="3" shapeId="0" xr:uid="{9B22A9B4-EF3A-3142-9D92-5C6DD10F4AB5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  <comment ref="J12" authorId="4" shapeId="0" xr:uid="{DE48A019-AF5A-B84F-A72F-DBBE8E011F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She talked about specific diseases (that she thinks/not sure are diseases) e.g. covid, schizophrenia, autism, bone impairment, down syndrome, being sick, mental health issues, delusion, malnutrition 
Then also said the word diseases specifically </t>
      </text>
    </comment>
    <comment ref="J13" authorId="5" shapeId="0" xr:uid="{1B06DCDF-483E-B940-96BF-B8202634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ape twice but did not include it in the count; to discuss whether ape counts as gorilla
Reply:
    Included kingkong cause participant believed it was a gorilla.. mentioned twice</t>
      </text>
    </comment>
    <comment ref="L13" authorId="6" shapeId="0" xr:uid="{EDFC3E99-EE1F-3143-BDFC-31B36B4CC61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times rang together with king kong</t>
      </text>
    </comment>
    <comment ref="D14" authorId="7" shapeId="0" xr:uid="{7AACB928-483B-7343-A7D3-157900320F1A}">
      <text>
        <t>[Threaded comment]
Your version of Excel allows you to read this threaded comment; however, any edits to it will get removed if the file is opened in a newer version of Excel. Learn more: https://go.microsoft.com/fwlink/?linkid=870924
Comment:
    Focused more on the specific type of disease (or rather what the participant believed counts as a disease) - named &amp; elaborated on it (e.g. dengue) 
Reply:
    For my own reference: In my notebook (1) means she just said disease, [1] means a type of disease (e.g. hypotension…)</t>
      </text>
    </comment>
    <comment ref="D24" authorId="8" shapeId="0" xr:uid="{8901ECA2-84E1-464E-B05D-FE4DE7BD05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audio bit muffled but halfway I think he was speaking Malay?? LOL sorry I don’t know.. Malay.. </t>
      </text>
    </comment>
    <comment ref="D27" authorId="9" shapeId="0" xr:uid="{3127F3F2-334B-E94F-A654-3FB9EB906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r right when the arrow appeared (recording continued after the arrow apeared)</t>
      </text>
    </comment>
    <comment ref="D57" authorId="10" shapeId="0" xr:uid="{81372EA1-07BC-AC4C-A0FA-593B46D6CB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monkey count LOL </t>
      </text>
    </comment>
    <comment ref="D66" authorId="11" shapeId="0" xr:uid="{10B2D5F8-22F6-9946-80EA-89D76CDC9A7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drinks.. if not A would be 10 (2 times she said drinks without ringing the bell)</t>
      </text>
    </comment>
    <comment ref="D75" authorId="12" shapeId="0" xr:uid="{56712FCF-3210-5A4D-A12F-C50B94A633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recording
Reply:
    Recording is labelled as 910784 I think</t>
      </text>
    </comment>
    <comment ref="D86" authorId="13" shapeId="0" xr:uid="{35B68939-B221-114A-91B3-A95569ED0BF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tiger in korean twice??
Reply:
    “Competitor of lion” &amp; rang the bell - not sure whether it counts as both or just him ringing the bell</t>
      </text>
    </comment>
    <comment ref="D88" authorId="14" shapeId="0" xr:uid="{27E4AAFD-5804-984A-8D4F-F49FBB0575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Said “what should I eat 3 times” and rang the bell &gt; classified as just ring bell only </t>
      </text>
    </comment>
    <comment ref="D106" authorId="15" shapeId="0" xr:uid="{49ED8D92-BF38-3F49-8E7A-E0DC6073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tigeress (female tiger?) as part of the ‘both’
Reply:
    once</t>
      </text>
    </comment>
    <comment ref="D114" authorId="16" shapeId="0" xr:uid="{9963D1BF-C727-4944-B935-FA35402B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Walao this one I really cannot hear she’s MUMBLING</t>
      </text>
    </comment>
    <comment ref="D116" authorId="17" shapeId="0" xr:uid="{046B01B4-EC35-1246-894B-C30886446835}">
      <text>
        <t>[Threaded comment]
Your version of Excel allows you to read this threaded comment; however, any edits to it will get removed if the file is opened in a newer version of Excel. Learn more: https://go.microsoft.com/fwlink/?linkid=870924
Comment:
    4 times she said parasite but seems like she thought of it as a disease?</t>
      </text>
    </comment>
    <comment ref="D122" authorId="18" shapeId="0" xr:uid="{016D03C4-13C7-844B-8B9A-CFAD2BFEE6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Honestly I think I hallucinating the bell sounds already</t>
      </text>
    </comment>
    <comment ref="D123" authorId="19" shapeId="0" xr:uid="{530D4EFE-7C56-264C-BC2E-BDAE840C882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for this omg idk</t>
      </text>
    </comment>
    <comment ref="D125" authorId="20" shapeId="0" xr:uid="{6C22AF3E-921A-C34E-8CDF-44CDFE81526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macdonald twice - does that count as food?
Reply:
    Without ringing the bell</t>
      </text>
    </comment>
  </commentList>
</comments>
</file>

<file path=xl/sharedStrings.xml><?xml version="1.0" encoding="utf-8"?>
<sst xmlns="http://schemas.openxmlformats.org/spreadsheetml/2006/main" count="260" uniqueCount="58">
  <si>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</si>
  <si>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</si>
  <si>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</si>
  <si>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</si>
  <si>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</si>
  <si>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</si>
  <si>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</si>
  <si>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</si>
  <si>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</si>
  <si>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</si>
  <si>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</si>
  <si>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</si>
  <si>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</si>
  <si>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</si>
  <si>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</si>
  <si>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</si>
  <si>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</si>
  <si>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</si>
  <si>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</si>
  <si>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</si>
  <si>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</si>
  <si>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</si>
  <si>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</si>
  <si>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</si>
  <si>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</si>
  <si>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</si>
  <si>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</si>
  <si>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</si>
  <si>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</si>
  <si>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</si>
  <si>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</si>
  <si>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</si>
  <si>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</si>
  <si>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</si>
  <si>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</si>
  <si>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</si>
  <si>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</si>
  <si>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</si>
  <si>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</si>
  <si>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</si>
  <si>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</si>
  <si>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</si>
  <si>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</si>
  <si>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</si>
  <si>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</si>
  <si>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</si>
  <si>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</si>
  <si>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</si>
  <si>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</si>
  <si>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</si>
  <si>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</si>
  <si>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</si>
  <si>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</si>
  <si>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1 (think)</t>
  </si>
  <si>
    <t xml:space="preserve">2 (not think) </t>
  </si>
  <si>
    <t>1 (yes)</t>
  </si>
  <si>
    <t>not think = 1</t>
  </si>
  <si>
    <t xml:space="preserve">think =2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</si>
</sst>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/>
    <xf numFmtId="2" fontId="0" fillId="0" borderId="0" xfId="0" applyNumberFormat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10" fillId="4" borderId="0" xfId="0" applyFont="1" applyFill="1"/>
    <xf numFmtId="0" fontId="9" fillId="6" borderId="0" xfId="0" applyFont="1" applyFill="1"/>
    <xf numFmtId="0" fontId="10" fillId="6" borderId="0" xfId="0" applyFont="1" applyFill="1"/>
    <xf numFmtId="0" fontId="9" fillId="7" borderId="0" xfId="0" applyFont="1" applyFill="1"/>
    <xf numFmtId="0" fontId="0" fillId="5" borderId="0" xfId="0" applyFill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10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5" fillId="8" borderId="0" xfId="0" applyFont="1" applyFill="1"/>
    <xf numFmtId="0" fontId="7" fillId="0" borderId="0" xfId="0" applyFont="1"/>
    <xf numFmtId="0" fontId="10" fillId="0" borderId="0" xfId="0" applyFont="1"/>
    <xf numFmtId="0" fontId="9" fillId="0" borderId="0" xfId="0" applyFont="1"/>
    <xf numFmtId="0" fontId="7" fillId="0" borderId="0" xfId="0" applyFont="1" applyAlignment="1">
      <alignment horizontal="left"/>
    </xf>
    <xf numFmtId="0" fontId="10" fillId="2" borderId="5" xfId="0" applyFont="1" applyFill="1" applyBorder="1"/>
    <xf numFmtId="0" fontId="10" fillId="4" borderId="5" xfId="0" applyFont="1" applyFill="1" applyBorder="1"/>
    <xf numFmtId="0" fontId="10" fillId="3" borderId="5" xfId="0" applyFont="1" applyFill="1" applyBorder="1"/>
    <xf numFmtId="0" fontId="10" fillId="6" borderId="5" xfId="0" applyFont="1" applyFill="1" applyBorder="1"/>
    <xf numFmtId="0" fontId="0" fillId="8" borderId="5" xfId="0" applyFill="1" applyBorder="1"/>
    <xf numFmtId="0" fontId="10" fillId="2" borderId="2" xfId="0" applyFont="1" applyFill="1" applyBorder="1"/>
    <xf numFmtId="0" fontId="10" fillId="4" borderId="2" xfId="0" applyFont="1" applyFill="1" applyBorder="1"/>
    <xf numFmtId="0" fontId="10" fillId="3" borderId="2" xfId="0" applyFont="1" applyFill="1" applyBorder="1"/>
    <xf numFmtId="0" fontId="10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10" fillId="4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7" fillId="4" borderId="0" xfId="0" applyFont="1" applyFill="1" applyAlignment="1">
      <alignment wrapText="1"/>
    </xf>
    <xf numFmtId="0" fontId="4" fillId="4" borderId="0" xfId="0" applyFont="1" applyFill="1"/>
    <xf numFmtId="0" fontId="4" fillId="0" borderId="0" xfId="0" applyFont="1"/>
    <xf numFmtId="0" fontId="4" fillId="4" borderId="2" xfId="0" applyFont="1" applyFill="1" applyBorder="1"/>
    <xf numFmtId="0" fontId="4" fillId="2" borderId="2" xfId="0" applyFont="1" applyFill="1" applyBorder="1"/>
    <xf numFmtId="0" fontId="4" fillId="3" borderId="2" xfId="0" applyFont="1" applyFill="1" applyBorder="1"/>
    <xf numFmtId="0" fontId="4" fillId="6" borderId="2" xfId="0" applyFont="1" applyFill="1" applyBorder="1"/>
    <xf numFmtId="0" fontId="4" fillId="2" borderId="0" xfId="0" applyFont="1" applyFill="1"/>
    <xf numFmtId="0" fontId="4" fillId="3" borderId="0" xfId="0" applyFont="1" applyFill="1"/>
    <xf numFmtId="0" fontId="4" fillId="6" borderId="0" xfId="0" applyFont="1" applyFill="1"/>
    <xf numFmtId="0" fontId="4" fillId="4" borderId="5" xfId="0" applyFont="1" applyFill="1" applyBorder="1"/>
    <xf numFmtId="0" fontId="4" fillId="2" borderId="5" xfId="0" applyFont="1" applyFill="1" applyBorder="1"/>
    <xf numFmtId="0" fontId="4" fillId="3" borderId="5" xfId="0" applyFont="1" applyFill="1" applyBorder="1"/>
    <xf numFmtId="0" fontId="4" fillId="6" borderId="5" xfId="0" applyFont="1" applyFill="1" applyBorder="1"/>
    <xf numFmtId="0" fontId="0" fillId="0" borderId="0" xfId="0" applyAlignment="1">
      <alignment wrapText="1"/>
    </xf>
    <xf numFmtId="0" fontId="12" fillId="4" borderId="0" xfId="0" applyFont="1" applyFill="1"/>
    <xf numFmtId="0" fontId="13" fillId="3" borderId="0" xfId="0" applyFont="1" applyFill="1"/>
    <xf numFmtId="0" fontId="13" fillId="8" borderId="0" xfId="0" applyFont="1" applyFill="1"/>
    <xf numFmtId="0" fontId="14" fillId="8" borderId="0" xfId="0" applyFont="1" applyFill="1"/>
    <xf numFmtId="0" fontId="3" fillId="4" borderId="0" xfId="0" applyFont="1" applyFill="1"/>
    <xf numFmtId="0" fontId="3" fillId="2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ONG Shu Fen" id="{78D6198D-FA62-B846-BE30-16FF3E06B5CB}" userId="S::sfdiong.2020@socsc.smu.edu.sg::21e1e165-47d0-4bab-98a4-903377f67b19" providerId="AD"/>
  <person displayName="HU Meilan" id="{514B906D-3861-A94F-A0E8-5480DBA446F8}" userId="S::meilan.hu.2020@socsc.smu.edu.sg::4693eb19-060b-44cd-ab42-7bbe31d165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7" dT="2024-01-15T09:56:11.11" personId="{514B906D-3861-A94F-A0E8-5480DBA446F8}" id="{D6D4526F-2D65-A34D-9B22-9CF1FCF51373}">
    <text>Based on the percentage cause this one can’t hear the participant</text>
  </threadedComment>
  <threadedComment ref="AD8" dT="2024-01-15T10:04:01.21" personId="{514B906D-3861-A94F-A0E8-5480DBA446F8}" id="{2F757C77-2A61-0E4B-B471-8B76409C23CA}">
    <text>I put 0 (never fail probe) for the concentrate one cause they DID follow the probe which is to concentrate on the word (either said without ringing bell, said &amp; rang bell or just rang bell without saying?)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3" dT="2024-05-21T04:17:01.06" personId="{78D6198D-FA62-B846-BE30-16FF3E06B5CB}" id="{EF3F2392-0B6E-EE45-976F-29335DC581A2}">
    <text>Did not code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6" dT="2024-01-15T02:24:51.77" personId="{514B906D-3861-A94F-A0E8-5480DBA446F8}" id="{E7EB2E7F-581E-024E-86C6-D2F1E0107906}">
    <text>First two cannot hear anything.. never talk no bell ring too</text>
  </threadedComment>
  <threadedComment ref="AD7" dT="2024-01-15T09:56:11.11" personId="{514B906D-3861-A94F-A0E8-5480DBA446F8}" id="{4DF2115C-C6C8-9F48-9BCD-7EEF0528AFA2}">
    <text>Based on the percentage cause this one can’t hear the participant</text>
  </threadedComment>
  <threadedComment ref="D8" dT="2024-01-13T07:51:33.98" personId="{514B906D-3861-A94F-A0E8-5480DBA446F8}" id="{FF936B7B-2F98-7442-A5EC-36F00538E6A4}">
    <text>I counted whenever he said ‘tigger’ from Winnie the Pooh as tiger… &gt; to discuss with Noelle &amp; Fro</text>
  </threadedComment>
  <threadedComment ref="AD8" dT="2024-01-15T10:04:01.21" personId="{514B906D-3861-A94F-A0E8-5480DBA446F8}" id="{9B22A9B4-EF3A-3142-9D92-5C6DD10F4AB5}">
    <text>I put 0 (never fail probe) for the concentrate one cause they DID follow the probe which is to concentrate on the word (either said without ringing bell, said &amp; rang bell or just rang bell without saying?)</text>
  </threadedComment>
  <threadedComment ref="J12" dT="2024-01-15T07:59:19.89" personId="{514B906D-3861-A94F-A0E8-5480DBA446F8}" id="{DE48A019-AF5A-B84F-A72F-DBBE8E011F36}">
    <text xml:space="preserve">She talked about specific diseases (that she thinks/not sure are diseases) e.g. covid, schizophrenia, autism, bone impairment, down syndrome, being sick, mental health issues, delusion, malnutrition 
Then also said the word diseases specifically </text>
  </threadedComment>
  <threadedComment ref="J13" dT="2024-01-15T08:22:54.61" personId="{514B906D-3861-A94F-A0E8-5480DBA446F8}" id="{1B06DCDF-483E-B940-96BF-B8202634375D}">
    <text>Said ape twice but did not include it in the count; to discuss whether ape counts as gorilla</text>
  </threadedComment>
  <threadedComment ref="J13" dT="2024-01-15T09:02:26.43" personId="{514B906D-3861-A94F-A0E8-5480DBA446F8}" id="{25025790-CBB2-5F43-A407-D02BCF82AD36}" parentId="{1B06DCDF-483E-B940-96BF-B8202634375D}">
    <text>Included kingkong cause participant believed it was a gorilla.. mentioned twice</text>
  </threadedComment>
  <threadedComment ref="L13" dT="2024-01-15T09:02:37.01" personId="{514B906D-3861-A94F-A0E8-5480DBA446F8}" id="{EDFC3E99-EE1F-3143-BDFC-31B36B4CC61B}">
    <text>Two times rang together with king kong</text>
  </threadedComment>
  <threadedComment ref="D14" dT="2024-01-15T09:11:06.43" personId="{514B906D-3861-A94F-A0E8-5480DBA446F8}" id="{7AACB928-483B-7343-A7D3-157900320F1A}">
    <text xml:space="preserve">Focused more on the specific type of disease (or rather what the participant believed counts as a disease) - named &amp; elaborated on it (e.g. dengue) 
</text>
  </threadedComment>
  <threadedComment ref="D14" dT="2024-01-15T09:11:51.11" personId="{514B906D-3861-A94F-A0E8-5480DBA446F8}" id="{06B82FDA-EDDB-0646-B138-76967C6AFB70}" parentId="{7AACB928-483B-7343-A7D3-157900320F1A}">
    <text>For my own reference: In my notebook (1) means she just said disease, [1] means a type of disease (e.g. hypotension…)</text>
  </threadedComment>
  <threadedComment ref="D24" dT="2024-04-19T06:02:55.73" personId="{514B906D-3861-A94F-A0E8-5480DBA446F8}" id="{8901ECA2-84E1-464E-B05D-FE4DE7BD05BD}">
    <text xml:space="preserve">The audio bit muffled but halfway I think he was speaking Malay?? LOL sorry I don’t know.. Malay.. </text>
  </threadedComment>
  <threadedComment ref="D27" dT="2024-04-19T06:42:56.02" personId="{514B906D-3861-A94F-A0E8-5480DBA446F8}" id="{3127F3F2-334B-E94F-A654-3FB9EB906396}">
    <text>Numbers r right when the arrow appeared (recording continued after the arrow apeared)</text>
  </threadedComment>
  <threadedComment ref="D57" dT="2024-04-25T02:57:54.72" personId="{514B906D-3861-A94F-A0E8-5480DBA446F8}" id="{81372EA1-07BC-AC4C-A0FA-593B46D6CB4E}">
    <text xml:space="preserve">Does monkey count LOL </text>
  </threadedComment>
  <threadedComment ref="D66" dT="2024-04-26T09:55:13.27" personId="{514B906D-3861-A94F-A0E8-5480DBA446F8}" id="{10B2D5F8-22F6-9946-80EA-89D76CDC9A7D}">
    <text>Included drinks.. if not A would be 10 (2 times she said drinks without ringing the bell)</text>
  </threadedComment>
  <threadedComment ref="D75" dT="2024-04-28T02:42:38.79" personId="{514B906D-3861-A94F-A0E8-5480DBA446F8}" id="{56712FCF-3210-5A4D-A12F-C50B94A6336F}">
    <text xml:space="preserve">No recording
</text>
  </threadedComment>
  <threadedComment ref="D75" dT="2024-05-01T12:18:44.89" personId="{514B906D-3861-A94F-A0E8-5480DBA446F8}" id="{D7B71C0D-FAD1-2B43-9B4F-4065E9C8D7CD}" parentId="{56712FCF-3210-5A4D-A12F-C50B94A6336F}">
    <text>Recording is labelled as 910784 I think</text>
  </threadedComment>
  <threadedComment ref="D86" dT="2024-04-28T06:00:18.09" personId="{514B906D-3861-A94F-A0E8-5480DBA446F8}" id="{35B68939-B221-114A-91B3-A95569ED0BF7}">
    <text xml:space="preserve">Said tiger in korean twice??
</text>
  </threadedComment>
  <threadedComment ref="D86" dT="2024-04-28T06:02:36.34" personId="{514B906D-3861-A94F-A0E8-5480DBA446F8}" id="{5A464839-01F4-3F4B-96C2-E5146CBC6065}" parentId="{35B68939-B221-114A-91B3-A95569ED0BF7}">
    <text>“Competitor of lion” &amp; rang the bell - not sure whether it counts as both or just him ringing the bell</text>
  </threadedComment>
  <threadedComment ref="D88" dT="2024-04-28T06:14:49.90" personId="{514B906D-3861-A94F-A0E8-5480DBA446F8}" id="{27E4AAFD-5804-984A-8D4F-F49FBB057548}">
    <text xml:space="preserve">Said “what should I eat 3 times” and rang the bell &gt; classified as just ring bell only </text>
  </threadedComment>
  <threadedComment ref="D106" dT="2024-05-01T08:31:15.78" personId="{514B906D-3861-A94F-A0E8-5480DBA446F8}" id="{49ED8D92-BF38-3F49-8E7A-E0DC607347BB}">
    <text>Counted tigeress (female tiger?) as part of the ‘both’</text>
  </threadedComment>
  <threadedComment ref="D106" dT="2024-05-01T08:31:22.14" personId="{514B906D-3861-A94F-A0E8-5480DBA446F8}" id="{061692E4-4078-5D42-863E-A2BF3FC8E1D8}" parentId="{49ED8D92-BF38-3F49-8E7A-E0DC607347BB}">
    <text>once</text>
  </threadedComment>
  <threadedComment ref="D114" dT="2024-05-01T10:15:26.77" personId="{514B906D-3861-A94F-A0E8-5480DBA446F8}" id="{9963D1BF-C727-4944-B935-FA35402B44AE}">
    <text>Walao this one I really cannot hear she’s MUMBLING</text>
  </threadedComment>
  <threadedComment ref="D116" dT="2024-05-01T11:56:13.09" personId="{514B906D-3861-A94F-A0E8-5480DBA446F8}" id="{046B01B4-EC35-1246-894B-C30886446835}">
    <text>4 times she said parasite but seems like she thought of it as a disease?</text>
  </threadedComment>
  <threadedComment ref="D122" dT="2024-05-01T13:35:14.37" personId="{514B906D-3861-A94F-A0E8-5480DBA446F8}" id="{016D03C4-13C7-844B-8B9A-CFAD2BFEE6D1}">
    <text>Honestly I think I hallucinating the bell sounds already</text>
  </threadedComment>
  <threadedComment ref="D123" dT="2024-05-01T13:35:20.54" personId="{514B906D-3861-A94F-A0E8-5480DBA446F8}" id="{530D4EFE-7C56-264C-BC2E-BDAE840C8822}">
    <text>Same for this omg idk</text>
  </threadedComment>
  <threadedComment ref="D125" dT="2024-05-01T13:47:30.83" personId="{514B906D-3861-A94F-A0E8-5480DBA446F8}" id="{6C22AF3E-921A-C34E-8CDF-44CDFE81526D}">
    <text>Said macdonald twice - does that count as food?</text>
  </threadedComment>
  <threadedComment ref="D125" dT="2024-05-01T13:47:36.94" personId="{514B906D-3861-A94F-A0E8-5480DBA446F8}" id="{AA017060-919F-AB40-9D3F-6D3DFAA52DEC}" parentId="{6C22AF3E-921A-C34E-8CDF-44CDFE81526D}">
    <text>Without ringing the bell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6"/>
  <sheetViews>
    <sheetView zoomScale="106" zoomScaleNormal="78" workbookViewId="0">
      <pane xSplit="4" ySplit="1" topLeftCell="K26" activePane="bottomRight" state="frozen"/>
      <selection pane="topRight" activeCell="E1" sqref="E1"/>
      <selection pane="bottomLeft" activeCell="A2" sqref="A2"/>
      <selection pane="bottomRight" activeCell="T1" sqref="T1"/>
    </sheetView>
  </sheetViews>
  <sheetFormatPr baseColWidth="10" defaultColWidth="8.83203125" defaultRowHeight="15" x14ac:dyDescent="0.2"/>
  <cols>
    <col min="1" max="1" width="56.5" customWidth="1"/>
    <col min="2" max="2" width="8.5" customWidth="1"/>
    <col min="3" max="3" width="4.6640625" bestFit="1" customWidth="1"/>
    <col min="4" max="4" width="11.83203125" style="17" bestFit="1" customWidth="1"/>
    <col min="5" max="5" width="9.33203125" style="17" bestFit="1" customWidth="1"/>
    <col min="6" max="6" width="10.6640625" style="17" bestFit="1" customWidth="1"/>
    <col min="7" max="9" width="16.33203125" style="16" hidden="1" customWidth="1"/>
    <col min="10" max="12" width="16.33203125" style="16" bestFit="1" customWidth="1"/>
    <col min="13" max="14" width="14.1640625" style="16" hidden="1" customWidth="1"/>
    <col min="15" max="15" width="14" style="16" hidden="1" customWidth="1"/>
    <col min="16" max="16" width="22.83203125" style="16" hidden="1" customWidth="1"/>
    <col min="17" max="19" width="16.33203125" style="17" hidden="1" customWidth="1"/>
    <col min="20" max="22" width="16.33203125" style="17" bestFit="1" customWidth="1"/>
    <col min="23" max="24" width="14.1640625" style="17" hidden="1" customWidth="1"/>
    <col min="25" max="25" width="14" style="17" hidden="1" customWidth="1"/>
    <col min="26" max="26" width="20" style="17" hidden="1" customWidth="1"/>
    <col min="27" max="28" width="17.6640625" style="19" bestFit="1" customWidth="1"/>
    <col min="29" max="30" width="12.5" style="21" bestFit="1" customWidth="1"/>
    <col min="31" max="31" width="10.1640625" style="21" bestFit="1" customWidth="1"/>
    <col min="32" max="32" width="12" style="20" bestFit="1" customWidth="1"/>
    <col min="33" max="33" width="4.1640625" style="20" bestFit="1" customWidth="1"/>
    <col min="34" max="34" width="9.1640625" style="20" bestFit="1" customWidth="1"/>
    <col min="35" max="35" width="12.83203125" style="20" bestFit="1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69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6" x14ac:dyDescent="0.2">
      <c r="A3" s="7" t="s">
        <v>22</v>
      </c>
      <c r="B3" s="24"/>
      <c r="C3" s="70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70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71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72" t="s">
        <v>51</v>
      </c>
      <c r="D6" s="42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72"/>
      <c r="D7" s="42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20">
        <v>2</v>
      </c>
      <c r="AG7" s="20">
        <v>19</v>
      </c>
      <c r="AH7" s="20">
        <v>1</v>
      </c>
      <c r="AI7" s="20">
        <v>1</v>
      </c>
    </row>
    <row r="8" spans="1:35" ht="16" x14ac:dyDescent="0.2">
      <c r="A8" s="14" t="s">
        <v>24</v>
      </c>
      <c r="B8" s="26"/>
      <c r="C8" s="72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6" x14ac:dyDescent="0.2">
      <c r="A9" s="9" t="s">
        <v>13</v>
      </c>
      <c r="B9" s="24"/>
      <c r="C9" s="72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72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6" x14ac:dyDescent="0.2">
      <c r="A11" s="11" t="s">
        <v>15</v>
      </c>
      <c r="C11" s="72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6" x14ac:dyDescent="0.2">
      <c r="A12" s="11" t="s">
        <v>12</v>
      </c>
      <c r="C12" s="72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6" x14ac:dyDescent="0.2">
      <c r="A13" s="11" t="s">
        <v>21</v>
      </c>
      <c r="C13" s="72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6" x14ac:dyDescent="0.2">
      <c r="C14" s="72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6" x14ac:dyDescent="0.2">
      <c r="C15" s="72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20">
        <v>2</v>
      </c>
      <c r="AG15" s="20">
        <v>19</v>
      </c>
      <c r="AH15" s="20">
        <v>1</v>
      </c>
      <c r="AI15" s="20">
        <v>1</v>
      </c>
    </row>
    <row r="16" spans="1:35" ht="16" x14ac:dyDescent="0.2">
      <c r="C16" s="72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6" x14ac:dyDescent="0.2">
      <c r="C17" s="72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6" x14ac:dyDescent="0.2">
      <c r="C18" s="72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20">
        <v>2</v>
      </c>
      <c r="AG18" s="20">
        <v>23</v>
      </c>
      <c r="AH18" s="20">
        <v>1</v>
      </c>
      <c r="AI18" s="20">
        <v>2</v>
      </c>
    </row>
    <row r="19" spans="3:35" ht="16" x14ac:dyDescent="0.2">
      <c r="C19" s="72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6" x14ac:dyDescent="0.2">
      <c r="C20" s="72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6" x14ac:dyDescent="0.2">
      <c r="C21" s="72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6" x14ac:dyDescent="0.2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6" x14ac:dyDescent="0.2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6" x14ac:dyDescent="0.2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6" x14ac:dyDescent="0.2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6" x14ac:dyDescent="0.2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6" x14ac:dyDescent="0.2">
      <c r="D27" s="42">
        <v>256240</v>
      </c>
      <c r="E27" s="17">
        <v>2</v>
      </c>
      <c r="F27" s="17">
        <v>3</v>
      </c>
      <c r="J27" s="16">
        <v>7</v>
      </c>
      <c r="K27" s="16">
        <v>19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6" x14ac:dyDescent="0.2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6" x14ac:dyDescent="0.2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6" x14ac:dyDescent="0.2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6" x14ac:dyDescent="0.2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6" x14ac:dyDescent="0.2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0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6" x14ac:dyDescent="0.2">
      <c r="D33" s="68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ht="16" x14ac:dyDescent="0.2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6" x14ac:dyDescent="0.2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6" x14ac:dyDescent="0.2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6" x14ac:dyDescent="0.2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6" x14ac:dyDescent="0.2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6" x14ac:dyDescent="0.2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6" x14ac:dyDescent="0.2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6" x14ac:dyDescent="0.2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6" x14ac:dyDescent="0.2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6" x14ac:dyDescent="0.2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6" x14ac:dyDescent="0.2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20">
        <v>1</v>
      </c>
      <c r="AG45" s="20">
        <v>18</v>
      </c>
      <c r="AH45" s="20">
        <v>1</v>
      </c>
      <c r="AI45" s="20">
        <v>1</v>
      </c>
    </row>
    <row r="46" spans="4:35" ht="16" x14ac:dyDescent="0.2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6" x14ac:dyDescent="0.2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6" x14ac:dyDescent="0.2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6" x14ac:dyDescent="0.2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6" x14ac:dyDescent="0.2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6" x14ac:dyDescent="0.2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6" x14ac:dyDescent="0.2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6" x14ac:dyDescent="0.2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6" x14ac:dyDescent="0.2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6" x14ac:dyDescent="0.2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6" x14ac:dyDescent="0.2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6" x14ac:dyDescent="0.2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6" x14ac:dyDescent="0.2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6" x14ac:dyDescent="0.2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6" x14ac:dyDescent="0.2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6" x14ac:dyDescent="0.2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6" x14ac:dyDescent="0.2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20">
        <v>1</v>
      </c>
      <c r="AG63" s="20">
        <v>21</v>
      </c>
      <c r="AH63" s="20">
        <v>2</v>
      </c>
      <c r="AI63" s="20">
        <v>1</v>
      </c>
    </row>
    <row r="64" spans="4:35" ht="16" x14ac:dyDescent="0.2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6" x14ac:dyDescent="0.2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6" x14ac:dyDescent="0.2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6" x14ac:dyDescent="0.2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6" x14ac:dyDescent="0.2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6" x14ac:dyDescent="0.2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6" x14ac:dyDescent="0.2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20">
        <v>1</v>
      </c>
      <c r="AG70" s="20">
        <v>20</v>
      </c>
      <c r="AH70" s="20">
        <v>1</v>
      </c>
      <c r="AI70" s="20">
        <v>1</v>
      </c>
    </row>
    <row r="71" spans="4:35" ht="16" x14ac:dyDescent="0.2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6" x14ac:dyDescent="0.2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6" x14ac:dyDescent="0.2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6" x14ac:dyDescent="0.2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6" x14ac:dyDescent="0.2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6" x14ac:dyDescent="0.2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6" x14ac:dyDescent="0.2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6" x14ac:dyDescent="0.2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6" x14ac:dyDescent="0.2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6" x14ac:dyDescent="0.2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6" x14ac:dyDescent="0.2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6" x14ac:dyDescent="0.2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6" x14ac:dyDescent="0.2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6" x14ac:dyDescent="0.2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6" x14ac:dyDescent="0.2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6" x14ac:dyDescent="0.2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6" x14ac:dyDescent="0.2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6" x14ac:dyDescent="0.2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6" x14ac:dyDescent="0.2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6" x14ac:dyDescent="0.2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20">
        <v>2</v>
      </c>
      <c r="AG90" s="20">
        <v>21</v>
      </c>
      <c r="AH90" s="20">
        <v>1</v>
      </c>
      <c r="AI90" s="20">
        <v>1</v>
      </c>
    </row>
    <row r="91" spans="4:35" ht="16" x14ac:dyDescent="0.2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6" x14ac:dyDescent="0.2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6" x14ac:dyDescent="0.2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6" x14ac:dyDescent="0.2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6" x14ac:dyDescent="0.2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6" x14ac:dyDescent="0.2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6" x14ac:dyDescent="0.2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6" x14ac:dyDescent="0.2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6" x14ac:dyDescent="0.2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6" x14ac:dyDescent="0.2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6" x14ac:dyDescent="0.2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6" x14ac:dyDescent="0.2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6" x14ac:dyDescent="0.2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6" x14ac:dyDescent="0.2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6" x14ac:dyDescent="0.2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6" x14ac:dyDescent="0.2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6" x14ac:dyDescent="0.2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6" x14ac:dyDescent="0.2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20">
        <v>2</v>
      </c>
      <c r="AG108" s="20">
        <v>21</v>
      </c>
      <c r="AH108" s="20">
        <v>2</v>
      </c>
      <c r="AI108" s="20">
        <v>2</v>
      </c>
    </row>
    <row r="109" spans="4:35" ht="16" x14ac:dyDescent="0.2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6" x14ac:dyDescent="0.2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6" x14ac:dyDescent="0.2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6" x14ac:dyDescent="0.2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6" x14ac:dyDescent="0.2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6" x14ac:dyDescent="0.2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6" x14ac:dyDescent="0.2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6" x14ac:dyDescent="0.2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6" x14ac:dyDescent="0.2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6" x14ac:dyDescent="0.2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6" x14ac:dyDescent="0.2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6" x14ac:dyDescent="0.2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6" x14ac:dyDescent="0.2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6" x14ac:dyDescent="0.2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6" x14ac:dyDescent="0.2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6" x14ac:dyDescent="0.2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6" x14ac:dyDescent="0.2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6" x14ac:dyDescent="0.2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FE1D-CA4A-FD4D-902C-8E0866E4A207}">
  <dimension ref="A1:AI126"/>
  <sheetViews>
    <sheetView zoomScaleNormal="100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baseColWidth="10" defaultColWidth="8.83203125" defaultRowHeight="16" x14ac:dyDescent="0.2"/>
  <cols>
    <col min="1" max="1" width="56.33203125" style="60" customWidth="1"/>
    <col min="2" max="2" width="13.1640625" hidden="1" customWidth="1"/>
    <col min="3" max="3" width="5.5" customWidth="1"/>
    <col min="4" max="4" width="11.5" style="47" customWidth="1"/>
    <col min="5" max="5" width="11.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hidden="1" customWidth="1"/>
    <col min="11" max="11" width="21.1640625" style="16" hidden="1" customWidth="1"/>
    <col min="12" max="12" width="20.5" style="16" hidden="1" customWidth="1"/>
    <col min="13" max="13" width="21.1640625" style="16" hidden="1" customWidth="1"/>
    <col min="14" max="14" width="20.164062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5" style="17" customWidth="1"/>
    <col min="19" max="19" width="21.6640625" style="17" customWidth="1"/>
    <col min="20" max="25" width="21.83203125" style="17" hidden="1" customWidth="1"/>
    <col min="26" max="26" width="27.5" style="17" hidden="1" customWidth="1"/>
    <col min="27" max="28" width="20.83203125" style="19" customWidth="1"/>
    <col min="29" max="29" width="14.33203125" style="21" customWidth="1"/>
    <col min="30" max="30" width="13.5" style="21" hidden="1" customWidth="1"/>
    <col min="31" max="31" width="12.5" style="21" hidden="1" customWidth="1"/>
    <col min="32" max="34" width="8.83203125" style="20"/>
    <col min="35" max="35" width="14.1640625" style="20" customWidth="1"/>
  </cols>
  <sheetData>
    <row r="1" spans="1:35" ht="17" x14ac:dyDescent="0.2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47" t="s">
        <v>23</v>
      </c>
      <c r="B2" s="48"/>
      <c r="C2" s="69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2">
      <c r="A3" s="47" t="s">
        <v>22</v>
      </c>
      <c r="B3" s="48"/>
      <c r="C3" s="70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">
      <c r="A4" s="47" t="s">
        <v>7</v>
      </c>
      <c r="B4" s="48"/>
      <c r="C4" s="70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x14ac:dyDescent="0.2">
      <c r="A5" s="47" t="s">
        <v>52</v>
      </c>
      <c r="B5" s="48"/>
      <c r="C5" s="71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2">
      <c r="A6" s="53" t="s">
        <v>25</v>
      </c>
      <c r="B6" s="48"/>
      <c r="C6" s="72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2">
      <c r="A7" s="10" t="s">
        <v>18</v>
      </c>
      <c r="B7" s="25"/>
      <c r="C7" s="72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2">
      <c r="A8" s="14" t="s">
        <v>24</v>
      </c>
      <c r="B8" s="26"/>
      <c r="C8" s="72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2">
      <c r="A9" s="55" t="s">
        <v>13</v>
      </c>
      <c r="B9" s="48"/>
      <c r="C9" s="72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/>
      <c r="K9" s="53"/>
      <c r="L9" s="53"/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2">
      <c r="A10" s="55" t="s">
        <v>14</v>
      </c>
      <c r="B10" s="48"/>
      <c r="C10" s="72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2">
      <c r="A11" s="11" t="s">
        <v>15</v>
      </c>
      <c r="C11" s="72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2">
      <c r="A12" s="11" t="s">
        <v>12</v>
      </c>
      <c r="C12" s="72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2">
      <c r="A13" s="11" t="s">
        <v>21</v>
      </c>
      <c r="C13" s="72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2">
      <c r="A14"/>
      <c r="C14" s="72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2">
      <c r="A15" s="11" t="s">
        <v>56</v>
      </c>
      <c r="C15" s="72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2">
      <c r="A16" s="11" t="s">
        <v>57</v>
      </c>
      <c r="C16" s="72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2">
      <c r="C17" s="72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2">
      <c r="A18" s="60">
        <f>ROWS(D6:D126)</f>
        <v>121</v>
      </c>
      <c r="C18" s="72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2">
      <c r="C19" s="72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2">
      <c r="C20" s="72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2">
      <c r="C21" s="72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62">
        <v>0</v>
      </c>
      <c r="AB21" s="62">
        <v>2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2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2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2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2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2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2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2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2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2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2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2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2">
      <c r="D33" s="61">
        <v>315045</v>
      </c>
      <c r="E33" s="17">
        <v>1</v>
      </c>
      <c r="F33" s="17">
        <v>3</v>
      </c>
      <c r="AA33" s="19">
        <v>10</v>
      </c>
      <c r="AB33" s="19">
        <v>20</v>
      </c>
      <c r="AF33" s="20">
        <v>2</v>
      </c>
      <c r="AG33" s="20">
        <v>21</v>
      </c>
      <c r="AH33" s="20">
        <v>1</v>
      </c>
      <c r="AI33" s="20">
        <v>1</v>
      </c>
    </row>
    <row r="34" spans="4:35" x14ac:dyDescent="0.2">
      <c r="D34" s="47">
        <v>326586</v>
      </c>
      <c r="E34" s="17">
        <v>1</v>
      </c>
      <c r="F34" s="17">
        <v>2</v>
      </c>
      <c r="G34" s="16">
        <v>0</v>
      </c>
      <c r="H34" s="16">
        <v>2</v>
      </c>
      <c r="I34" s="16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2">
      <c r="D35" s="47">
        <v>330133</v>
      </c>
      <c r="E35" s="17">
        <v>2</v>
      </c>
      <c r="F35" s="17">
        <v>3</v>
      </c>
      <c r="Q35" s="17">
        <v>15</v>
      </c>
      <c r="R35" s="17">
        <v>7</v>
      </c>
      <c r="S35" s="17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2">
      <c r="D36" s="47">
        <v>341963</v>
      </c>
      <c r="E36" s="17">
        <v>2</v>
      </c>
      <c r="F36" s="17">
        <v>4</v>
      </c>
      <c r="Q36" s="17">
        <v>4</v>
      </c>
      <c r="R36" s="17">
        <v>1</v>
      </c>
      <c r="S36" s="17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2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2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AA38" s="19">
        <v>0</v>
      </c>
      <c r="AB38" s="19">
        <v>10</v>
      </c>
      <c r="AC38" s="21">
        <v>0</v>
      </c>
      <c r="AF38" s="63">
        <v>1</v>
      </c>
      <c r="AG38" s="20">
        <v>20</v>
      </c>
      <c r="AH38" s="20">
        <v>1</v>
      </c>
      <c r="AI38" s="20">
        <v>1</v>
      </c>
    </row>
    <row r="39" spans="4:35" x14ac:dyDescent="0.2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2">
      <c r="D40" s="47">
        <v>377404</v>
      </c>
      <c r="E40" s="17">
        <v>1</v>
      </c>
      <c r="F40" s="17">
        <v>2</v>
      </c>
      <c r="Q40" s="17">
        <v>0</v>
      </c>
      <c r="R40" s="17">
        <v>14</v>
      </c>
      <c r="S40" s="17">
        <v>2</v>
      </c>
      <c r="T40" s="17">
        <v>0</v>
      </c>
      <c r="U40" s="17">
        <v>14</v>
      </c>
      <c r="V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2">
      <c r="D41" s="47">
        <v>390736</v>
      </c>
      <c r="E41" s="17">
        <v>2</v>
      </c>
      <c r="F41" s="17">
        <v>3</v>
      </c>
      <c r="G41" s="16">
        <v>0</v>
      </c>
      <c r="H41" s="16">
        <v>17</v>
      </c>
      <c r="I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2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2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T43" s="17">
        <v>1</v>
      </c>
      <c r="U43" s="17">
        <v>6</v>
      </c>
      <c r="V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2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T44" s="17">
        <v>0</v>
      </c>
      <c r="U44" s="17">
        <v>3</v>
      </c>
      <c r="V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2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2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T46" s="17">
        <v>0</v>
      </c>
      <c r="U46" s="17">
        <v>0</v>
      </c>
      <c r="V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2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2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T48" s="17">
        <v>0</v>
      </c>
      <c r="U48" s="17">
        <v>6</v>
      </c>
      <c r="V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2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T49" s="17">
        <v>5</v>
      </c>
      <c r="U49" s="17">
        <v>1</v>
      </c>
      <c r="V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2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2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T51" s="17">
        <v>0</v>
      </c>
      <c r="U51" s="17">
        <v>3</v>
      </c>
      <c r="V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2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T52" s="17">
        <v>0</v>
      </c>
      <c r="U52" s="17">
        <v>4</v>
      </c>
      <c r="V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2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2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T54" s="17">
        <v>2</v>
      </c>
      <c r="U54" s="17">
        <v>7</v>
      </c>
      <c r="V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2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T55" s="17">
        <v>2</v>
      </c>
      <c r="U55" s="17">
        <v>2</v>
      </c>
      <c r="V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2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T56" s="17">
        <v>2</v>
      </c>
      <c r="U56" s="17">
        <v>0</v>
      </c>
      <c r="V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2">
      <c r="D57" s="47">
        <v>494867</v>
      </c>
      <c r="E57" s="17">
        <v>1</v>
      </c>
      <c r="F57" s="17">
        <v>1</v>
      </c>
      <c r="Q57" s="17">
        <v>0</v>
      </c>
      <c r="R57" s="17">
        <v>44</v>
      </c>
      <c r="S57" s="17">
        <v>0</v>
      </c>
      <c r="T57" s="17">
        <v>0</v>
      </c>
      <c r="U57" s="17">
        <v>44</v>
      </c>
      <c r="V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2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T58" s="17">
        <v>2</v>
      </c>
      <c r="U58" s="17">
        <v>1</v>
      </c>
      <c r="V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2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2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2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T61" s="17">
        <v>0</v>
      </c>
      <c r="U61" s="17">
        <v>8</v>
      </c>
      <c r="V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2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T62" s="17">
        <v>0</v>
      </c>
      <c r="U62" s="17">
        <v>4</v>
      </c>
      <c r="V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2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AA63" s="19">
        <v>0</v>
      </c>
      <c r="AB63" s="19">
        <v>70</v>
      </c>
      <c r="AC63" s="21">
        <v>0</v>
      </c>
      <c r="AF63" s="20">
        <v>2</v>
      </c>
      <c r="AG63" s="63">
        <v>21</v>
      </c>
      <c r="AH63" s="20">
        <v>2</v>
      </c>
      <c r="AI63" s="20">
        <v>1</v>
      </c>
    </row>
    <row r="64" spans="4:35" x14ac:dyDescent="0.2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2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2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63">
        <v>21</v>
      </c>
      <c r="AH66" s="20">
        <v>1</v>
      </c>
      <c r="AI66" s="20">
        <v>1</v>
      </c>
    </row>
    <row r="67" spans="4:35" x14ac:dyDescent="0.2">
      <c r="D67" s="47">
        <v>557171</v>
      </c>
      <c r="E67" s="17">
        <v>2</v>
      </c>
      <c r="F67" s="17">
        <v>4</v>
      </c>
      <c r="G67" s="16">
        <v>6</v>
      </c>
      <c r="H67" s="16">
        <v>30</v>
      </c>
      <c r="I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2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T68" s="17">
        <v>0</v>
      </c>
      <c r="U68" s="17">
        <v>2</v>
      </c>
      <c r="V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2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2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2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T71" s="17">
        <v>0</v>
      </c>
      <c r="U71" s="17">
        <v>3</v>
      </c>
      <c r="V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2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2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T73" s="17">
        <v>0</v>
      </c>
      <c r="U73" s="17">
        <v>7</v>
      </c>
      <c r="V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2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2">
      <c r="D75" s="47">
        <v>610784</v>
      </c>
      <c r="E75" s="17">
        <v>2</v>
      </c>
      <c r="F75" s="17">
        <v>3</v>
      </c>
      <c r="G75" s="16">
        <v>19</v>
      </c>
      <c r="H75" s="16">
        <v>15</v>
      </c>
      <c r="I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2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T76" s="17">
        <v>1</v>
      </c>
      <c r="U76" s="17">
        <v>2</v>
      </c>
      <c r="V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2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2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2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T79" s="17">
        <v>1</v>
      </c>
      <c r="U79" s="17">
        <v>0</v>
      </c>
      <c r="V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2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T80" s="17">
        <v>1</v>
      </c>
      <c r="U80" s="17">
        <v>2</v>
      </c>
      <c r="V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2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2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2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2">
      <c r="D84" s="47">
        <v>720290</v>
      </c>
      <c r="E84" s="17">
        <v>2</v>
      </c>
      <c r="F84" s="17">
        <v>4</v>
      </c>
      <c r="G84" s="16">
        <v>5</v>
      </c>
      <c r="H84" s="16">
        <v>2</v>
      </c>
      <c r="I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2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T85" s="17">
        <v>0</v>
      </c>
      <c r="U85" s="17">
        <v>4</v>
      </c>
      <c r="V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2">
      <c r="D86" s="47">
        <v>736700</v>
      </c>
      <c r="E86" s="17">
        <v>2</v>
      </c>
      <c r="F86" s="17">
        <v>2</v>
      </c>
      <c r="G86" s="16">
        <v>21</v>
      </c>
      <c r="H86" s="16">
        <v>7</v>
      </c>
      <c r="I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2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T87" s="17">
        <v>0</v>
      </c>
      <c r="U87" s="17">
        <v>5</v>
      </c>
      <c r="V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2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T88" s="17">
        <v>0</v>
      </c>
      <c r="U88" s="17">
        <v>5</v>
      </c>
      <c r="V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2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2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62">
        <v>5</v>
      </c>
      <c r="AB90" s="19">
        <v>70</v>
      </c>
      <c r="AC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x14ac:dyDescent="0.2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2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2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T93" s="17">
        <v>0</v>
      </c>
      <c r="U93" s="17">
        <v>2</v>
      </c>
      <c r="V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2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T94" s="17">
        <v>0</v>
      </c>
      <c r="U94" s="17">
        <v>3</v>
      </c>
      <c r="V94" s="17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2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AA95" s="19">
        <v>0</v>
      </c>
      <c r="AB95" s="19">
        <v>90</v>
      </c>
      <c r="AC95" s="21">
        <v>0</v>
      </c>
      <c r="AF95" s="63">
        <v>1</v>
      </c>
      <c r="AG95" s="20">
        <v>22</v>
      </c>
      <c r="AH95" s="20">
        <v>1</v>
      </c>
      <c r="AI95" s="20">
        <v>1</v>
      </c>
    </row>
    <row r="96" spans="4:35" x14ac:dyDescent="0.2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2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2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AA98" s="19">
        <v>10</v>
      </c>
      <c r="AB98" s="19">
        <v>95</v>
      </c>
      <c r="AC98" s="21">
        <v>0</v>
      </c>
      <c r="AF98" s="63">
        <v>1</v>
      </c>
      <c r="AG98" s="20">
        <v>22</v>
      </c>
      <c r="AH98" s="20">
        <v>1</v>
      </c>
      <c r="AI98" s="20">
        <v>1</v>
      </c>
    </row>
    <row r="99" spans="4:35" x14ac:dyDescent="0.2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2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2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T101" s="17">
        <v>0</v>
      </c>
      <c r="U101" s="17">
        <v>6</v>
      </c>
      <c r="V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2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2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2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T104" s="17">
        <v>0</v>
      </c>
      <c r="U104" s="17">
        <v>2</v>
      </c>
      <c r="V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2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2">
      <c r="D106" s="47">
        <v>837348</v>
      </c>
      <c r="E106" s="17">
        <v>2</v>
      </c>
      <c r="F106" s="17">
        <v>2</v>
      </c>
      <c r="G106" s="16">
        <v>10</v>
      </c>
      <c r="H106" s="16">
        <v>2</v>
      </c>
      <c r="I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2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2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T108" s="17">
        <v>0</v>
      </c>
      <c r="U108" s="17">
        <v>11</v>
      </c>
      <c r="V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2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T109" s="17">
        <v>3</v>
      </c>
      <c r="U109" s="17">
        <v>4</v>
      </c>
      <c r="V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2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T110" s="17">
        <v>0</v>
      </c>
      <c r="U110" s="17">
        <v>16</v>
      </c>
      <c r="V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2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2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2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2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2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2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2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2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2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T119" s="17">
        <v>1</v>
      </c>
      <c r="U119" s="17">
        <v>3</v>
      </c>
      <c r="V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2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2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2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2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T123" s="17">
        <v>0</v>
      </c>
      <c r="U123" s="17">
        <v>1</v>
      </c>
      <c r="V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2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T124" s="17">
        <v>9</v>
      </c>
      <c r="U124" s="17">
        <v>0</v>
      </c>
      <c r="V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2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T125" s="17">
        <v>0</v>
      </c>
      <c r="U125" s="17">
        <v>1</v>
      </c>
      <c r="V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2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9BBC-AA7E-2245-91AE-98729E8CEFC3}">
  <dimension ref="A1:AI126"/>
  <sheetViews>
    <sheetView zoomScaleNormal="100" workbookViewId="0">
      <pane xSplit="4" ySplit="1" topLeftCell="E90" activePane="bottomRight" state="frozen"/>
      <selection pane="topRight" activeCell="E1" sqref="E1"/>
      <selection pane="bottomLeft" activeCell="A2" sqref="A2"/>
      <selection pane="bottomRight" activeCell="D108" sqref="D108"/>
    </sheetView>
  </sheetViews>
  <sheetFormatPr baseColWidth="10" defaultColWidth="8.83203125" defaultRowHeight="16" x14ac:dyDescent="0.2"/>
  <cols>
    <col min="1" max="1" width="56.33203125" style="60" customWidth="1"/>
    <col min="2" max="2" width="13.1640625" hidden="1" customWidth="1"/>
    <col min="3" max="3" width="5.5" customWidth="1"/>
    <col min="4" max="4" width="11.5" style="47" customWidth="1"/>
    <col min="5" max="5" width="11.5" style="17" customWidth="1"/>
    <col min="6" max="6" width="15" style="17" customWidth="1"/>
    <col min="7" max="7" width="19.6640625" style="16" customWidth="1"/>
    <col min="8" max="8" width="19.5" style="16" customWidth="1"/>
    <col min="9" max="9" width="15.83203125" style="16" bestFit="1" customWidth="1"/>
    <col min="10" max="10" width="20.5" style="16" hidden="1" customWidth="1"/>
    <col min="11" max="11" width="21.1640625" style="16" hidden="1" customWidth="1"/>
    <col min="12" max="12" width="20.5" style="16" hidden="1" customWidth="1"/>
    <col min="13" max="13" width="21.1640625" style="16" hidden="1" customWidth="1"/>
    <col min="14" max="14" width="20.164062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5" style="17" customWidth="1"/>
    <col min="19" max="19" width="21.83203125" style="17" customWidth="1"/>
    <col min="20" max="25" width="21.83203125" style="17" hidden="1" customWidth="1"/>
    <col min="26" max="26" width="27.5" style="17" hidden="1" customWidth="1"/>
    <col min="27" max="28" width="20.83203125" style="19" customWidth="1"/>
    <col min="29" max="29" width="14.33203125" style="21" customWidth="1"/>
    <col min="30" max="30" width="13.5" style="21" hidden="1" customWidth="1"/>
    <col min="31" max="31" width="12.5" style="21" hidden="1" customWidth="1"/>
    <col min="32" max="34" width="8.83203125" style="20"/>
    <col min="35" max="35" width="14.1640625" style="20" customWidth="1"/>
  </cols>
  <sheetData>
    <row r="1" spans="1:35" ht="17" x14ac:dyDescent="0.2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47" t="s">
        <v>23</v>
      </c>
      <c r="B2" s="48"/>
      <c r="C2" s="69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2">
      <c r="A3" s="47" t="s">
        <v>22</v>
      </c>
      <c r="B3" s="48"/>
      <c r="C3" s="70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">
      <c r="A4" s="47" t="s">
        <v>7</v>
      </c>
      <c r="B4" s="48"/>
      <c r="C4" s="70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x14ac:dyDescent="0.2">
      <c r="A5" s="47" t="s">
        <v>52</v>
      </c>
      <c r="B5" s="48"/>
      <c r="C5" s="71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2">
      <c r="A6" s="53" t="s">
        <v>25</v>
      </c>
      <c r="B6" s="48"/>
      <c r="C6" s="72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2">
      <c r="A7" s="10" t="s">
        <v>18</v>
      </c>
      <c r="B7" s="25"/>
      <c r="C7" s="72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2">
      <c r="A8" s="14" t="s">
        <v>24</v>
      </c>
      <c r="B8" s="26"/>
      <c r="C8" s="72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J8" s="16">
        <v>20</v>
      </c>
      <c r="K8" s="16">
        <v>7</v>
      </c>
      <c r="L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2">
      <c r="A9" s="55" t="s">
        <v>13</v>
      </c>
      <c r="B9" s="48"/>
      <c r="C9" s="72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>
        <v>21</v>
      </c>
      <c r="K9" s="53">
        <v>0</v>
      </c>
      <c r="L9" s="53">
        <v>3</v>
      </c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2">
      <c r="A10" s="55" t="s">
        <v>14</v>
      </c>
      <c r="B10" s="48"/>
      <c r="C10" s="72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2">
      <c r="A11" s="11" t="s">
        <v>15</v>
      </c>
      <c r="C11" s="72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J11" s="16">
        <v>23</v>
      </c>
      <c r="K11" s="16">
        <v>7</v>
      </c>
      <c r="L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2">
      <c r="A12" s="11" t="s">
        <v>12</v>
      </c>
      <c r="C12" s="72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J12" s="16">
        <v>37</v>
      </c>
      <c r="K12" s="16">
        <v>3</v>
      </c>
      <c r="L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2">
      <c r="A13" s="11" t="s">
        <v>21</v>
      </c>
      <c r="C13" s="72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J13" s="16">
        <v>35</v>
      </c>
      <c r="K13" s="16">
        <v>3</v>
      </c>
      <c r="L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2">
      <c r="A14"/>
      <c r="C14" s="72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J14" s="16">
        <v>27</v>
      </c>
      <c r="K14" s="16">
        <v>0</v>
      </c>
      <c r="L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2">
      <c r="A15" s="11" t="s">
        <v>56</v>
      </c>
      <c r="C15" s="72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2">
      <c r="A16" s="11" t="s">
        <v>57</v>
      </c>
      <c r="C16" s="72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J16" s="16">
        <v>6</v>
      </c>
      <c r="K16" s="16">
        <v>11</v>
      </c>
      <c r="L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2">
      <c r="C17" s="72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J17" s="16">
        <v>22</v>
      </c>
      <c r="K17" s="16">
        <v>0</v>
      </c>
      <c r="L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2">
      <c r="A18" s="60">
        <f>ROWS(D6:D126)</f>
        <v>121</v>
      </c>
      <c r="C18" s="72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2">
      <c r="C19" s="72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2">
      <c r="C20" s="72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2">
      <c r="C21" s="72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19">
        <v>0</v>
      </c>
      <c r="AB21" s="19">
        <v>80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2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2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2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2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2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2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J27" s="16">
        <v>9</v>
      </c>
      <c r="K27" s="16">
        <v>25</v>
      </c>
      <c r="L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2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J28" s="16">
        <v>5</v>
      </c>
      <c r="K28" s="16">
        <v>2</v>
      </c>
      <c r="L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2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J29" s="16">
        <v>25</v>
      </c>
      <c r="K29" s="16">
        <v>3</v>
      </c>
      <c r="L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2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J30" s="16">
        <v>23</v>
      </c>
      <c r="K30" s="16">
        <v>0</v>
      </c>
      <c r="L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2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2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J32" s="16">
        <v>25</v>
      </c>
      <c r="K32" s="16">
        <v>4</v>
      </c>
      <c r="L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2">
      <c r="D33" s="67">
        <v>315045</v>
      </c>
      <c r="E33" s="17">
        <v>1</v>
      </c>
      <c r="F33" s="17">
        <v>3</v>
      </c>
      <c r="G33" s="16">
        <v>2</v>
      </c>
      <c r="H33" s="16">
        <v>2</v>
      </c>
      <c r="I33" s="16">
        <v>1</v>
      </c>
      <c r="J33" s="16">
        <v>2</v>
      </c>
      <c r="K33" s="16">
        <v>2</v>
      </c>
      <c r="L33" s="16">
        <v>1</v>
      </c>
      <c r="AA33" s="19">
        <v>10</v>
      </c>
      <c r="AB33" s="19">
        <v>20</v>
      </c>
      <c r="AC33" s="21">
        <v>0</v>
      </c>
      <c r="AF33" s="64">
        <v>2</v>
      </c>
      <c r="AG33" s="64">
        <v>21</v>
      </c>
      <c r="AH33" s="64">
        <v>1</v>
      </c>
      <c r="AI33" s="64">
        <v>1</v>
      </c>
    </row>
    <row r="34" spans="4:35" x14ac:dyDescent="0.2">
      <c r="D34" s="47">
        <v>326586</v>
      </c>
      <c r="E34" s="17">
        <v>1</v>
      </c>
      <c r="F34" s="17">
        <v>2</v>
      </c>
      <c r="Q34" s="17">
        <v>0</v>
      </c>
      <c r="R34" s="17">
        <v>2</v>
      </c>
      <c r="S34" s="17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2">
      <c r="D35" s="47">
        <v>330133</v>
      </c>
      <c r="E35" s="17">
        <v>2</v>
      </c>
      <c r="F35" s="17">
        <v>3</v>
      </c>
      <c r="G35" s="16">
        <v>15</v>
      </c>
      <c r="H35" s="16">
        <v>7</v>
      </c>
      <c r="I35" s="16">
        <v>19</v>
      </c>
      <c r="J35" s="16">
        <v>15</v>
      </c>
      <c r="K35" s="16">
        <v>7</v>
      </c>
      <c r="L35" s="16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2">
      <c r="D36" s="47">
        <v>341963</v>
      </c>
      <c r="E36" s="17">
        <v>2</v>
      </c>
      <c r="F36" s="17">
        <v>4</v>
      </c>
      <c r="G36" s="16">
        <v>4</v>
      </c>
      <c r="H36" s="16">
        <v>1</v>
      </c>
      <c r="I36" s="16">
        <v>14</v>
      </c>
      <c r="J36" s="16">
        <v>4</v>
      </c>
      <c r="K36" s="16">
        <v>1</v>
      </c>
      <c r="L36" s="16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2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2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J38" s="16">
        <v>0</v>
      </c>
      <c r="K38" s="16">
        <v>8</v>
      </c>
      <c r="L38" s="16">
        <v>0</v>
      </c>
      <c r="AA38" s="19">
        <v>0</v>
      </c>
      <c r="AB38" s="19">
        <v>10</v>
      </c>
      <c r="AC38" s="21">
        <v>0</v>
      </c>
      <c r="AF38" s="20">
        <v>2</v>
      </c>
      <c r="AG38" s="20">
        <v>20</v>
      </c>
      <c r="AH38" s="20">
        <v>1</v>
      </c>
      <c r="AI38" s="20">
        <v>1</v>
      </c>
    </row>
    <row r="39" spans="4:35" x14ac:dyDescent="0.2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2">
      <c r="D40" s="47">
        <v>377404</v>
      </c>
      <c r="E40" s="17">
        <v>1</v>
      </c>
      <c r="F40" s="17">
        <v>2</v>
      </c>
      <c r="Q40" s="17">
        <v>0</v>
      </c>
      <c r="R40" s="17">
        <v>14</v>
      </c>
      <c r="S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2">
      <c r="D41" s="47">
        <v>390736</v>
      </c>
      <c r="E41" s="17">
        <v>2</v>
      </c>
      <c r="F41" s="17">
        <v>3</v>
      </c>
      <c r="G41" s="16">
        <v>0</v>
      </c>
      <c r="H41" s="16">
        <v>17</v>
      </c>
      <c r="I41" s="16">
        <v>38</v>
      </c>
      <c r="J41" s="16">
        <v>0</v>
      </c>
      <c r="K41" s="16">
        <v>17</v>
      </c>
      <c r="L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2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2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2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2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J45" s="16">
        <v>8</v>
      </c>
      <c r="K45" s="16">
        <v>9</v>
      </c>
      <c r="L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2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2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J47" s="16">
        <v>4</v>
      </c>
      <c r="K47" s="16">
        <v>1</v>
      </c>
      <c r="L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2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2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2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J50" s="16">
        <v>4</v>
      </c>
      <c r="K50" s="16">
        <v>7</v>
      </c>
      <c r="L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2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2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2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J53" s="16">
        <v>7</v>
      </c>
      <c r="K53" s="16">
        <v>5</v>
      </c>
      <c r="L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2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2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2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2">
      <c r="D57" s="47">
        <v>494867</v>
      </c>
      <c r="E57" s="17">
        <v>1</v>
      </c>
      <c r="F57" s="17">
        <v>1</v>
      </c>
      <c r="Q57" s="17">
        <v>0</v>
      </c>
      <c r="R57" s="17">
        <v>44</v>
      </c>
      <c r="S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2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2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88</v>
      </c>
      <c r="J59" s="16">
        <v>10</v>
      </c>
      <c r="K59" s="16">
        <v>0</v>
      </c>
      <c r="L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2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J60" s="16">
        <v>0</v>
      </c>
      <c r="K60" s="16">
        <v>9</v>
      </c>
      <c r="L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2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2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2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J63" s="16">
        <v>4</v>
      </c>
      <c r="K63" s="16">
        <v>10</v>
      </c>
      <c r="L63" s="16">
        <v>20</v>
      </c>
      <c r="AA63" s="19">
        <v>0</v>
      </c>
      <c r="AB63" s="19">
        <v>70</v>
      </c>
      <c r="AC63" s="21">
        <v>0</v>
      </c>
      <c r="AF63" s="20">
        <v>2</v>
      </c>
      <c r="AG63" s="20">
        <v>25</v>
      </c>
      <c r="AH63" s="20">
        <v>2</v>
      </c>
      <c r="AI63" s="20">
        <v>1</v>
      </c>
    </row>
    <row r="64" spans="4:35" x14ac:dyDescent="0.2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J64" s="16">
        <v>1</v>
      </c>
      <c r="K64" s="16">
        <v>2</v>
      </c>
      <c r="L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2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2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J66" s="16">
        <v>14</v>
      </c>
      <c r="K66" s="16">
        <v>0</v>
      </c>
      <c r="L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20">
        <v>20</v>
      </c>
      <c r="AH66" s="20">
        <v>1</v>
      </c>
      <c r="AI66" s="20">
        <v>1</v>
      </c>
    </row>
    <row r="67" spans="4:35" x14ac:dyDescent="0.2">
      <c r="D67" s="47">
        <v>557171</v>
      </c>
      <c r="E67" s="17">
        <v>2</v>
      </c>
      <c r="F67" s="17">
        <v>4</v>
      </c>
      <c r="G67" s="16">
        <v>6</v>
      </c>
      <c r="H67" s="16">
        <v>30</v>
      </c>
      <c r="I67" s="16">
        <v>16</v>
      </c>
      <c r="J67" s="16">
        <v>6</v>
      </c>
      <c r="K67" s="16">
        <v>30</v>
      </c>
      <c r="L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2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2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J69" s="16">
        <v>5</v>
      </c>
      <c r="K69" s="16">
        <v>1</v>
      </c>
      <c r="L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2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J70" s="16">
        <v>0</v>
      </c>
      <c r="K70" s="16">
        <v>12</v>
      </c>
      <c r="L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2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2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J72" s="16">
        <v>6</v>
      </c>
      <c r="K72" s="16">
        <v>0</v>
      </c>
      <c r="L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2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2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2">
      <c r="D75" s="47">
        <v>610784</v>
      </c>
      <c r="E75" s="17">
        <v>2</v>
      </c>
      <c r="F75" s="17">
        <v>3</v>
      </c>
      <c r="G75" s="16">
        <v>19</v>
      </c>
      <c r="H75" s="16">
        <v>15</v>
      </c>
      <c r="I75" s="16">
        <v>12</v>
      </c>
      <c r="J75" s="16">
        <v>19</v>
      </c>
      <c r="K75" s="16">
        <v>15</v>
      </c>
      <c r="L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2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2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J77" s="16">
        <v>0</v>
      </c>
      <c r="K77" s="16">
        <v>9</v>
      </c>
      <c r="L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2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J78" s="16">
        <v>18</v>
      </c>
      <c r="K78" s="16">
        <v>7</v>
      </c>
      <c r="L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2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2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2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J81" s="16">
        <v>10</v>
      </c>
      <c r="K81" s="16">
        <v>2</v>
      </c>
      <c r="L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2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2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J83" s="16">
        <v>6</v>
      </c>
      <c r="K83" s="16">
        <v>6</v>
      </c>
      <c r="L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2">
      <c r="D84" s="47">
        <v>720290</v>
      </c>
      <c r="E84" s="17">
        <v>2</v>
      </c>
      <c r="F84" s="17">
        <v>4</v>
      </c>
      <c r="G84" s="16">
        <v>5</v>
      </c>
      <c r="H84" s="16">
        <v>2</v>
      </c>
      <c r="I84" s="16">
        <v>27</v>
      </c>
      <c r="J84" s="16">
        <v>5</v>
      </c>
      <c r="K84" s="16">
        <v>2</v>
      </c>
      <c r="L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2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2">
      <c r="D86" s="47">
        <v>736700</v>
      </c>
      <c r="E86" s="17">
        <v>2</v>
      </c>
      <c r="F86" s="17">
        <v>2</v>
      </c>
      <c r="G86" s="16">
        <v>21</v>
      </c>
      <c r="H86" s="16">
        <v>7</v>
      </c>
      <c r="I86" s="16">
        <v>17</v>
      </c>
      <c r="J86" s="16">
        <v>21</v>
      </c>
      <c r="K86" s="16">
        <v>7</v>
      </c>
      <c r="L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2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2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2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J89" s="16">
        <v>0</v>
      </c>
      <c r="K89" s="16">
        <v>3</v>
      </c>
      <c r="L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2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19">
        <v>7</v>
      </c>
      <c r="AB90" s="19">
        <v>70</v>
      </c>
      <c r="AC90" s="21">
        <v>1</v>
      </c>
      <c r="AF90" s="20">
        <v>2</v>
      </c>
      <c r="AG90" s="20">
        <v>21</v>
      </c>
      <c r="AH90" s="20">
        <v>1</v>
      </c>
      <c r="AI90" s="20">
        <v>1</v>
      </c>
    </row>
    <row r="91" spans="4:35" x14ac:dyDescent="0.2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2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J92" s="16">
        <v>1</v>
      </c>
      <c r="K92" s="16">
        <v>16</v>
      </c>
      <c r="L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2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2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J94" s="16">
        <v>0</v>
      </c>
      <c r="K94" s="16">
        <v>3</v>
      </c>
      <c r="L94" s="16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2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J95" s="16">
        <v>11</v>
      </c>
      <c r="K95" s="16">
        <v>8</v>
      </c>
      <c r="L95" s="16">
        <v>61</v>
      </c>
      <c r="AA95" s="19">
        <v>0</v>
      </c>
      <c r="AB95" s="19">
        <v>90</v>
      </c>
      <c r="AC95" s="21">
        <v>0</v>
      </c>
      <c r="AF95" s="20">
        <v>2</v>
      </c>
      <c r="AG95" s="20">
        <v>22</v>
      </c>
      <c r="AH95" s="20">
        <v>1</v>
      </c>
      <c r="AI95" s="20">
        <v>1</v>
      </c>
    </row>
    <row r="96" spans="4:35" x14ac:dyDescent="0.2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J96" s="16">
        <v>1</v>
      </c>
      <c r="K96" s="16">
        <v>4</v>
      </c>
      <c r="L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2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J97" s="16">
        <v>32</v>
      </c>
      <c r="K97" s="16">
        <v>3</v>
      </c>
      <c r="L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2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J98" s="16">
        <v>20</v>
      </c>
      <c r="K98" s="16">
        <v>9</v>
      </c>
      <c r="L98" s="16">
        <v>44</v>
      </c>
      <c r="AA98" s="19">
        <v>10</v>
      </c>
      <c r="AB98" s="19">
        <v>95</v>
      </c>
      <c r="AC98" s="21">
        <v>0</v>
      </c>
      <c r="AF98" s="20">
        <v>2</v>
      </c>
      <c r="AG98" s="20">
        <v>22</v>
      </c>
      <c r="AH98" s="20">
        <v>1</v>
      </c>
      <c r="AI98" s="20">
        <v>1</v>
      </c>
    </row>
    <row r="99" spans="4:35" x14ac:dyDescent="0.2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J99" s="16">
        <v>0</v>
      </c>
      <c r="K99" s="16">
        <v>12</v>
      </c>
      <c r="L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2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J100" s="16">
        <v>10</v>
      </c>
      <c r="K100" s="16">
        <v>1</v>
      </c>
      <c r="L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2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2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J102" s="16">
        <v>4</v>
      </c>
      <c r="K102" s="16">
        <v>5</v>
      </c>
      <c r="L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2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J103" s="16">
        <v>17</v>
      </c>
      <c r="K103" s="16">
        <v>11</v>
      </c>
      <c r="L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2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2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J105" s="16">
        <v>23</v>
      </c>
      <c r="K105" s="16">
        <v>2</v>
      </c>
      <c r="L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2">
      <c r="D106" s="47">
        <v>837348</v>
      </c>
      <c r="E106" s="17">
        <v>2</v>
      </c>
      <c r="F106" s="17">
        <v>2</v>
      </c>
      <c r="G106" s="16">
        <v>10</v>
      </c>
      <c r="H106" s="16">
        <v>2</v>
      </c>
      <c r="I106" s="16">
        <v>12</v>
      </c>
      <c r="J106" s="16">
        <v>10</v>
      </c>
      <c r="K106" s="16">
        <v>2</v>
      </c>
      <c r="L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2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J107" s="16">
        <v>0</v>
      </c>
      <c r="K107" s="16">
        <v>10</v>
      </c>
      <c r="L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2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2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2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2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J111" s="16">
        <v>0</v>
      </c>
      <c r="K111" s="16">
        <v>36</v>
      </c>
      <c r="L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2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J112" s="16">
        <v>12</v>
      </c>
      <c r="K112" s="16">
        <v>5</v>
      </c>
      <c r="L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2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26</v>
      </c>
      <c r="J113" s="16">
        <v>14</v>
      </c>
      <c r="K113" s="16">
        <v>6</v>
      </c>
      <c r="L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2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J114" s="16">
        <v>1</v>
      </c>
      <c r="K114" s="16">
        <v>25</v>
      </c>
      <c r="L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2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J115" s="16">
        <v>2</v>
      </c>
      <c r="K115" s="16">
        <v>2</v>
      </c>
      <c r="L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2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J116" s="16">
        <v>10</v>
      </c>
      <c r="K116" s="16">
        <v>1</v>
      </c>
      <c r="L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2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J117" s="16">
        <v>16</v>
      </c>
      <c r="K117" s="16">
        <v>4</v>
      </c>
      <c r="L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2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J118" s="16">
        <v>1</v>
      </c>
      <c r="K118" s="16">
        <v>0</v>
      </c>
      <c r="L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2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2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J120" s="16">
        <v>20</v>
      </c>
      <c r="K120" s="16">
        <v>24</v>
      </c>
      <c r="L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2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2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2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2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2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2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J126" s="16">
        <v>5</v>
      </c>
      <c r="K126" s="16">
        <v>22</v>
      </c>
      <c r="L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C1:AI126" xr:uid="{1D0B9BBC-AA7E-2245-91AE-98729E8CEFC3}"/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D79E-E509-5C40-B292-0925A341EE2E}">
  <dimension ref="A1:AI126"/>
  <sheetViews>
    <sheetView zoomScale="106" zoomScaleNormal="78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baseColWidth="10" defaultColWidth="8.83203125" defaultRowHeight="15" x14ac:dyDescent="0.2"/>
  <cols>
    <col min="1" max="1" width="118.6640625" bestFit="1" customWidth="1"/>
    <col min="2" max="2" width="8.5" customWidth="1"/>
    <col min="3" max="3" width="4.6640625" bestFit="1" customWidth="1"/>
    <col min="4" max="4" width="11.83203125" style="17" bestFit="1" customWidth="1"/>
    <col min="5" max="5" width="9.33203125" style="17" bestFit="1" customWidth="1"/>
    <col min="6" max="6" width="10.6640625" style="17" bestFit="1" customWidth="1"/>
    <col min="7" max="9" width="16.33203125" style="16" hidden="1" customWidth="1"/>
    <col min="10" max="12" width="16.33203125" style="16" bestFit="1" customWidth="1"/>
    <col min="13" max="14" width="14.1640625" style="16" hidden="1" customWidth="1"/>
    <col min="15" max="15" width="14" style="16" hidden="1" customWidth="1"/>
    <col min="16" max="16" width="22.83203125" style="16" hidden="1" customWidth="1"/>
    <col min="17" max="19" width="16.33203125" style="17" hidden="1" customWidth="1"/>
    <col min="20" max="22" width="16.33203125" style="17" bestFit="1" customWidth="1"/>
    <col min="23" max="24" width="14.1640625" style="17" hidden="1" customWidth="1"/>
    <col min="25" max="25" width="14" style="17" hidden="1" customWidth="1"/>
    <col min="26" max="26" width="20" style="17" hidden="1" customWidth="1"/>
    <col min="27" max="28" width="17.6640625" style="19" bestFit="1" customWidth="1"/>
    <col min="29" max="30" width="12.5" style="21" bestFit="1" customWidth="1"/>
    <col min="31" max="31" width="10.1640625" style="21" bestFit="1" customWidth="1"/>
    <col min="32" max="32" width="12" style="20" bestFit="1" customWidth="1"/>
    <col min="33" max="33" width="4.1640625" style="20" bestFit="1" customWidth="1"/>
    <col min="34" max="34" width="9.1640625" style="20" bestFit="1" customWidth="1"/>
    <col min="35" max="35" width="12.83203125" style="20" bestFit="1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69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6" x14ac:dyDescent="0.2">
      <c r="A3" s="7" t="s">
        <v>22</v>
      </c>
      <c r="B3" s="24"/>
      <c r="C3" s="70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70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71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72" t="s">
        <v>51</v>
      </c>
      <c r="D6" s="44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72"/>
      <c r="D7" s="44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63">
        <v>1</v>
      </c>
      <c r="AG7" s="20">
        <v>19</v>
      </c>
      <c r="AH7" s="20">
        <v>1</v>
      </c>
      <c r="AI7" s="20">
        <v>1</v>
      </c>
    </row>
    <row r="8" spans="1:35" ht="16" x14ac:dyDescent="0.2">
      <c r="A8" s="14" t="s">
        <v>24</v>
      </c>
      <c r="B8" s="26"/>
      <c r="C8" s="72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6" x14ac:dyDescent="0.2">
      <c r="A9" s="9" t="s">
        <v>13</v>
      </c>
      <c r="B9" s="24"/>
      <c r="C9" s="72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72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6" x14ac:dyDescent="0.2">
      <c r="A11" s="11" t="s">
        <v>15</v>
      </c>
      <c r="C11" s="72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6" x14ac:dyDescent="0.2">
      <c r="A12" s="11" t="s">
        <v>12</v>
      </c>
      <c r="C12" s="72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6" x14ac:dyDescent="0.2">
      <c r="A13" s="11" t="s">
        <v>21</v>
      </c>
      <c r="C13" s="72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6" x14ac:dyDescent="0.2">
      <c r="C14" s="72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6" x14ac:dyDescent="0.2">
      <c r="C15" s="72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63">
        <v>1</v>
      </c>
      <c r="AG15" s="20">
        <v>19</v>
      </c>
      <c r="AH15" s="20">
        <v>1</v>
      </c>
      <c r="AI15" s="20">
        <v>1</v>
      </c>
    </row>
    <row r="16" spans="1:35" ht="16" x14ac:dyDescent="0.2">
      <c r="C16" s="72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6" x14ac:dyDescent="0.2">
      <c r="C17" s="72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6" x14ac:dyDescent="0.2">
      <c r="C18" s="72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63">
        <v>1</v>
      </c>
      <c r="AG18" s="20">
        <v>23</v>
      </c>
      <c r="AH18" s="20">
        <v>1</v>
      </c>
      <c r="AI18" s="20">
        <v>2</v>
      </c>
    </row>
    <row r="19" spans="3:35" ht="16" x14ac:dyDescent="0.2">
      <c r="C19" s="72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6" x14ac:dyDescent="0.2">
      <c r="C20" s="72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6" x14ac:dyDescent="0.2">
      <c r="C21" s="72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6" x14ac:dyDescent="0.2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6" x14ac:dyDescent="0.2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6" x14ac:dyDescent="0.2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6" x14ac:dyDescent="0.2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6" x14ac:dyDescent="0.2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6" x14ac:dyDescent="0.2">
      <c r="D27" s="42">
        <v>256240</v>
      </c>
      <c r="E27" s="17">
        <v>2</v>
      </c>
      <c r="F27" s="17">
        <v>3</v>
      </c>
      <c r="J27" s="16">
        <v>7</v>
      </c>
      <c r="K27" s="16">
        <v>20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6" x14ac:dyDescent="0.2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6" x14ac:dyDescent="0.2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6" x14ac:dyDescent="0.2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6" x14ac:dyDescent="0.2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6" x14ac:dyDescent="0.2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1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6" x14ac:dyDescent="0.2">
      <c r="D33" s="43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ht="16" x14ac:dyDescent="0.2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6" x14ac:dyDescent="0.2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6" x14ac:dyDescent="0.2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6" x14ac:dyDescent="0.2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6" x14ac:dyDescent="0.2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6" x14ac:dyDescent="0.2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6" x14ac:dyDescent="0.2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6" x14ac:dyDescent="0.2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6" x14ac:dyDescent="0.2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6" x14ac:dyDescent="0.2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6" x14ac:dyDescent="0.2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63">
        <v>2</v>
      </c>
      <c r="AG45" s="20">
        <v>18</v>
      </c>
      <c r="AH45" s="20">
        <v>1</v>
      </c>
      <c r="AI45" s="20">
        <v>1</v>
      </c>
    </row>
    <row r="46" spans="4:35" ht="16" x14ac:dyDescent="0.2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6" x14ac:dyDescent="0.2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6" x14ac:dyDescent="0.2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6" x14ac:dyDescent="0.2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6" x14ac:dyDescent="0.2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6" x14ac:dyDescent="0.2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6" x14ac:dyDescent="0.2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6" x14ac:dyDescent="0.2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6" x14ac:dyDescent="0.2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6" x14ac:dyDescent="0.2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6" x14ac:dyDescent="0.2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6" x14ac:dyDescent="0.2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6" x14ac:dyDescent="0.2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6" x14ac:dyDescent="0.2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6" x14ac:dyDescent="0.2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6" x14ac:dyDescent="0.2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6" x14ac:dyDescent="0.2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63">
        <v>2</v>
      </c>
      <c r="AG63" s="20">
        <v>21</v>
      </c>
      <c r="AH63" s="20">
        <v>2</v>
      </c>
      <c r="AI63" s="20">
        <v>1</v>
      </c>
    </row>
    <row r="64" spans="4:35" ht="16" x14ac:dyDescent="0.2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6" x14ac:dyDescent="0.2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6" x14ac:dyDescent="0.2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6" x14ac:dyDescent="0.2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6" x14ac:dyDescent="0.2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6" x14ac:dyDescent="0.2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6" x14ac:dyDescent="0.2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63">
        <v>2</v>
      </c>
      <c r="AG70" s="20">
        <v>20</v>
      </c>
      <c r="AH70" s="20">
        <v>1</v>
      </c>
      <c r="AI70" s="20">
        <v>1</v>
      </c>
    </row>
    <row r="71" spans="4:35" ht="16" x14ac:dyDescent="0.2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6" x14ac:dyDescent="0.2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6" x14ac:dyDescent="0.2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6" x14ac:dyDescent="0.2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6" x14ac:dyDescent="0.2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6" x14ac:dyDescent="0.2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6" x14ac:dyDescent="0.2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6" x14ac:dyDescent="0.2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6" x14ac:dyDescent="0.2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6" x14ac:dyDescent="0.2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6" x14ac:dyDescent="0.2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6" x14ac:dyDescent="0.2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6" x14ac:dyDescent="0.2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6" x14ac:dyDescent="0.2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6" x14ac:dyDescent="0.2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6" x14ac:dyDescent="0.2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6" x14ac:dyDescent="0.2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6" x14ac:dyDescent="0.2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6" x14ac:dyDescent="0.2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6" x14ac:dyDescent="0.2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ht="16" x14ac:dyDescent="0.2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6" x14ac:dyDescent="0.2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6" x14ac:dyDescent="0.2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6" x14ac:dyDescent="0.2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6" x14ac:dyDescent="0.2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6" x14ac:dyDescent="0.2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6" x14ac:dyDescent="0.2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6" x14ac:dyDescent="0.2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6" x14ac:dyDescent="0.2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6" x14ac:dyDescent="0.2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6" x14ac:dyDescent="0.2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6" x14ac:dyDescent="0.2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6" x14ac:dyDescent="0.2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6" x14ac:dyDescent="0.2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6" x14ac:dyDescent="0.2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6" x14ac:dyDescent="0.2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6" x14ac:dyDescent="0.2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6" x14ac:dyDescent="0.2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63">
        <v>1</v>
      </c>
      <c r="AG108" s="20">
        <v>21</v>
      </c>
      <c r="AH108" s="20">
        <v>2</v>
      </c>
      <c r="AI108" s="63">
        <v>1</v>
      </c>
    </row>
    <row r="109" spans="4:35" ht="16" x14ac:dyDescent="0.2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6" x14ac:dyDescent="0.2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6" x14ac:dyDescent="0.2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6" x14ac:dyDescent="0.2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6" x14ac:dyDescent="0.2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6" x14ac:dyDescent="0.2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6" x14ac:dyDescent="0.2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6" x14ac:dyDescent="0.2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6" x14ac:dyDescent="0.2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6" x14ac:dyDescent="0.2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6" x14ac:dyDescent="0.2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6" x14ac:dyDescent="0.2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6" x14ac:dyDescent="0.2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6" x14ac:dyDescent="0.2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6" x14ac:dyDescent="0.2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6" x14ac:dyDescent="0.2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6" x14ac:dyDescent="0.2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6" x14ac:dyDescent="0.2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8D6A-9CD5-D244-B46E-5625D98AC120}">
  <dimension ref="A1:AI126"/>
  <sheetViews>
    <sheetView tabSelected="1" zoomScale="95" zoomScaleNormal="95" workbookViewId="0">
      <pane xSplit="6" ySplit="1" topLeftCell="Q2" activePane="bottomRight" state="frozen"/>
      <selection pane="topRight" activeCell="E1" sqref="E1"/>
      <selection pane="bottomLeft" activeCell="A2" sqref="A2"/>
      <selection pane="bottomRight" activeCell="S15" sqref="S15"/>
    </sheetView>
  </sheetViews>
  <sheetFormatPr baseColWidth="10" defaultRowHeight="16" x14ac:dyDescent="0.2"/>
  <cols>
    <col min="1" max="1" width="56.33203125" style="60" customWidth="1"/>
    <col min="2" max="2" width="13.1640625" hidden="1" customWidth="1"/>
    <col min="3" max="3" width="5.5" customWidth="1"/>
    <col min="4" max="4" width="11.5" style="47" customWidth="1"/>
    <col min="5" max="5" width="9.33203125" style="17" bestFit="1" customWidth="1"/>
    <col min="6" max="6" width="15.83203125" style="17" bestFit="1" customWidth="1"/>
    <col min="7" max="8" width="16.33203125" style="16" hidden="1" customWidth="1"/>
    <col min="9" max="9" width="15.83203125" style="16" hidden="1" customWidth="1"/>
    <col min="10" max="12" width="16.33203125" style="16" hidden="1" customWidth="1"/>
    <col min="13" max="14" width="14.1640625" style="16" hidden="1" customWidth="1"/>
    <col min="15" max="15" width="19.5" style="16" hidden="1" customWidth="1"/>
    <col min="16" max="16" width="28" style="16" hidden="1" customWidth="1"/>
    <col min="17" max="19" width="16.33203125" style="17" customWidth="1"/>
    <col min="20" max="22" width="16.33203125" style="17" bestFit="1" customWidth="1"/>
    <col min="23" max="24" width="14.1640625" style="17" bestFit="1" customWidth="1"/>
    <col min="25" max="25" width="14" style="17" bestFit="1" customWidth="1"/>
    <col min="26" max="26" width="20" style="17" bestFit="1" customWidth="1"/>
    <col min="27" max="28" width="17.6640625" style="19" bestFit="1" customWidth="1"/>
    <col min="29" max="30" width="12.5" style="21" bestFit="1" customWidth="1"/>
    <col min="31" max="31" width="10.1640625" style="21" bestFit="1" customWidth="1"/>
    <col min="32" max="32" width="12" style="20" bestFit="1" customWidth="1"/>
    <col min="33" max="33" width="4.1640625" style="20" bestFit="1" customWidth="1"/>
    <col min="34" max="34" width="9.1640625" style="20" bestFit="1" customWidth="1"/>
    <col min="35" max="35" width="12.83203125" style="20" bestFit="1" customWidth="1"/>
  </cols>
  <sheetData>
    <row r="1" spans="1:35" ht="17" x14ac:dyDescent="0.2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6" customHeight="1" x14ac:dyDescent="0.2">
      <c r="A2" s="47" t="s">
        <v>23</v>
      </c>
      <c r="B2" s="48"/>
      <c r="C2" s="69" t="s">
        <v>50</v>
      </c>
      <c r="D2" s="49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x14ac:dyDescent="0.2">
      <c r="A3" s="47" t="s">
        <v>22</v>
      </c>
      <c r="B3" s="48"/>
      <c r="C3" s="70"/>
      <c r="D3" s="4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">
      <c r="A4" s="47" t="s">
        <v>7</v>
      </c>
      <c r="B4" s="48"/>
      <c r="C4" s="70"/>
      <c r="D4" s="4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x14ac:dyDescent="0.2">
      <c r="A5" s="47" t="s">
        <v>52</v>
      </c>
      <c r="B5" s="48"/>
      <c r="C5" s="71"/>
      <c r="D5" s="56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customHeight="1" x14ac:dyDescent="0.2">
      <c r="A6" s="53" t="s">
        <v>25</v>
      </c>
      <c r="B6" s="48"/>
      <c r="C6" s="72" t="s">
        <v>51</v>
      </c>
      <c r="D6" s="45">
        <v>100161</v>
      </c>
      <c r="E6" s="65">
        <v>1</v>
      </c>
      <c r="F6" s="65">
        <v>1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f>SUM(W6:Y6)</f>
        <v>0</v>
      </c>
      <c r="AA6" s="54">
        <v>0</v>
      </c>
      <c r="AB6" s="54">
        <v>1</v>
      </c>
      <c r="AC6" s="55">
        <v>0</v>
      </c>
      <c r="AD6" s="9">
        <v>0</v>
      </c>
      <c r="AE6" s="9">
        <v>0</v>
      </c>
      <c r="AF6" s="64">
        <v>2</v>
      </c>
      <c r="AG6" s="64">
        <v>20</v>
      </c>
      <c r="AH6" s="64">
        <v>1</v>
      </c>
      <c r="AI6" s="64">
        <v>1</v>
      </c>
    </row>
    <row r="7" spans="1:35" x14ac:dyDescent="0.2">
      <c r="A7" s="10" t="s">
        <v>18</v>
      </c>
      <c r="B7" s="25"/>
      <c r="C7" s="72"/>
      <c r="D7" s="45">
        <v>104496</v>
      </c>
      <c r="E7" s="65">
        <v>1</v>
      </c>
      <c r="F7" s="65">
        <v>2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f t="shared" ref="Z7:Z70" si="2">SUM(W7:Y7)</f>
        <v>0</v>
      </c>
      <c r="AA7" s="54">
        <v>0</v>
      </c>
      <c r="AB7" s="54">
        <v>10</v>
      </c>
      <c r="AC7" s="55">
        <v>0</v>
      </c>
      <c r="AD7" s="9">
        <v>0</v>
      </c>
      <c r="AE7" s="9">
        <v>0</v>
      </c>
      <c r="AF7" s="64">
        <v>1</v>
      </c>
      <c r="AG7" s="64">
        <v>19</v>
      </c>
      <c r="AH7" s="64">
        <v>1</v>
      </c>
      <c r="AI7" s="64">
        <v>1</v>
      </c>
    </row>
    <row r="8" spans="1:35" x14ac:dyDescent="0.2">
      <c r="A8" s="14" t="s">
        <v>24</v>
      </c>
      <c r="B8" s="26"/>
      <c r="C8" s="72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J8" s="66">
        <v>24</v>
      </c>
      <c r="K8" s="66">
        <v>5</v>
      </c>
      <c r="L8" s="66">
        <v>12</v>
      </c>
      <c r="M8" s="66">
        <v>24</v>
      </c>
      <c r="N8" s="66">
        <v>5</v>
      </c>
      <c r="O8" s="66">
        <v>12</v>
      </c>
      <c r="P8" s="16">
        <f>SUM(L8:O8)</f>
        <v>53</v>
      </c>
      <c r="Q8" s="65">
        <v>20</v>
      </c>
      <c r="R8" s="65">
        <v>7</v>
      </c>
      <c r="S8" s="17">
        <v>14</v>
      </c>
      <c r="T8" s="65">
        <v>24</v>
      </c>
      <c r="U8" s="65">
        <v>5</v>
      </c>
      <c r="V8" s="65">
        <v>12</v>
      </c>
      <c r="W8" s="65">
        <v>24</v>
      </c>
      <c r="X8" s="65">
        <v>5</v>
      </c>
      <c r="Y8" s="65">
        <v>12</v>
      </c>
      <c r="Z8" s="65">
        <f t="shared" si="2"/>
        <v>41</v>
      </c>
      <c r="AA8" s="19">
        <v>0</v>
      </c>
      <c r="AB8" s="19">
        <v>60</v>
      </c>
      <c r="AC8" s="21">
        <v>0</v>
      </c>
      <c r="AD8" s="9">
        <v>0</v>
      </c>
      <c r="AE8" s="9">
        <v>0</v>
      </c>
      <c r="AF8" s="64">
        <v>1</v>
      </c>
      <c r="AG8" s="64">
        <v>23</v>
      </c>
      <c r="AH8" s="64">
        <v>2</v>
      </c>
      <c r="AI8" s="64">
        <v>1</v>
      </c>
    </row>
    <row r="9" spans="1:35" x14ac:dyDescent="0.2">
      <c r="A9" s="55" t="s">
        <v>13</v>
      </c>
      <c r="B9" s="48"/>
      <c r="C9" s="72"/>
      <c r="D9" s="45">
        <v>120073</v>
      </c>
      <c r="E9" s="65">
        <v>2</v>
      </c>
      <c r="F9" s="65">
        <v>2</v>
      </c>
      <c r="G9" s="66">
        <v>21</v>
      </c>
      <c r="H9" s="66">
        <v>0</v>
      </c>
      <c r="I9" s="66">
        <v>3</v>
      </c>
      <c r="J9" s="66">
        <v>16</v>
      </c>
      <c r="K9" s="66">
        <v>0</v>
      </c>
      <c r="L9" s="66">
        <v>3</v>
      </c>
      <c r="M9" s="66">
        <v>16</v>
      </c>
      <c r="N9" s="66">
        <v>0</v>
      </c>
      <c r="O9" s="66">
        <v>3</v>
      </c>
      <c r="P9" s="16">
        <f t="shared" ref="P9:P14" si="3">SUM(L9:O9)</f>
        <v>22</v>
      </c>
      <c r="Q9" s="65">
        <v>21</v>
      </c>
      <c r="R9" s="65">
        <v>0</v>
      </c>
      <c r="S9" s="65">
        <v>3</v>
      </c>
      <c r="T9" s="65">
        <v>16</v>
      </c>
      <c r="U9" s="65">
        <v>0</v>
      </c>
      <c r="V9" s="65">
        <v>3</v>
      </c>
      <c r="W9" s="65">
        <v>16</v>
      </c>
      <c r="X9" s="65">
        <v>0</v>
      </c>
      <c r="Y9" s="65">
        <v>3</v>
      </c>
      <c r="Z9" s="65">
        <f t="shared" si="2"/>
        <v>19</v>
      </c>
      <c r="AA9" s="54">
        <v>0</v>
      </c>
      <c r="AB9" s="54">
        <v>60</v>
      </c>
      <c r="AC9" s="55">
        <v>0</v>
      </c>
      <c r="AD9" s="9">
        <v>0</v>
      </c>
      <c r="AE9" s="9">
        <v>0</v>
      </c>
      <c r="AF9" s="64">
        <v>1</v>
      </c>
      <c r="AG9" s="64">
        <v>20</v>
      </c>
      <c r="AH9" s="64">
        <v>1</v>
      </c>
      <c r="AI9" s="64">
        <v>1</v>
      </c>
    </row>
    <row r="10" spans="1:35" x14ac:dyDescent="0.2">
      <c r="A10" s="55" t="s">
        <v>14</v>
      </c>
      <c r="B10" s="48"/>
      <c r="C10" s="72"/>
      <c r="D10" s="45">
        <v>122535</v>
      </c>
      <c r="E10" s="65">
        <v>1</v>
      </c>
      <c r="F10" s="65">
        <v>1</v>
      </c>
      <c r="G10" s="66"/>
      <c r="H10" s="66"/>
      <c r="I10" s="66"/>
      <c r="J10" s="66"/>
      <c r="K10" s="66"/>
      <c r="L10" s="66"/>
      <c r="M10" s="66"/>
      <c r="N10" s="66"/>
      <c r="O10" s="66"/>
      <c r="Q10" s="65">
        <v>0</v>
      </c>
      <c r="R10" s="65">
        <v>1</v>
      </c>
      <c r="S10" s="65">
        <v>0</v>
      </c>
      <c r="T10" s="65">
        <v>0</v>
      </c>
      <c r="U10" s="65">
        <v>3</v>
      </c>
      <c r="V10" s="65">
        <v>0</v>
      </c>
      <c r="W10" s="65">
        <v>0</v>
      </c>
      <c r="X10" s="65">
        <v>3</v>
      </c>
      <c r="Y10" s="65">
        <v>0</v>
      </c>
      <c r="Z10" s="65">
        <f t="shared" si="2"/>
        <v>3</v>
      </c>
      <c r="AA10" s="54">
        <v>0</v>
      </c>
      <c r="AB10" s="54">
        <v>40</v>
      </c>
      <c r="AC10" s="55">
        <v>1</v>
      </c>
      <c r="AD10" s="9">
        <v>1</v>
      </c>
      <c r="AE10" s="9">
        <v>1</v>
      </c>
      <c r="AF10" s="64">
        <v>2</v>
      </c>
      <c r="AG10" s="64">
        <v>22</v>
      </c>
      <c r="AH10" s="64">
        <v>1</v>
      </c>
      <c r="AI10" s="64">
        <v>1</v>
      </c>
    </row>
    <row r="11" spans="1:35" x14ac:dyDescent="0.2">
      <c r="A11" s="11" t="s">
        <v>15</v>
      </c>
      <c r="C11" s="72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J11" s="66">
        <v>21</v>
      </c>
      <c r="K11" s="66">
        <v>4</v>
      </c>
      <c r="L11" s="66">
        <v>6</v>
      </c>
      <c r="M11" s="66">
        <v>21</v>
      </c>
      <c r="N11" s="66">
        <v>4</v>
      </c>
      <c r="O11" s="66">
        <v>6</v>
      </c>
      <c r="P11" s="16">
        <f t="shared" si="3"/>
        <v>37</v>
      </c>
      <c r="Q11" s="17">
        <v>23</v>
      </c>
      <c r="R11" s="17">
        <v>7</v>
      </c>
      <c r="S11" s="17">
        <v>9</v>
      </c>
      <c r="T11" s="65">
        <v>21</v>
      </c>
      <c r="U11" s="65">
        <v>4</v>
      </c>
      <c r="V11" s="65">
        <v>6</v>
      </c>
      <c r="W11" s="65">
        <v>21</v>
      </c>
      <c r="X11" s="65">
        <v>4</v>
      </c>
      <c r="Y11" s="65">
        <v>6</v>
      </c>
      <c r="Z11" s="65">
        <f t="shared" si="2"/>
        <v>31</v>
      </c>
      <c r="AA11" s="19">
        <v>0</v>
      </c>
      <c r="AB11" s="19">
        <v>60</v>
      </c>
      <c r="AC11" s="21">
        <v>0</v>
      </c>
      <c r="AD11" s="9">
        <v>0</v>
      </c>
      <c r="AE11" s="21">
        <v>0</v>
      </c>
      <c r="AF11" s="64">
        <v>1</v>
      </c>
      <c r="AG11" s="64">
        <v>23</v>
      </c>
      <c r="AH11" s="64">
        <v>2</v>
      </c>
      <c r="AI11" s="64">
        <v>1</v>
      </c>
    </row>
    <row r="12" spans="1:35" x14ac:dyDescent="0.2">
      <c r="A12" s="11" t="s">
        <v>12</v>
      </c>
      <c r="C12" s="72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J12" s="66">
        <v>33</v>
      </c>
      <c r="K12" s="66">
        <v>1</v>
      </c>
      <c r="L12" s="66">
        <v>5</v>
      </c>
      <c r="M12" s="66">
        <v>33</v>
      </c>
      <c r="N12" s="66">
        <v>1</v>
      </c>
      <c r="O12" s="66">
        <v>5</v>
      </c>
      <c r="P12" s="16">
        <f t="shared" si="3"/>
        <v>44</v>
      </c>
      <c r="Q12" s="17">
        <v>37</v>
      </c>
      <c r="R12" s="17">
        <v>3</v>
      </c>
      <c r="S12" s="17">
        <v>2</v>
      </c>
      <c r="T12" s="65">
        <v>33</v>
      </c>
      <c r="U12" s="65">
        <v>1</v>
      </c>
      <c r="V12" s="65">
        <v>5</v>
      </c>
      <c r="W12" s="65">
        <v>33</v>
      </c>
      <c r="X12" s="65">
        <v>1</v>
      </c>
      <c r="Y12" s="65">
        <v>5</v>
      </c>
      <c r="Z12" s="65">
        <f t="shared" si="2"/>
        <v>39</v>
      </c>
      <c r="AA12" s="19">
        <v>85</v>
      </c>
      <c r="AB12" s="19">
        <v>87</v>
      </c>
      <c r="AC12" s="21">
        <v>0</v>
      </c>
      <c r="AD12" s="9">
        <v>0</v>
      </c>
      <c r="AE12" s="21">
        <v>0</v>
      </c>
      <c r="AF12" s="64">
        <v>1</v>
      </c>
      <c r="AG12" s="64">
        <v>22</v>
      </c>
      <c r="AH12" s="64">
        <v>1</v>
      </c>
      <c r="AI12" s="64">
        <v>1</v>
      </c>
    </row>
    <row r="13" spans="1:35" x14ac:dyDescent="0.2">
      <c r="A13" s="11" t="s">
        <v>21</v>
      </c>
      <c r="C13" s="72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J13" s="16">
        <v>30</v>
      </c>
      <c r="K13" s="16">
        <v>3</v>
      </c>
      <c r="L13" s="16">
        <v>4</v>
      </c>
      <c r="M13" s="16">
        <v>30</v>
      </c>
      <c r="N13" s="16">
        <v>3</v>
      </c>
      <c r="O13" s="16">
        <v>4</v>
      </c>
      <c r="P13" s="16">
        <f t="shared" si="3"/>
        <v>41</v>
      </c>
      <c r="Q13" s="17">
        <v>35</v>
      </c>
      <c r="R13" s="17">
        <v>3</v>
      </c>
      <c r="S13" s="17">
        <v>4</v>
      </c>
      <c r="T13" s="17">
        <v>30</v>
      </c>
      <c r="U13" s="17">
        <v>3</v>
      </c>
      <c r="V13" s="17">
        <v>4</v>
      </c>
      <c r="W13" s="17">
        <v>30</v>
      </c>
      <c r="X13" s="17">
        <v>3</v>
      </c>
      <c r="Y13" s="17">
        <v>4</v>
      </c>
      <c r="Z13" s="65">
        <f t="shared" si="2"/>
        <v>37</v>
      </c>
      <c r="AA13" s="19">
        <v>0</v>
      </c>
      <c r="AB13" s="19">
        <v>70</v>
      </c>
      <c r="AC13" s="21">
        <v>0</v>
      </c>
      <c r="AD13" s="9">
        <v>0</v>
      </c>
      <c r="AE13" s="21">
        <v>0</v>
      </c>
      <c r="AF13" s="64">
        <v>1</v>
      </c>
      <c r="AG13" s="64">
        <v>19</v>
      </c>
      <c r="AH13" s="64">
        <v>1</v>
      </c>
      <c r="AI13" s="64">
        <v>1</v>
      </c>
    </row>
    <row r="14" spans="1:35" x14ac:dyDescent="0.2">
      <c r="A14"/>
      <c r="C14" s="72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J14" s="66">
        <v>26</v>
      </c>
      <c r="K14" s="66">
        <v>0</v>
      </c>
      <c r="L14" s="66">
        <v>7</v>
      </c>
      <c r="M14" s="66">
        <v>26</v>
      </c>
      <c r="N14" s="66">
        <v>0</v>
      </c>
      <c r="O14" s="66">
        <v>7</v>
      </c>
      <c r="P14" s="16">
        <f t="shared" si="3"/>
        <v>40</v>
      </c>
      <c r="Q14" s="17">
        <v>27</v>
      </c>
      <c r="R14" s="17">
        <v>0</v>
      </c>
      <c r="S14" s="17">
        <v>8</v>
      </c>
      <c r="T14" s="65">
        <v>26</v>
      </c>
      <c r="U14" s="65">
        <v>0</v>
      </c>
      <c r="V14" s="65">
        <v>7</v>
      </c>
      <c r="W14" s="65">
        <v>26</v>
      </c>
      <c r="X14" s="65">
        <v>0</v>
      </c>
      <c r="Y14" s="65">
        <v>7</v>
      </c>
      <c r="Z14" s="65">
        <f t="shared" si="2"/>
        <v>33</v>
      </c>
      <c r="AA14" s="19">
        <v>0</v>
      </c>
      <c r="AB14" s="19">
        <v>90</v>
      </c>
      <c r="AC14" s="21">
        <v>0</v>
      </c>
      <c r="AD14" s="9">
        <v>0</v>
      </c>
      <c r="AE14" s="21">
        <v>0</v>
      </c>
      <c r="AF14" s="64">
        <v>1</v>
      </c>
      <c r="AG14" s="64">
        <v>20</v>
      </c>
      <c r="AH14" s="64">
        <v>1</v>
      </c>
      <c r="AI14" s="64">
        <v>1</v>
      </c>
    </row>
    <row r="15" spans="1:35" x14ac:dyDescent="0.2">
      <c r="A15" s="11" t="s">
        <v>56</v>
      </c>
      <c r="C15" s="72"/>
      <c r="D15" s="45">
        <v>170171</v>
      </c>
      <c r="E15" s="17">
        <v>1</v>
      </c>
      <c r="F15" s="17">
        <v>4</v>
      </c>
      <c r="J15" s="66"/>
      <c r="K15" s="66"/>
      <c r="L15" s="66"/>
      <c r="Q15" s="17">
        <v>0</v>
      </c>
      <c r="R15" s="17">
        <v>2</v>
      </c>
      <c r="S15" s="17">
        <v>0</v>
      </c>
      <c r="T15" s="65">
        <v>0</v>
      </c>
      <c r="U15" s="65">
        <v>4</v>
      </c>
      <c r="V15" s="65">
        <v>0</v>
      </c>
      <c r="W15" s="17">
        <v>0</v>
      </c>
      <c r="X15" s="17">
        <v>2</v>
      </c>
      <c r="Y15" s="17">
        <v>0</v>
      </c>
      <c r="Z15" s="65">
        <f t="shared" si="2"/>
        <v>2</v>
      </c>
      <c r="AA15" s="19">
        <v>0</v>
      </c>
      <c r="AB15" s="19">
        <v>40</v>
      </c>
      <c r="AC15" s="21">
        <v>1</v>
      </c>
      <c r="AD15" s="9">
        <v>1</v>
      </c>
      <c r="AE15" s="21">
        <v>1</v>
      </c>
      <c r="AF15" s="64">
        <v>1</v>
      </c>
      <c r="AG15" s="64">
        <v>19</v>
      </c>
      <c r="AH15" s="64">
        <v>1</v>
      </c>
      <c r="AI15" s="64">
        <v>1</v>
      </c>
    </row>
    <row r="16" spans="1:35" x14ac:dyDescent="0.2">
      <c r="A16" s="11" t="s">
        <v>57</v>
      </c>
      <c r="C16" s="72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J16" s="16">
        <v>9</v>
      </c>
      <c r="K16" s="16">
        <v>9</v>
      </c>
      <c r="L16" s="16">
        <v>8</v>
      </c>
      <c r="M16" s="16">
        <v>6</v>
      </c>
      <c r="N16" s="16">
        <v>11</v>
      </c>
      <c r="O16" s="16">
        <v>12</v>
      </c>
      <c r="P16" s="16">
        <f>SUM(M16:O16)</f>
        <v>29</v>
      </c>
      <c r="Q16" s="17">
        <v>6</v>
      </c>
      <c r="R16" s="17">
        <v>11</v>
      </c>
      <c r="S16" s="17">
        <v>12</v>
      </c>
      <c r="T16" s="17">
        <v>9</v>
      </c>
      <c r="U16" s="17">
        <v>9</v>
      </c>
      <c r="V16" s="17">
        <v>8</v>
      </c>
      <c r="W16" s="17">
        <v>6</v>
      </c>
      <c r="X16" s="17">
        <v>11</v>
      </c>
      <c r="Y16" s="17">
        <v>12</v>
      </c>
      <c r="Z16" s="65">
        <f t="shared" si="2"/>
        <v>29</v>
      </c>
      <c r="AA16" s="19">
        <v>0</v>
      </c>
      <c r="AB16" s="19">
        <v>80</v>
      </c>
      <c r="AC16" s="21">
        <v>0</v>
      </c>
      <c r="AD16" s="21">
        <v>0</v>
      </c>
      <c r="AE16" s="21">
        <v>0</v>
      </c>
      <c r="AF16" s="64">
        <v>1</v>
      </c>
      <c r="AG16" s="64">
        <v>20</v>
      </c>
      <c r="AH16" s="64">
        <v>1</v>
      </c>
      <c r="AI16" s="64">
        <v>1</v>
      </c>
    </row>
    <row r="17" spans="1:35" x14ac:dyDescent="0.2">
      <c r="C17" s="72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J17" s="16">
        <v>12</v>
      </c>
      <c r="K17" s="16">
        <v>0</v>
      </c>
      <c r="L17" s="16">
        <v>9</v>
      </c>
      <c r="M17" s="16">
        <v>20</v>
      </c>
      <c r="N17" s="16">
        <v>0</v>
      </c>
      <c r="O17" s="16">
        <v>9</v>
      </c>
      <c r="P17" s="16">
        <f>SUM(M17:O17)</f>
        <v>29</v>
      </c>
      <c r="Q17" s="17">
        <v>22</v>
      </c>
      <c r="R17" s="17">
        <v>0</v>
      </c>
      <c r="S17" s="17">
        <v>7</v>
      </c>
      <c r="T17" s="17">
        <v>12</v>
      </c>
      <c r="U17" s="17">
        <v>0</v>
      </c>
      <c r="V17" s="17">
        <v>9</v>
      </c>
      <c r="W17" s="17">
        <v>20</v>
      </c>
      <c r="X17" s="17">
        <v>0</v>
      </c>
      <c r="Y17" s="17">
        <v>9</v>
      </c>
      <c r="Z17" s="65">
        <f t="shared" si="2"/>
        <v>29</v>
      </c>
      <c r="AA17" s="19">
        <v>0</v>
      </c>
      <c r="AB17" s="19">
        <v>90</v>
      </c>
      <c r="AC17" s="21">
        <v>0</v>
      </c>
      <c r="AD17" s="21">
        <v>0</v>
      </c>
      <c r="AE17" s="21">
        <v>0</v>
      </c>
      <c r="AF17" s="64">
        <v>1</v>
      </c>
      <c r="AG17" s="64">
        <v>21</v>
      </c>
      <c r="AH17" s="64">
        <v>1</v>
      </c>
      <c r="AI17" s="64">
        <v>1</v>
      </c>
    </row>
    <row r="18" spans="1:35" x14ac:dyDescent="0.2">
      <c r="A18" s="60">
        <f>ROWS(E6:E126)</f>
        <v>121</v>
      </c>
      <c r="C18" s="72"/>
      <c r="D18" s="45">
        <v>197689</v>
      </c>
      <c r="E18" s="17">
        <v>1</v>
      </c>
      <c r="F18" s="17">
        <v>3</v>
      </c>
      <c r="Q18" s="17">
        <v>0</v>
      </c>
      <c r="R18" s="17">
        <v>2</v>
      </c>
      <c r="S18" s="17">
        <v>1</v>
      </c>
      <c r="T18" s="17">
        <v>1</v>
      </c>
      <c r="U18" s="17">
        <v>7</v>
      </c>
      <c r="V18" s="17">
        <v>0</v>
      </c>
      <c r="W18" s="17">
        <v>1</v>
      </c>
      <c r="X18" s="17">
        <v>7</v>
      </c>
      <c r="Y18" s="17">
        <v>0</v>
      </c>
      <c r="Z18" s="65">
        <f t="shared" si="2"/>
        <v>8</v>
      </c>
      <c r="AA18" s="19">
        <v>2</v>
      </c>
      <c r="AB18" s="19">
        <v>65</v>
      </c>
      <c r="AC18" s="21">
        <v>1</v>
      </c>
      <c r="AD18" s="21">
        <v>1</v>
      </c>
      <c r="AE18" s="21">
        <v>1</v>
      </c>
      <c r="AF18" s="64">
        <v>1</v>
      </c>
      <c r="AG18" s="64">
        <v>23</v>
      </c>
      <c r="AH18" s="64">
        <v>1</v>
      </c>
      <c r="AI18" s="64">
        <v>2</v>
      </c>
    </row>
    <row r="19" spans="1:35" x14ac:dyDescent="0.2">
      <c r="C19" s="72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T19" s="17">
        <v>0</v>
      </c>
      <c r="U19" s="17">
        <v>3</v>
      </c>
      <c r="V19" s="17">
        <v>1</v>
      </c>
      <c r="W19" s="17">
        <v>2</v>
      </c>
      <c r="X19" s="17">
        <v>2</v>
      </c>
      <c r="Y19" s="17">
        <v>1</v>
      </c>
      <c r="Z19" s="65">
        <f t="shared" si="2"/>
        <v>5</v>
      </c>
      <c r="AA19" s="19">
        <v>50</v>
      </c>
      <c r="AB19" s="19">
        <v>20</v>
      </c>
      <c r="AC19" s="21">
        <v>1</v>
      </c>
      <c r="AD19" s="21">
        <v>1</v>
      </c>
      <c r="AE19" s="21">
        <v>1</v>
      </c>
      <c r="AF19" s="64">
        <v>2</v>
      </c>
      <c r="AG19" s="64">
        <v>20</v>
      </c>
      <c r="AH19" s="64">
        <v>1</v>
      </c>
      <c r="AI19" s="64">
        <v>1</v>
      </c>
    </row>
    <row r="20" spans="1:35" x14ac:dyDescent="0.2">
      <c r="C20" s="72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T20" s="17">
        <v>3</v>
      </c>
      <c r="U20" s="17">
        <v>4</v>
      </c>
      <c r="V20" s="17">
        <v>7</v>
      </c>
      <c r="W20" s="17">
        <v>3</v>
      </c>
      <c r="X20" s="17">
        <v>4</v>
      </c>
      <c r="Y20" s="17">
        <v>7</v>
      </c>
      <c r="Z20" s="65">
        <f t="shared" si="2"/>
        <v>14</v>
      </c>
      <c r="AA20" s="19">
        <v>0</v>
      </c>
      <c r="AB20" s="19">
        <v>20</v>
      </c>
      <c r="AC20" s="21">
        <v>1</v>
      </c>
      <c r="AD20" s="21">
        <v>1</v>
      </c>
      <c r="AE20" s="21">
        <v>1</v>
      </c>
      <c r="AF20" s="64">
        <v>2</v>
      </c>
      <c r="AG20" s="64">
        <v>18</v>
      </c>
      <c r="AH20" s="64">
        <v>1</v>
      </c>
      <c r="AI20" s="64">
        <v>1</v>
      </c>
    </row>
    <row r="21" spans="1:35" x14ac:dyDescent="0.2">
      <c r="C21" s="72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T21" s="17">
        <v>2</v>
      </c>
      <c r="U21" s="17">
        <v>3</v>
      </c>
      <c r="V21" s="17">
        <v>0</v>
      </c>
      <c r="W21" s="17">
        <v>1</v>
      </c>
      <c r="X21" s="17">
        <v>1</v>
      </c>
      <c r="Y21" s="17">
        <v>1</v>
      </c>
      <c r="Z21" s="65">
        <f t="shared" si="2"/>
        <v>3</v>
      </c>
      <c r="AA21" s="19">
        <v>0</v>
      </c>
      <c r="AB21" s="19">
        <v>2</v>
      </c>
      <c r="AC21" s="21">
        <v>1</v>
      </c>
      <c r="AD21" s="21">
        <v>1</v>
      </c>
      <c r="AE21" s="21">
        <v>1</v>
      </c>
      <c r="AF21" s="64">
        <v>2</v>
      </c>
      <c r="AG21" s="64">
        <v>19</v>
      </c>
      <c r="AH21" s="64">
        <v>1</v>
      </c>
      <c r="AI21" s="64">
        <v>1</v>
      </c>
    </row>
    <row r="22" spans="1:35" x14ac:dyDescent="0.2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T22" s="17">
        <v>0</v>
      </c>
      <c r="U22" s="17">
        <v>8</v>
      </c>
      <c r="V22" s="17">
        <v>2</v>
      </c>
      <c r="W22" s="17">
        <v>0</v>
      </c>
      <c r="X22" s="17">
        <v>8</v>
      </c>
      <c r="Y22" s="17">
        <v>2</v>
      </c>
      <c r="Z22" s="65">
        <f t="shared" si="2"/>
        <v>10</v>
      </c>
      <c r="AA22" s="19">
        <v>0</v>
      </c>
      <c r="AB22" s="19">
        <v>40</v>
      </c>
      <c r="AC22" s="21">
        <v>1</v>
      </c>
      <c r="AD22" s="21">
        <v>1</v>
      </c>
      <c r="AE22" s="21">
        <v>1</v>
      </c>
      <c r="AF22" s="64">
        <v>2</v>
      </c>
      <c r="AG22" s="64">
        <v>19</v>
      </c>
      <c r="AH22" s="64">
        <v>1</v>
      </c>
      <c r="AI22" s="64">
        <v>1</v>
      </c>
    </row>
    <row r="23" spans="1:35" x14ac:dyDescent="0.2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T23" s="17">
        <v>0</v>
      </c>
      <c r="U23" s="17">
        <v>3</v>
      </c>
      <c r="V23" s="17">
        <v>0</v>
      </c>
      <c r="W23" s="17">
        <v>0</v>
      </c>
      <c r="X23" s="17">
        <v>3</v>
      </c>
      <c r="Y23" s="17">
        <v>0</v>
      </c>
      <c r="Z23" s="65">
        <f t="shared" si="2"/>
        <v>3</v>
      </c>
      <c r="AA23" s="19">
        <v>0</v>
      </c>
      <c r="AB23" s="19">
        <v>20</v>
      </c>
      <c r="AC23" s="21">
        <v>1</v>
      </c>
      <c r="AD23" s="21">
        <v>1</v>
      </c>
      <c r="AE23" s="21">
        <v>1</v>
      </c>
      <c r="AF23" s="64">
        <v>2</v>
      </c>
      <c r="AG23" s="64">
        <v>19</v>
      </c>
      <c r="AH23" s="64">
        <v>1</v>
      </c>
      <c r="AI23" s="64">
        <v>1</v>
      </c>
    </row>
    <row r="24" spans="1:35" x14ac:dyDescent="0.2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T24" s="17">
        <v>1</v>
      </c>
      <c r="U24" s="17">
        <v>5</v>
      </c>
      <c r="V24" s="17">
        <v>2</v>
      </c>
      <c r="W24" s="17">
        <v>1</v>
      </c>
      <c r="X24" s="17">
        <v>7</v>
      </c>
      <c r="Y24" s="17">
        <v>1</v>
      </c>
      <c r="Z24" s="65">
        <f t="shared" si="2"/>
        <v>9</v>
      </c>
      <c r="AA24" s="19">
        <v>0</v>
      </c>
      <c r="AB24" s="19">
        <v>20</v>
      </c>
      <c r="AC24" s="21">
        <v>1</v>
      </c>
      <c r="AD24" s="21">
        <v>1</v>
      </c>
      <c r="AE24" s="21">
        <v>1</v>
      </c>
      <c r="AF24" s="64">
        <v>2</v>
      </c>
      <c r="AG24" s="64">
        <v>23</v>
      </c>
      <c r="AH24" s="64">
        <v>2</v>
      </c>
      <c r="AI24" s="64">
        <v>1</v>
      </c>
    </row>
    <row r="25" spans="1:35" x14ac:dyDescent="0.2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T25" s="17">
        <v>0</v>
      </c>
      <c r="U25" s="17">
        <v>1</v>
      </c>
      <c r="V25" s="17">
        <v>0</v>
      </c>
      <c r="W25" s="17">
        <v>0</v>
      </c>
      <c r="X25" s="17">
        <v>1</v>
      </c>
      <c r="Y25" s="17">
        <v>0</v>
      </c>
      <c r="Z25" s="65">
        <f t="shared" si="2"/>
        <v>1</v>
      </c>
      <c r="AA25" s="19">
        <v>90</v>
      </c>
      <c r="AB25" s="19">
        <v>100</v>
      </c>
      <c r="AC25" s="21">
        <v>1</v>
      </c>
      <c r="AD25" s="21">
        <v>1</v>
      </c>
      <c r="AE25" s="21">
        <v>1</v>
      </c>
      <c r="AF25" s="64">
        <v>2</v>
      </c>
      <c r="AG25" s="64">
        <v>19</v>
      </c>
      <c r="AH25" s="64">
        <v>1</v>
      </c>
      <c r="AI25" s="64">
        <v>1</v>
      </c>
    </row>
    <row r="26" spans="1:35" x14ac:dyDescent="0.2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T26" s="17">
        <v>0</v>
      </c>
      <c r="U26" s="17">
        <v>2</v>
      </c>
      <c r="V26" s="17">
        <v>3</v>
      </c>
      <c r="W26" s="17">
        <v>0</v>
      </c>
      <c r="X26" s="17">
        <v>2</v>
      </c>
      <c r="Y26" s="17">
        <v>3</v>
      </c>
      <c r="Z26" s="65">
        <f t="shared" si="2"/>
        <v>5</v>
      </c>
      <c r="AA26" s="19">
        <v>0</v>
      </c>
      <c r="AB26" s="19">
        <v>10</v>
      </c>
      <c r="AC26" s="21">
        <v>1</v>
      </c>
      <c r="AD26" s="21">
        <v>1</v>
      </c>
      <c r="AE26" s="21">
        <v>1</v>
      </c>
      <c r="AF26" s="64">
        <v>2</v>
      </c>
      <c r="AG26" s="64">
        <v>18</v>
      </c>
      <c r="AH26" s="64">
        <v>1</v>
      </c>
      <c r="AI26" s="64">
        <v>1</v>
      </c>
    </row>
    <row r="27" spans="1:35" x14ac:dyDescent="0.2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J27" s="16">
        <v>7</v>
      </c>
      <c r="K27" s="16">
        <v>20</v>
      </c>
      <c r="L27" s="16">
        <v>23</v>
      </c>
      <c r="M27" s="16">
        <v>7</v>
      </c>
      <c r="N27" s="16">
        <v>20</v>
      </c>
      <c r="O27" s="16">
        <v>23</v>
      </c>
      <c r="P27" s="16">
        <f>SUM(M27:O27)</f>
        <v>50</v>
      </c>
      <c r="Q27" s="17">
        <v>9</v>
      </c>
      <c r="R27" s="17">
        <v>25</v>
      </c>
      <c r="S27" s="17">
        <v>21</v>
      </c>
      <c r="T27" s="17">
        <v>7</v>
      </c>
      <c r="U27" s="17">
        <v>20</v>
      </c>
      <c r="V27" s="17">
        <v>23</v>
      </c>
      <c r="W27" s="17">
        <v>7</v>
      </c>
      <c r="X27" s="17">
        <v>20</v>
      </c>
      <c r="Y27" s="17">
        <v>23</v>
      </c>
      <c r="Z27" s="65">
        <f t="shared" si="2"/>
        <v>50</v>
      </c>
      <c r="AA27" s="19">
        <v>5</v>
      </c>
      <c r="AB27" s="19">
        <v>90</v>
      </c>
      <c r="AC27" s="21">
        <v>0</v>
      </c>
      <c r="AD27" s="21">
        <v>0</v>
      </c>
      <c r="AE27" s="21">
        <v>0</v>
      </c>
      <c r="AF27" s="64">
        <v>1</v>
      </c>
      <c r="AG27" s="64">
        <v>25</v>
      </c>
      <c r="AH27" s="64">
        <v>2</v>
      </c>
      <c r="AI27" s="64">
        <v>1</v>
      </c>
    </row>
    <row r="28" spans="1:35" x14ac:dyDescent="0.2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J28" s="16">
        <v>3</v>
      </c>
      <c r="K28" s="16">
        <v>2</v>
      </c>
      <c r="L28" s="16">
        <v>3</v>
      </c>
      <c r="M28" s="16">
        <v>3</v>
      </c>
      <c r="N28" s="16">
        <v>2</v>
      </c>
      <c r="O28" s="16">
        <v>3</v>
      </c>
      <c r="P28" s="16">
        <f t="shared" ref="P28:P30" si="4">SUM(M28:O28)</f>
        <v>8</v>
      </c>
      <c r="Q28" s="17">
        <v>5</v>
      </c>
      <c r="R28" s="17">
        <v>2</v>
      </c>
      <c r="S28" s="17">
        <v>3</v>
      </c>
      <c r="T28" s="17">
        <v>3</v>
      </c>
      <c r="U28" s="17">
        <v>2</v>
      </c>
      <c r="V28" s="17">
        <v>3</v>
      </c>
      <c r="W28" s="17">
        <v>3</v>
      </c>
      <c r="X28" s="17">
        <v>2</v>
      </c>
      <c r="Y28" s="17">
        <v>3</v>
      </c>
      <c r="Z28" s="65">
        <f t="shared" si="2"/>
        <v>8</v>
      </c>
      <c r="AA28" s="19">
        <v>0</v>
      </c>
      <c r="AB28" s="19">
        <v>40</v>
      </c>
      <c r="AC28" s="21">
        <v>0</v>
      </c>
      <c r="AD28" s="21">
        <v>0</v>
      </c>
      <c r="AE28" s="21">
        <v>0</v>
      </c>
      <c r="AF28" s="64">
        <v>1</v>
      </c>
      <c r="AG28" s="64">
        <v>19</v>
      </c>
      <c r="AH28" s="64">
        <v>1</v>
      </c>
      <c r="AI28" s="64">
        <v>1</v>
      </c>
    </row>
    <row r="29" spans="1:35" x14ac:dyDescent="0.2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J29" s="16">
        <v>11</v>
      </c>
      <c r="K29" s="16">
        <v>5</v>
      </c>
      <c r="L29" s="16">
        <v>10</v>
      </c>
      <c r="M29" s="16">
        <v>25</v>
      </c>
      <c r="N29" s="16">
        <v>3</v>
      </c>
      <c r="O29" s="16">
        <v>15</v>
      </c>
      <c r="P29" s="16">
        <f t="shared" si="4"/>
        <v>43</v>
      </c>
      <c r="Q29" s="17">
        <v>25</v>
      </c>
      <c r="R29" s="17">
        <v>3</v>
      </c>
      <c r="S29" s="17">
        <v>15</v>
      </c>
      <c r="T29" s="17">
        <v>11</v>
      </c>
      <c r="U29" s="17">
        <v>5</v>
      </c>
      <c r="V29" s="17">
        <v>10</v>
      </c>
      <c r="W29" s="17">
        <v>25</v>
      </c>
      <c r="X29" s="17">
        <v>3</v>
      </c>
      <c r="Y29" s="17">
        <v>15</v>
      </c>
      <c r="Z29" s="65">
        <f t="shared" si="2"/>
        <v>43</v>
      </c>
      <c r="AA29" s="19">
        <v>10</v>
      </c>
      <c r="AB29" s="19">
        <v>90</v>
      </c>
      <c r="AC29" s="21">
        <v>0</v>
      </c>
      <c r="AD29" s="21">
        <v>0</v>
      </c>
      <c r="AE29" s="21">
        <v>0</v>
      </c>
      <c r="AF29" s="64">
        <v>1</v>
      </c>
      <c r="AG29" s="64">
        <v>19</v>
      </c>
      <c r="AH29" s="64">
        <v>1</v>
      </c>
      <c r="AI29" s="64">
        <v>1</v>
      </c>
    </row>
    <row r="30" spans="1:35" x14ac:dyDescent="0.2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J30" s="16">
        <v>28</v>
      </c>
      <c r="K30" s="16">
        <v>1</v>
      </c>
      <c r="L30" s="16">
        <v>8</v>
      </c>
      <c r="M30" s="16">
        <v>28</v>
      </c>
      <c r="N30" s="16">
        <v>1</v>
      </c>
      <c r="O30" s="16">
        <v>8</v>
      </c>
      <c r="P30" s="16">
        <f t="shared" si="4"/>
        <v>37</v>
      </c>
      <c r="Q30" s="17">
        <v>23</v>
      </c>
      <c r="R30" s="17">
        <v>0</v>
      </c>
      <c r="S30" s="17">
        <v>10</v>
      </c>
      <c r="T30" s="17">
        <v>28</v>
      </c>
      <c r="U30" s="17">
        <v>1</v>
      </c>
      <c r="V30" s="17">
        <v>8</v>
      </c>
      <c r="W30" s="17">
        <v>28</v>
      </c>
      <c r="X30" s="17">
        <v>1</v>
      </c>
      <c r="Y30" s="17">
        <v>8</v>
      </c>
      <c r="Z30" s="65">
        <f t="shared" si="2"/>
        <v>37</v>
      </c>
      <c r="AA30" s="19">
        <v>0</v>
      </c>
      <c r="AB30" s="19">
        <v>100</v>
      </c>
      <c r="AC30" s="21">
        <v>0</v>
      </c>
      <c r="AD30" s="21">
        <v>0</v>
      </c>
      <c r="AE30" s="21">
        <v>0</v>
      </c>
      <c r="AF30" s="64">
        <v>1</v>
      </c>
      <c r="AG30" s="64">
        <v>21</v>
      </c>
      <c r="AH30" s="64">
        <v>1</v>
      </c>
      <c r="AI30" s="64">
        <v>1</v>
      </c>
    </row>
    <row r="31" spans="1:35" x14ac:dyDescent="0.2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T31" s="17">
        <v>0</v>
      </c>
      <c r="U31" s="17">
        <v>2</v>
      </c>
      <c r="V31" s="17">
        <v>0</v>
      </c>
      <c r="W31" s="17">
        <v>0</v>
      </c>
      <c r="X31" s="17">
        <v>5</v>
      </c>
      <c r="Y31" s="17">
        <v>0</v>
      </c>
      <c r="Z31" s="65">
        <f t="shared" si="2"/>
        <v>5</v>
      </c>
      <c r="AA31" s="19">
        <v>0</v>
      </c>
      <c r="AB31" s="19">
        <v>20</v>
      </c>
      <c r="AC31" s="21">
        <v>1</v>
      </c>
      <c r="AD31" s="21">
        <v>1</v>
      </c>
      <c r="AE31" s="21">
        <v>1</v>
      </c>
      <c r="AF31" s="64">
        <v>2</v>
      </c>
      <c r="AG31" s="64">
        <v>21</v>
      </c>
      <c r="AH31" s="64">
        <v>1</v>
      </c>
      <c r="AI31" s="64">
        <v>1</v>
      </c>
    </row>
    <row r="32" spans="1:35" x14ac:dyDescent="0.2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J32" s="16">
        <v>21</v>
      </c>
      <c r="K32" s="16">
        <v>6</v>
      </c>
      <c r="L32" s="16">
        <v>1</v>
      </c>
      <c r="M32" s="16">
        <v>25</v>
      </c>
      <c r="N32" s="16">
        <v>4</v>
      </c>
      <c r="O32" s="16">
        <v>6</v>
      </c>
      <c r="P32" s="16">
        <f>SUM(M32:O32)</f>
        <v>35</v>
      </c>
      <c r="Q32" s="17">
        <v>25</v>
      </c>
      <c r="R32" s="17">
        <v>4</v>
      </c>
      <c r="S32" s="17">
        <v>6</v>
      </c>
      <c r="T32" s="17">
        <v>21</v>
      </c>
      <c r="U32" s="17">
        <v>6</v>
      </c>
      <c r="V32" s="17">
        <v>1</v>
      </c>
      <c r="W32" s="17">
        <v>25</v>
      </c>
      <c r="X32" s="17">
        <v>4</v>
      </c>
      <c r="Y32" s="17">
        <v>6</v>
      </c>
      <c r="Z32" s="65">
        <f t="shared" si="2"/>
        <v>35</v>
      </c>
      <c r="AA32" s="19">
        <v>0</v>
      </c>
      <c r="AB32" s="19">
        <v>70</v>
      </c>
      <c r="AC32" s="21">
        <v>0</v>
      </c>
      <c r="AD32" s="21">
        <v>0</v>
      </c>
      <c r="AE32" s="21">
        <v>0</v>
      </c>
      <c r="AF32" s="64">
        <v>1</v>
      </c>
      <c r="AG32" s="64">
        <v>22</v>
      </c>
      <c r="AH32" s="64">
        <v>2</v>
      </c>
      <c r="AI32" s="64">
        <v>1</v>
      </c>
    </row>
    <row r="33" spans="4:35" x14ac:dyDescent="0.2">
      <c r="D33" s="67">
        <v>315045</v>
      </c>
      <c r="E33" s="17">
        <v>1</v>
      </c>
      <c r="F33" s="17">
        <v>3</v>
      </c>
      <c r="Q33" s="17">
        <v>2</v>
      </c>
      <c r="R33" s="17">
        <v>2</v>
      </c>
      <c r="S33" s="17">
        <v>1</v>
      </c>
      <c r="T33" s="17">
        <v>1</v>
      </c>
      <c r="U33" s="17">
        <v>3</v>
      </c>
      <c r="V33" s="17">
        <v>1</v>
      </c>
      <c r="W33" s="17">
        <v>1</v>
      </c>
      <c r="X33" s="17">
        <v>3</v>
      </c>
      <c r="Y33" s="17">
        <v>1</v>
      </c>
      <c r="Z33" s="65">
        <f t="shared" si="2"/>
        <v>5</v>
      </c>
      <c r="AA33" s="19">
        <v>10</v>
      </c>
      <c r="AB33" s="19">
        <v>20</v>
      </c>
      <c r="AC33" s="21">
        <v>0</v>
      </c>
      <c r="AD33" s="21">
        <v>0</v>
      </c>
      <c r="AE33" s="21">
        <v>0</v>
      </c>
      <c r="AF33" s="64">
        <v>2</v>
      </c>
      <c r="AG33" s="64">
        <v>21</v>
      </c>
      <c r="AH33" s="64">
        <v>1</v>
      </c>
      <c r="AI33" s="64">
        <v>1</v>
      </c>
    </row>
    <row r="34" spans="4:35" x14ac:dyDescent="0.2">
      <c r="D34" s="47">
        <v>326586</v>
      </c>
      <c r="E34" s="17">
        <v>1</v>
      </c>
      <c r="F34" s="17">
        <v>2</v>
      </c>
      <c r="Q34" s="17">
        <v>0</v>
      </c>
      <c r="R34" s="17">
        <v>2</v>
      </c>
      <c r="S34" s="17">
        <v>1</v>
      </c>
      <c r="T34" s="17">
        <v>0</v>
      </c>
      <c r="U34" s="17">
        <v>2</v>
      </c>
      <c r="V34" s="17">
        <v>1</v>
      </c>
      <c r="W34" s="17">
        <v>0</v>
      </c>
      <c r="X34" s="17">
        <v>2</v>
      </c>
      <c r="Y34" s="17">
        <v>1</v>
      </c>
      <c r="Z34" s="65">
        <f t="shared" si="2"/>
        <v>3</v>
      </c>
      <c r="AA34" s="19">
        <v>0</v>
      </c>
      <c r="AB34" s="19">
        <v>20</v>
      </c>
      <c r="AC34" s="21">
        <v>1</v>
      </c>
      <c r="AD34" s="21">
        <v>1</v>
      </c>
      <c r="AE34" s="21">
        <v>1</v>
      </c>
      <c r="AF34" s="64">
        <v>2</v>
      </c>
      <c r="AG34" s="64">
        <v>21</v>
      </c>
      <c r="AH34" s="64">
        <v>1</v>
      </c>
      <c r="AI34" s="64">
        <v>1</v>
      </c>
    </row>
    <row r="35" spans="4:35" x14ac:dyDescent="0.2">
      <c r="D35" s="47">
        <v>330133</v>
      </c>
      <c r="E35" s="17">
        <v>2</v>
      </c>
      <c r="F35" s="17">
        <v>3</v>
      </c>
      <c r="G35" s="16">
        <v>15</v>
      </c>
      <c r="H35" s="16">
        <v>7</v>
      </c>
      <c r="I35" s="16">
        <v>19</v>
      </c>
      <c r="J35" s="16">
        <v>25</v>
      </c>
      <c r="K35" s="16">
        <v>3</v>
      </c>
      <c r="L35" s="16">
        <v>9</v>
      </c>
      <c r="M35" s="16">
        <v>22</v>
      </c>
      <c r="N35" s="16">
        <v>5</v>
      </c>
      <c r="O35" s="16">
        <v>13</v>
      </c>
      <c r="P35" s="16">
        <f>SUM(M35:O35)</f>
        <v>40</v>
      </c>
      <c r="Q35" s="17">
        <v>15</v>
      </c>
      <c r="R35" s="17">
        <v>7</v>
      </c>
      <c r="S35" s="17">
        <v>19</v>
      </c>
      <c r="T35" s="17">
        <v>25</v>
      </c>
      <c r="U35" s="17">
        <v>3</v>
      </c>
      <c r="V35" s="17">
        <v>9</v>
      </c>
      <c r="W35" s="17">
        <v>22</v>
      </c>
      <c r="X35" s="17">
        <v>5</v>
      </c>
      <c r="Y35" s="17">
        <v>13</v>
      </c>
      <c r="Z35" s="65">
        <f t="shared" si="2"/>
        <v>40</v>
      </c>
      <c r="AA35" s="19">
        <v>15</v>
      </c>
      <c r="AB35" s="19">
        <v>90</v>
      </c>
      <c r="AC35" s="21">
        <v>0</v>
      </c>
      <c r="AD35" s="21">
        <v>0</v>
      </c>
      <c r="AE35" s="21">
        <v>0</v>
      </c>
      <c r="AF35" s="64">
        <v>1</v>
      </c>
      <c r="AG35" s="64">
        <v>29</v>
      </c>
      <c r="AH35" s="64">
        <v>2</v>
      </c>
      <c r="AI35" s="64">
        <v>1</v>
      </c>
    </row>
    <row r="36" spans="4:35" x14ac:dyDescent="0.2">
      <c r="D36" s="47">
        <v>341963</v>
      </c>
      <c r="E36" s="17">
        <v>2</v>
      </c>
      <c r="F36" s="17">
        <v>4</v>
      </c>
      <c r="G36" s="16">
        <v>4</v>
      </c>
      <c r="H36" s="16">
        <v>1</v>
      </c>
      <c r="I36" s="16">
        <v>14</v>
      </c>
      <c r="J36" s="16">
        <v>5</v>
      </c>
      <c r="K36" s="16">
        <v>0</v>
      </c>
      <c r="L36" s="16">
        <v>12</v>
      </c>
      <c r="M36" s="16">
        <v>5</v>
      </c>
      <c r="N36" s="16">
        <v>0</v>
      </c>
      <c r="O36" s="16">
        <v>12</v>
      </c>
      <c r="P36" s="16">
        <f>SUM(M36:O36)</f>
        <v>17</v>
      </c>
      <c r="Q36" s="17">
        <v>4</v>
      </c>
      <c r="R36" s="17">
        <v>1</v>
      </c>
      <c r="S36" s="17">
        <v>14</v>
      </c>
      <c r="T36" s="17">
        <v>5</v>
      </c>
      <c r="U36" s="17">
        <v>0</v>
      </c>
      <c r="V36" s="17">
        <v>12</v>
      </c>
      <c r="W36" s="17">
        <v>5</v>
      </c>
      <c r="X36" s="17">
        <v>0</v>
      </c>
      <c r="Y36" s="17">
        <v>12</v>
      </c>
      <c r="Z36" s="65">
        <f t="shared" si="2"/>
        <v>17</v>
      </c>
      <c r="AA36" s="19">
        <v>0</v>
      </c>
      <c r="AB36" s="19">
        <v>80</v>
      </c>
      <c r="AC36" s="21">
        <v>0</v>
      </c>
      <c r="AD36" s="21">
        <v>0</v>
      </c>
      <c r="AE36" s="21">
        <v>0</v>
      </c>
      <c r="AF36" s="64">
        <v>1</v>
      </c>
      <c r="AG36" s="64">
        <v>21</v>
      </c>
      <c r="AH36" s="64">
        <v>1</v>
      </c>
      <c r="AI36" s="64">
        <v>1</v>
      </c>
    </row>
    <row r="37" spans="4:35" x14ac:dyDescent="0.2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T37" s="17">
        <v>4</v>
      </c>
      <c r="U37" s="17">
        <v>3</v>
      </c>
      <c r="V37" s="17">
        <v>4</v>
      </c>
      <c r="W37" s="17">
        <v>4</v>
      </c>
      <c r="X37" s="17">
        <v>3</v>
      </c>
      <c r="Y37" s="17">
        <v>4</v>
      </c>
      <c r="Z37" s="65">
        <f t="shared" si="2"/>
        <v>11</v>
      </c>
      <c r="AA37" s="19">
        <v>0</v>
      </c>
      <c r="AB37" s="19">
        <v>20</v>
      </c>
      <c r="AC37" s="21">
        <v>1</v>
      </c>
      <c r="AD37" s="21">
        <v>1</v>
      </c>
      <c r="AE37" s="21">
        <v>1</v>
      </c>
      <c r="AF37" s="64">
        <v>2</v>
      </c>
      <c r="AG37" s="64">
        <v>20</v>
      </c>
      <c r="AH37" s="64">
        <v>1</v>
      </c>
      <c r="AI37" s="64">
        <v>1</v>
      </c>
    </row>
    <row r="38" spans="4:35" x14ac:dyDescent="0.2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J38" s="16">
        <v>0</v>
      </c>
      <c r="K38" s="16">
        <v>3</v>
      </c>
      <c r="L38" s="16">
        <v>1</v>
      </c>
      <c r="M38" s="16">
        <v>0</v>
      </c>
      <c r="N38" s="16">
        <v>3</v>
      </c>
      <c r="O38" s="16">
        <v>1</v>
      </c>
      <c r="P38" s="16">
        <f>SUM(M38:O38)</f>
        <v>4</v>
      </c>
      <c r="Q38" s="17">
        <v>0</v>
      </c>
      <c r="R38" s="17">
        <v>8</v>
      </c>
      <c r="S38" s="17">
        <v>0</v>
      </c>
      <c r="T38" s="17">
        <v>0</v>
      </c>
      <c r="U38" s="17">
        <v>3</v>
      </c>
      <c r="V38" s="17">
        <v>1</v>
      </c>
      <c r="W38" s="17">
        <v>0</v>
      </c>
      <c r="X38" s="17">
        <v>3</v>
      </c>
      <c r="Y38" s="17">
        <v>1</v>
      </c>
      <c r="Z38" s="65">
        <f t="shared" si="2"/>
        <v>4</v>
      </c>
      <c r="AA38" s="19">
        <v>0</v>
      </c>
      <c r="AB38" s="19">
        <v>10</v>
      </c>
      <c r="AC38" s="21">
        <v>0</v>
      </c>
      <c r="AD38" s="21">
        <v>0</v>
      </c>
      <c r="AE38" s="21">
        <v>0</v>
      </c>
      <c r="AF38" s="64">
        <v>1</v>
      </c>
      <c r="AG38" s="64">
        <v>20</v>
      </c>
      <c r="AH38" s="64">
        <v>1</v>
      </c>
      <c r="AI38" s="64">
        <v>1</v>
      </c>
    </row>
    <row r="39" spans="4:35" x14ac:dyDescent="0.2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T39" s="17">
        <v>0</v>
      </c>
      <c r="U39" s="17">
        <v>0</v>
      </c>
      <c r="V39" s="17">
        <v>2</v>
      </c>
      <c r="W39" s="17">
        <v>0</v>
      </c>
      <c r="X39" s="17">
        <v>3</v>
      </c>
      <c r="Y39" s="17">
        <v>2</v>
      </c>
      <c r="Z39" s="65">
        <f t="shared" si="2"/>
        <v>5</v>
      </c>
      <c r="AA39" s="19">
        <v>0</v>
      </c>
      <c r="AB39" s="19">
        <v>2</v>
      </c>
      <c r="AC39" s="21">
        <v>1</v>
      </c>
      <c r="AD39" s="21">
        <v>1</v>
      </c>
      <c r="AE39" s="21">
        <v>1</v>
      </c>
      <c r="AF39" s="64">
        <v>2</v>
      </c>
      <c r="AG39" s="64">
        <v>22</v>
      </c>
      <c r="AH39" s="64">
        <v>1</v>
      </c>
      <c r="AI39" s="64">
        <v>1</v>
      </c>
    </row>
    <row r="40" spans="4:35" x14ac:dyDescent="0.2">
      <c r="D40" s="47">
        <v>377404</v>
      </c>
      <c r="E40" s="17">
        <v>1</v>
      </c>
      <c r="F40" s="17">
        <v>2</v>
      </c>
      <c r="Q40" s="17">
        <v>0</v>
      </c>
      <c r="R40" s="17">
        <v>12</v>
      </c>
      <c r="S40" s="17">
        <v>2</v>
      </c>
      <c r="T40" s="17">
        <v>1</v>
      </c>
      <c r="U40" s="17">
        <v>12</v>
      </c>
      <c r="V40" s="17">
        <v>1</v>
      </c>
      <c r="W40" s="17">
        <v>0</v>
      </c>
      <c r="X40" s="17">
        <v>12</v>
      </c>
      <c r="Y40" s="17">
        <v>2</v>
      </c>
      <c r="Z40" s="65">
        <f t="shared" si="2"/>
        <v>14</v>
      </c>
      <c r="AA40" s="19">
        <v>0</v>
      </c>
      <c r="AB40" s="19">
        <v>60</v>
      </c>
      <c r="AC40" s="21">
        <v>1</v>
      </c>
      <c r="AD40" s="21">
        <v>1</v>
      </c>
      <c r="AE40" s="21">
        <v>1</v>
      </c>
      <c r="AF40" s="64">
        <v>2</v>
      </c>
      <c r="AG40" s="64">
        <v>23</v>
      </c>
      <c r="AH40" s="64">
        <v>1</v>
      </c>
      <c r="AI40" s="64">
        <v>1</v>
      </c>
    </row>
    <row r="41" spans="4:35" x14ac:dyDescent="0.2">
      <c r="D41" s="47">
        <v>390736</v>
      </c>
      <c r="E41" s="17">
        <v>2</v>
      </c>
      <c r="F41" s="17">
        <v>3</v>
      </c>
      <c r="G41" s="16">
        <v>0</v>
      </c>
      <c r="H41" s="16">
        <v>12</v>
      </c>
      <c r="I41" s="16">
        <v>38</v>
      </c>
      <c r="J41" s="16">
        <v>3</v>
      </c>
      <c r="K41" s="16">
        <v>8</v>
      </c>
      <c r="L41" s="16">
        <v>40</v>
      </c>
      <c r="M41" s="16">
        <v>3</v>
      </c>
      <c r="N41" s="16">
        <v>8</v>
      </c>
      <c r="O41" s="16">
        <v>40</v>
      </c>
      <c r="P41" s="16">
        <f>SUM(M41:O41)</f>
        <v>51</v>
      </c>
      <c r="Q41" s="17">
        <v>0</v>
      </c>
      <c r="R41" s="17">
        <v>12</v>
      </c>
      <c r="S41" s="17">
        <v>38</v>
      </c>
      <c r="T41" s="17">
        <v>3</v>
      </c>
      <c r="U41" s="17">
        <v>8</v>
      </c>
      <c r="V41" s="17">
        <v>40</v>
      </c>
      <c r="W41" s="17">
        <v>3</v>
      </c>
      <c r="X41" s="17">
        <v>8</v>
      </c>
      <c r="Y41" s="17">
        <v>40</v>
      </c>
      <c r="Z41" s="65">
        <f t="shared" si="2"/>
        <v>51</v>
      </c>
      <c r="AA41" s="19">
        <v>10</v>
      </c>
      <c r="AB41" s="19">
        <v>95</v>
      </c>
      <c r="AC41" s="21">
        <v>0</v>
      </c>
      <c r="AD41" s="21">
        <v>0</v>
      </c>
      <c r="AE41" s="21">
        <v>0</v>
      </c>
      <c r="AF41" s="64">
        <v>1</v>
      </c>
      <c r="AG41" s="64">
        <v>21</v>
      </c>
      <c r="AH41" s="64">
        <v>1</v>
      </c>
      <c r="AI41" s="64">
        <v>1</v>
      </c>
    </row>
    <row r="42" spans="4:35" x14ac:dyDescent="0.2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T42" s="17">
        <v>0</v>
      </c>
      <c r="U42" s="17">
        <v>2</v>
      </c>
      <c r="V42" s="17">
        <v>0</v>
      </c>
      <c r="W42" s="17">
        <v>0</v>
      </c>
      <c r="X42" s="17">
        <v>2</v>
      </c>
      <c r="Y42" s="17">
        <v>0</v>
      </c>
      <c r="Z42" s="65">
        <f t="shared" si="2"/>
        <v>2</v>
      </c>
      <c r="AA42" s="19">
        <v>0</v>
      </c>
      <c r="AB42" s="19">
        <v>5</v>
      </c>
      <c r="AC42" s="21">
        <v>1</v>
      </c>
      <c r="AD42" s="21">
        <v>1</v>
      </c>
      <c r="AE42" s="21">
        <v>1</v>
      </c>
      <c r="AF42" s="64">
        <v>2</v>
      </c>
      <c r="AG42" s="64">
        <v>22</v>
      </c>
      <c r="AH42" s="64">
        <v>1</v>
      </c>
      <c r="AI42" s="64">
        <v>1</v>
      </c>
    </row>
    <row r="43" spans="4:35" x14ac:dyDescent="0.2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T43" s="17">
        <v>0</v>
      </c>
      <c r="U43" s="17">
        <v>3</v>
      </c>
      <c r="V43" s="17">
        <v>1</v>
      </c>
      <c r="W43" s="17">
        <v>1</v>
      </c>
      <c r="X43" s="17">
        <v>6</v>
      </c>
      <c r="Y43" s="17">
        <v>0</v>
      </c>
      <c r="Z43" s="65">
        <f t="shared" si="2"/>
        <v>7</v>
      </c>
      <c r="AA43" s="19">
        <v>0</v>
      </c>
      <c r="AB43" s="19">
        <v>46</v>
      </c>
      <c r="AC43" s="21">
        <v>1</v>
      </c>
      <c r="AD43" s="21">
        <v>1</v>
      </c>
      <c r="AE43" s="21">
        <v>1</v>
      </c>
      <c r="AF43" s="64">
        <v>2</v>
      </c>
      <c r="AG43" s="64">
        <v>22</v>
      </c>
      <c r="AH43" s="64">
        <v>1</v>
      </c>
      <c r="AI43" s="64">
        <v>1</v>
      </c>
    </row>
    <row r="44" spans="4:35" x14ac:dyDescent="0.2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T44" s="17">
        <v>1</v>
      </c>
      <c r="U44" s="17">
        <v>3</v>
      </c>
      <c r="V44" s="17">
        <v>4</v>
      </c>
      <c r="W44" s="17">
        <v>1</v>
      </c>
      <c r="X44" s="17">
        <v>3</v>
      </c>
      <c r="Y44" s="17">
        <v>4</v>
      </c>
      <c r="Z44" s="65">
        <f t="shared" si="2"/>
        <v>8</v>
      </c>
      <c r="AA44" s="19">
        <v>0</v>
      </c>
      <c r="AB44" s="19">
        <v>13</v>
      </c>
      <c r="AC44" s="21">
        <v>1</v>
      </c>
      <c r="AD44" s="21">
        <v>1</v>
      </c>
      <c r="AE44" s="21">
        <v>1</v>
      </c>
      <c r="AF44" s="64">
        <v>2</v>
      </c>
      <c r="AG44" s="64">
        <v>19</v>
      </c>
      <c r="AH44" s="64">
        <v>1</v>
      </c>
      <c r="AI44" s="64">
        <v>1</v>
      </c>
    </row>
    <row r="45" spans="4:35" x14ac:dyDescent="0.2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J45" s="16">
        <v>10</v>
      </c>
      <c r="K45" s="16">
        <v>5</v>
      </c>
      <c r="L45" s="16">
        <v>4</v>
      </c>
      <c r="M45" s="16">
        <v>8</v>
      </c>
      <c r="N45" s="16">
        <v>9</v>
      </c>
      <c r="O45" s="16">
        <v>3</v>
      </c>
      <c r="P45" s="16">
        <f>SUM(M45:O45)</f>
        <v>20</v>
      </c>
      <c r="Q45" s="17">
        <v>8</v>
      </c>
      <c r="R45" s="17">
        <v>9</v>
      </c>
      <c r="S45" s="17">
        <v>3</v>
      </c>
      <c r="T45" s="17">
        <v>10</v>
      </c>
      <c r="U45" s="17">
        <v>5</v>
      </c>
      <c r="V45" s="17">
        <v>4</v>
      </c>
      <c r="W45" s="17">
        <v>8</v>
      </c>
      <c r="X45" s="17">
        <v>9</v>
      </c>
      <c r="Y45" s="17">
        <v>3</v>
      </c>
      <c r="Z45" s="65">
        <f t="shared" si="2"/>
        <v>20</v>
      </c>
      <c r="AA45" s="19">
        <v>0</v>
      </c>
      <c r="AB45" s="19">
        <v>65</v>
      </c>
      <c r="AC45" s="21">
        <v>0</v>
      </c>
      <c r="AD45" s="21">
        <v>0</v>
      </c>
      <c r="AE45" s="21">
        <v>0</v>
      </c>
      <c r="AF45" s="64">
        <v>2</v>
      </c>
      <c r="AG45" s="64">
        <v>18</v>
      </c>
      <c r="AH45" s="64">
        <v>1</v>
      </c>
      <c r="AI45" s="64">
        <v>1</v>
      </c>
    </row>
    <row r="46" spans="4:35" x14ac:dyDescent="0.2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T46" s="17">
        <v>0</v>
      </c>
      <c r="U46" s="17">
        <v>1</v>
      </c>
      <c r="V46" s="17">
        <v>2</v>
      </c>
      <c r="W46" s="17">
        <v>0</v>
      </c>
      <c r="X46" s="17">
        <v>1</v>
      </c>
      <c r="Y46" s="17">
        <v>2</v>
      </c>
      <c r="Z46" s="65">
        <f t="shared" si="2"/>
        <v>3</v>
      </c>
      <c r="AA46" s="19">
        <v>0</v>
      </c>
      <c r="AB46" s="19">
        <v>15</v>
      </c>
      <c r="AC46" s="21">
        <v>1</v>
      </c>
      <c r="AD46" s="21">
        <v>1</v>
      </c>
      <c r="AE46" s="21">
        <v>1</v>
      </c>
      <c r="AF46" s="64">
        <v>2</v>
      </c>
      <c r="AG46" s="64">
        <v>18</v>
      </c>
      <c r="AH46" s="64">
        <v>1</v>
      </c>
      <c r="AI46" s="64">
        <v>1</v>
      </c>
    </row>
    <row r="47" spans="4:35" x14ac:dyDescent="0.2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J47" s="16">
        <v>6</v>
      </c>
      <c r="K47" s="16">
        <v>0</v>
      </c>
      <c r="L47" s="16">
        <v>6</v>
      </c>
      <c r="M47" s="16">
        <v>6</v>
      </c>
      <c r="N47" s="16">
        <v>0</v>
      </c>
      <c r="O47" s="16">
        <v>6</v>
      </c>
      <c r="P47" s="16">
        <f>SUM(L47:N47)</f>
        <v>12</v>
      </c>
      <c r="Q47" s="17">
        <v>4</v>
      </c>
      <c r="R47" s="17">
        <v>1</v>
      </c>
      <c r="S47" s="17">
        <v>7</v>
      </c>
      <c r="T47" s="17">
        <v>6</v>
      </c>
      <c r="U47" s="17">
        <v>0</v>
      </c>
      <c r="V47" s="17">
        <v>6</v>
      </c>
      <c r="W47" s="17">
        <v>6</v>
      </c>
      <c r="X47" s="17">
        <v>0</v>
      </c>
      <c r="Y47" s="17">
        <v>6</v>
      </c>
      <c r="Z47" s="65">
        <f t="shared" si="2"/>
        <v>12</v>
      </c>
      <c r="AA47" s="19">
        <v>0</v>
      </c>
      <c r="AB47" s="19">
        <v>100</v>
      </c>
      <c r="AC47" s="21">
        <v>0</v>
      </c>
      <c r="AD47" s="21">
        <v>0</v>
      </c>
      <c r="AE47" s="21">
        <v>0</v>
      </c>
      <c r="AF47" s="64">
        <v>1</v>
      </c>
      <c r="AG47" s="64">
        <v>21</v>
      </c>
      <c r="AH47" s="64">
        <v>1</v>
      </c>
      <c r="AI47" s="64">
        <v>1</v>
      </c>
    </row>
    <row r="48" spans="4:35" x14ac:dyDescent="0.2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T48" s="17">
        <v>0</v>
      </c>
      <c r="U48" s="17">
        <v>5</v>
      </c>
      <c r="V48" s="17">
        <v>0</v>
      </c>
      <c r="W48" s="17">
        <v>0</v>
      </c>
      <c r="X48" s="17">
        <v>6</v>
      </c>
      <c r="Y48" s="17">
        <v>0</v>
      </c>
      <c r="Z48" s="65">
        <f t="shared" si="2"/>
        <v>6</v>
      </c>
      <c r="AA48" s="19">
        <v>0</v>
      </c>
      <c r="AB48" s="19">
        <v>5</v>
      </c>
      <c r="AC48" s="21">
        <v>1</v>
      </c>
      <c r="AD48" s="21">
        <v>1</v>
      </c>
      <c r="AE48" s="21">
        <v>1</v>
      </c>
      <c r="AF48" s="64">
        <v>2</v>
      </c>
      <c r="AG48" s="64">
        <v>25</v>
      </c>
      <c r="AH48" s="64">
        <v>2</v>
      </c>
      <c r="AI48" s="64">
        <v>1</v>
      </c>
    </row>
    <row r="49" spans="4:35" x14ac:dyDescent="0.2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T49" s="17">
        <v>3</v>
      </c>
      <c r="U49" s="17">
        <v>3</v>
      </c>
      <c r="V49" s="17">
        <v>0</v>
      </c>
      <c r="W49" s="17">
        <v>5</v>
      </c>
      <c r="X49" s="17">
        <v>1</v>
      </c>
      <c r="Y49" s="17">
        <v>2</v>
      </c>
      <c r="Z49" s="65">
        <f t="shared" si="2"/>
        <v>8</v>
      </c>
      <c r="AA49" s="19">
        <v>0</v>
      </c>
      <c r="AB49" s="19">
        <v>20</v>
      </c>
      <c r="AC49" s="21">
        <v>1</v>
      </c>
      <c r="AD49" s="21">
        <v>1</v>
      </c>
      <c r="AE49" s="21">
        <v>1</v>
      </c>
      <c r="AF49" s="64">
        <v>2</v>
      </c>
      <c r="AG49" s="64">
        <v>22</v>
      </c>
      <c r="AH49" s="64">
        <v>1</v>
      </c>
      <c r="AI49" s="64">
        <v>1</v>
      </c>
    </row>
    <row r="50" spans="4:35" x14ac:dyDescent="0.2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J50" s="16">
        <v>6</v>
      </c>
      <c r="K50" s="16">
        <v>3</v>
      </c>
      <c r="L50" s="16">
        <v>8</v>
      </c>
      <c r="M50" s="16">
        <v>6</v>
      </c>
      <c r="N50" s="16">
        <v>3</v>
      </c>
      <c r="O50" s="16">
        <v>8</v>
      </c>
      <c r="P50" s="16">
        <f>SUM(M50:O50)</f>
        <v>17</v>
      </c>
      <c r="Q50" s="17">
        <v>4</v>
      </c>
      <c r="R50" s="17">
        <v>7</v>
      </c>
      <c r="S50" s="17">
        <v>13</v>
      </c>
      <c r="T50" s="17">
        <v>6</v>
      </c>
      <c r="U50" s="17">
        <v>3</v>
      </c>
      <c r="V50" s="17">
        <v>8</v>
      </c>
      <c r="W50" s="17">
        <v>6</v>
      </c>
      <c r="X50" s="17">
        <v>3</v>
      </c>
      <c r="Y50" s="17">
        <v>8</v>
      </c>
      <c r="Z50" s="65">
        <f t="shared" si="2"/>
        <v>17</v>
      </c>
      <c r="AA50" s="19">
        <v>0</v>
      </c>
      <c r="AB50" s="19">
        <v>100</v>
      </c>
      <c r="AC50" s="21">
        <v>0</v>
      </c>
      <c r="AD50" s="21">
        <v>0</v>
      </c>
      <c r="AE50" s="21">
        <v>0</v>
      </c>
      <c r="AF50" s="64">
        <v>1</v>
      </c>
      <c r="AG50" s="64">
        <v>20</v>
      </c>
      <c r="AH50" s="64">
        <v>1</v>
      </c>
      <c r="AI50" s="64">
        <v>1</v>
      </c>
    </row>
    <row r="51" spans="4:35" x14ac:dyDescent="0.2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T51" s="17">
        <v>1</v>
      </c>
      <c r="U51" s="17">
        <v>2</v>
      </c>
      <c r="V51" s="17">
        <v>3</v>
      </c>
      <c r="W51" s="17">
        <v>1</v>
      </c>
      <c r="X51" s="17">
        <v>2</v>
      </c>
      <c r="Y51" s="17">
        <v>3</v>
      </c>
      <c r="Z51" s="65">
        <f t="shared" si="2"/>
        <v>6</v>
      </c>
      <c r="AA51" s="19">
        <v>0</v>
      </c>
      <c r="AB51" s="19">
        <v>70</v>
      </c>
      <c r="AC51" s="21">
        <v>1</v>
      </c>
      <c r="AD51" s="21">
        <v>1</v>
      </c>
      <c r="AE51" s="21">
        <v>1</v>
      </c>
      <c r="AF51" s="64">
        <v>2</v>
      </c>
      <c r="AG51" s="64">
        <v>21</v>
      </c>
      <c r="AH51" s="64">
        <v>1</v>
      </c>
      <c r="AI51" s="64">
        <v>1</v>
      </c>
    </row>
    <row r="52" spans="4:35" x14ac:dyDescent="0.2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T52" s="17">
        <v>0</v>
      </c>
      <c r="U52" s="17">
        <v>3</v>
      </c>
      <c r="V52" s="17">
        <v>0</v>
      </c>
      <c r="W52" s="17">
        <v>0</v>
      </c>
      <c r="X52" s="17">
        <v>3</v>
      </c>
      <c r="Y52" s="17">
        <v>0</v>
      </c>
      <c r="Z52" s="65">
        <f t="shared" si="2"/>
        <v>3</v>
      </c>
      <c r="AA52" s="19">
        <v>0</v>
      </c>
      <c r="AB52" s="19">
        <v>15</v>
      </c>
      <c r="AC52" s="21">
        <v>1</v>
      </c>
      <c r="AD52" s="21">
        <v>1</v>
      </c>
      <c r="AE52" s="21">
        <v>1</v>
      </c>
      <c r="AF52" s="64">
        <v>2</v>
      </c>
      <c r="AG52" s="64">
        <v>22</v>
      </c>
      <c r="AH52" s="64">
        <v>2</v>
      </c>
      <c r="AI52" s="64">
        <v>1</v>
      </c>
    </row>
    <row r="53" spans="4:35" x14ac:dyDescent="0.2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J53" s="16">
        <v>5</v>
      </c>
      <c r="K53" s="16">
        <v>1</v>
      </c>
      <c r="L53" s="16">
        <v>16</v>
      </c>
      <c r="M53" s="16">
        <v>5</v>
      </c>
      <c r="N53" s="16">
        <v>1</v>
      </c>
      <c r="O53" s="16">
        <v>16</v>
      </c>
      <c r="P53" s="16">
        <f>SUM(M53:O53)</f>
        <v>22</v>
      </c>
      <c r="Q53" s="17">
        <v>7</v>
      </c>
      <c r="R53" s="17">
        <v>5</v>
      </c>
      <c r="S53" s="17">
        <v>17</v>
      </c>
      <c r="T53" s="17">
        <v>5</v>
      </c>
      <c r="U53" s="17">
        <v>1</v>
      </c>
      <c r="V53" s="17">
        <v>16</v>
      </c>
      <c r="W53" s="17">
        <v>5</v>
      </c>
      <c r="X53" s="17">
        <v>1</v>
      </c>
      <c r="Y53" s="17">
        <v>16</v>
      </c>
      <c r="Z53" s="65">
        <f t="shared" si="2"/>
        <v>22</v>
      </c>
      <c r="AA53" s="19">
        <v>0</v>
      </c>
      <c r="AB53" s="19">
        <v>98</v>
      </c>
      <c r="AC53" s="21">
        <v>0</v>
      </c>
      <c r="AD53" s="21">
        <v>0</v>
      </c>
      <c r="AE53" s="21">
        <v>0</v>
      </c>
      <c r="AF53" s="64">
        <v>1</v>
      </c>
      <c r="AG53" s="64">
        <v>21</v>
      </c>
      <c r="AH53" s="64">
        <v>1</v>
      </c>
      <c r="AI53" s="64">
        <v>1</v>
      </c>
    </row>
    <row r="54" spans="4:35" x14ac:dyDescent="0.2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T54" s="17">
        <v>4</v>
      </c>
      <c r="U54" s="17">
        <v>2</v>
      </c>
      <c r="V54" s="17">
        <v>4</v>
      </c>
      <c r="W54" s="17">
        <v>4</v>
      </c>
      <c r="X54" s="17">
        <v>2</v>
      </c>
      <c r="Y54" s="17">
        <v>4</v>
      </c>
      <c r="Z54" s="65">
        <f t="shared" si="2"/>
        <v>10</v>
      </c>
      <c r="AA54" s="19">
        <v>10</v>
      </c>
      <c r="AB54" s="19">
        <v>50</v>
      </c>
      <c r="AC54" s="21">
        <v>1</v>
      </c>
      <c r="AD54" s="21">
        <v>1</v>
      </c>
      <c r="AE54" s="21">
        <v>1</v>
      </c>
      <c r="AF54" s="64">
        <v>2</v>
      </c>
      <c r="AG54" s="64">
        <v>22</v>
      </c>
      <c r="AH54" s="64">
        <v>2</v>
      </c>
      <c r="AI54" s="64">
        <v>1</v>
      </c>
    </row>
    <row r="55" spans="4:35" x14ac:dyDescent="0.2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T55" s="17">
        <v>3</v>
      </c>
      <c r="U55" s="17">
        <v>3</v>
      </c>
      <c r="V55" s="17">
        <v>0</v>
      </c>
      <c r="W55" s="17">
        <v>2</v>
      </c>
      <c r="X55" s="17">
        <v>2</v>
      </c>
      <c r="Y55" s="17">
        <v>2</v>
      </c>
      <c r="Z55" s="65">
        <f t="shared" si="2"/>
        <v>6</v>
      </c>
      <c r="AA55" s="19">
        <v>0</v>
      </c>
      <c r="AB55" s="19">
        <v>20</v>
      </c>
      <c r="AC55" s="21">
        <v>1</v>
      </c>
      <c r="AD55" s="21">
        <v>1</v>
      </c>
      <c r="AE55" s="21">
        <v>1</v>
      </c>
      <c r="AF55" s="64">
        <v>2</v>
      </c>
      <c r="AG55" s="64">
        <v>22</v>
      </c>
      <c r="AH55" s="64">
        <v>2</v>
      </c>
      <c r="AI55" s="64">
        <v>1</v>
      </c>
    </row>
    <row r="56" spans="4:35" x14ac:dyDescent="0.2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T56" s="17">
        <v>0</v>
      </c>
      <c r="U56" s="17">
        <v>0</v>
      </c>
      <c r="V56" s="17">
        <v>1</v>
      </c>
      <c r="W56" s="17">
        <v>2</v>
      </c>
      <c r="X56" s="17">
        <v>0</v>
      </c>
      <c r="Y56" s="17">
        <v>1</v>
      </c>
      <c r="Z56" s="65">
        <f t="shared" si="2"/>
        <v>3</v>
      </c>
      <c r="AA56" s="19">
        <v>30</v>
      </c>
      <c r="AB56" s="19">
        <v>40</v>
      </c>
      <c r="AC56" s="21">
        <v>1</v>
      </c>
      <c r="AD56" s="21">
        <v>1</v>
      </c>
      <c r="AE56" s="21">
        <v>1</v>
      </c>
      <c r="AF56" s="64">
        <v>2</v>
      </c>
      <c r="AG56" s="64">
        <v>21</v>
      </c>
      <c r="AH56" s="64">
        <v>1</v>
      </c>
      <c r="AI56" s="64">
        <v>1</v>
      </c>
    </row>
    <row r="57" spans="4:35" x14ac:dyDescent="0.2">
      <c r="D57" s="47">
        <v>494867</v>
      </c>
      <c r="E57" s="17">
        <v>1</v>
      </c>
      <c r="F57" s="17">
        <v>1</v>
      </c>
      <c r="Q57" s="17">
        <v>0</v>
      </c>
      <c r="R57" s="17">
        <v>40</v>
      </c>
      <c r="S57" s="17">
        <v>0</v>
      </c>
      <c r="T57" s="17">
        <v>0</v>
      </c>
      <c r="U57" s="17">
        <v>35</v>
      </c>
      <c r="V57" s="17">
        <v>0</v>
      </c>
      <c r="W57" s="17">
        <v>0</v>
      </c>
      <c r="X57" s="17">
        <v>40</v>
      </c>
      <c r="Y57" s="17">
        <v>0</v>
      </c>
      <c r="Z57" s="65">
        <f t="shared" si="2"/>
        <v>40</v>
      </c>
      <c r="AA57" s="19">
        <v>0</v>
      </c>
      <c r="AB57" s="19">
        <v>100</v>
      </c>
      <c r="AC57" s="21">
        <v>1</v>
      </c>
      <c r="AD57" s="21">
        <v>1</v>
      </c>
      <c r="AE57" s="21">
        <v>1</v>
      </c>
      <c r="AF57" s="64">
        <v>2</v>
      </c>
      <c r="AG57" s="64">
        <v>20</v>
      </c>
      <c r="AH57" s="64">
        <v>1</v>
      </c>
      <c r="AI57" s="64">
        <v>1</v>
      </c>
    </row>
    <row r="58" spans="4:35" x14ac:dyDescent="0.2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T58" s="17">
        <v>2</v>
      </c>
      <c r="U58" s="17">
        <v>3</v>
      </c>
      <c r="V58" s="17">
        <v>0</v>
      </c>
      <c r="W58" s="17">
        <v>2</v>
      </c>
      <c r="X58" s="17">
        <v>3</v>
      </c>
      <c r="Y58" s="17">
        <v>0</v>
      </c>
      <c r="Z58" s="65">
        <f t="shared" si="2"/>
        <v>5</v>
      </c>
      <c r="AA58" s="19">
        <v>0</v>
      </c>
      <c r="AB58" s="19">
        <v>60</v>
      </c>
      <c r="AC58" s="21">
        <v>1</v>
      </c>
      <c r="AD58" s="21">
        <v>1</v>
      </c>
      <c r="AE58" s="21">
        <v>1</v>
      </c>
      <c r="AF58" s="64">
        <v>2</v>
      </c>
      <c r="AG58" s="64">
        <v>20</v>
      </c>
      <c r="AH58" s="64">
        <v>1</v>
      </c>
      <c r="AI58" s="64">
        <v>1</v>
      </c>
    </row>
    <row r="59" spans="4:35" x14ac:dyDescent="0.2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85</v>
      </c>
      <c r="J59" s="16">
        <v>6</v>
      </c>
      <c r="K59" s="16">
        <v>0</v>
      </c>
      <c r="L59" s="16">
        <v>80</v>
      </c>
      <c r="M59" s="16">
        <v>10</v>
      </c>
      <c r="N59" s="16">
        <v>0</v>
      </c>
      <c r="O59" s="16">
        <v>85</v>
      </c>
      <c r="P59" s="16">
        <f>SUM(M59:O59)</f>
        <v>95</v>
      </c>
      <c r="Q59" s="17">
        <v>10</v>
      </c>
      <c r="R59" s="17">
        <v>0</v>
      </c>
      <c r="S59" s="17">
        <v>85</v>
      </c>
      <c r="T59" s="17">
        <v>6</v>
      </c>
      <c r="U59" s="17">
        <v>0</v>
      </c>
      <c r="V59" s="17">
        <v>80</v>
      </c>
      <c r="W59" s="17">
        <v>10</v>
      </c>
      <c r="X59" s="17">
        <v>0</v>
      </c>
      <c r="Y59" s="17">
        <v>85</v>
      </c>
      <c r="Z59" s="65">
        <f t="shared" si="2"/>
        <v>95</v>
      </c>
      <c r="AA59" s="19">
        <v>10</v>
      </c>
      <c r="AB59" s="19">
        <v>95</v>
      </c>
      <c r="AC59" s="21">
        <v>0</v>
      </c>
      <c r="AD59" s="21">
        <v>0</v>
      </c>
      <c r="AE59" s="21">
        <v>0</v>
      </c>
      <c r="AF59" s="64">
        <v>1</v>
      </c>
      <c r="AG59" s="64">
        <v>23</v>
      </c>
      <c r="AH59" s="64">
        <v>2</v>
      </c>
      <c r="AI59" s="64">
        <v>1</v>
      </c>
    </row>
    <row r="60" spans="4:35" x14ac:dyDescent="0.2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J60" s="16">
        <v>0</v>
      </c>
      <c r="K60" s="16">
        <v>9</v>
      </c>
      <c r="L60" s="16">
        <v>1</v>
      </c>
      <c r="M60" s="16">
        <v>0</v>
      </c>
      <c r="N60" s="16">
        <v>9</v>
      </c>
      <c r="O60" s="16">
        <v>1</v>
      </c>
      <c r="P60" s="16">
        <f>SUM(M60:O60)</f>
        <v>10</v>
      </c>
      <c r="Q60" s="17">
        <v>0</v>
      </c>
      <c r="R60" s="17">
        <v>9</v>
      </c>
      <c r="S60" s="17">
        <v>2</v>
      </c>
      <c r="T60" s="17">
        <v>0</v>
      </c>
      <c r="U60" s="17">
        <v>9</v>
      </c>
      <c r="V60" s="17">
        <v>1</v>
      </c>
      <c r="W60" s="17">
        <v>0</v>
      </c>
      <c r="X60" s="17">
        <v>9</v>
      </c>
      <c r="Y60" s="17">
        <v>1</v>
      </c>
      <c r="Z60" s="65">
        <f t="shared" si="2"/>
        <v>10</v>
      </c>
      <c r="AA60" s="19">
        <v>0</v>
      </c>
      <c r="AB60" s="19">
        <v>60</v>
      </c>
      <c r="AC60" s="21">
        <v>0</v>
      </c>
      <c r="AD60" s="21">
        <v>0</v>
      </c>
      <c r="AE60" s="21">
        <v>0</v>
      </c>
      <c r="AF60" s="64">
        <v>1</v>
      </c>
      <c r="AG60" s="64">
        <v>20</v>
      </c>
      <c r="AH60" s="64">
        <v>1</v>
      </c>
      <c r="AI60" s="64">
        <v>1</v>
      </c>
    </row>
    <row r="61" spans="4:35" x14ac:dyDescent="0.2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T61" s="17">
        <v>0</v>
      </c>
      <c r="U61" s="17">
        <v>6</v>
      </c>
      <c r="V61" s="17">
        <v>0</v>
      </c>
      <c r="W61" s="17">
        <v>0</v>
      </c>
      <c r="X61" s="17">
        <v>6</v>
      </c>
      <c r="Y61" s="17">
        <v>0</v>
      </c>
      <c r="Z61" s="65">
        <f t="shared" si="2"/>
        <v>6</v>
      </c>
      <c r="AA61" s="19">
        <v>10</v>
      </c>
      <c r="AB61" s="19">
        <v>5</v>
      </c>
      <c r="AC61" s="21">
        <v>1</v>
      </c>
      <c r="AD61" s="21">
        <v>1</v>
      </c>
      <c r="AE61" s="21">
        <v>1</v>
      </c>
      <c r="AF61" s="64">
        <v>2</v>
      </c>
      <c r="AG61" s="64">
        <v>21</v>
      </c>
      <c r="AH61" s="64">
        <v>2</v>
      </c>
      <c r="AI61" s="64">
        <v>1</v>
      </c>
    </row>
    <row r="62" spans="4:35" x14ac:dyDescent="0.2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T62" s="17">
        <v>0</v>
      </c>
      <c r="U62" s="17">
        <v>3</v>
      </c>
      <c r="V62" s="17">
        <v>0</v>
      </c>
      <c r="W62" s="17">
        <v>0</v>
      </c>
      <c r="X62" s="17">
        <v>4</v>
      </c>
      <c r="Y62" s="17">
        <v>0</v>
      </c>
      <c r="Z62" s="65">
        <f t="shared" si="2"/>
        <v>4</v>
      </c>
      <c r="AA62" s="19">
        <v>0</v>
      </c>
      <c r="AB62" s="19">
        <v>5</v>
      </c>
      <c r="AC62" s="21">
        <v>1</v>
      </c>
      <c r="AD62" s="21">
        <v>1</v>
      </c>
      <c r="AE62" s="21">
        <v>1</v>
      </c>
      <c r="AF62" s="64">
        <v>2</v>
      </c>
      <c r="AG62" s="64">
        <v>25</v>
      </c>
      <c r="AH62" s="64">
        <v>2</v>
      </c>
      <c r="AI62" s="64">
        <v>1</v>
      </c>
    </row>
    <row r="63" spans="4:35" x14ac:dyDescent="0.2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J63" s="16">
        <v>6</v>
      </c>
      <c r="K63" s="16">
        <v>5</v>
      </c>
      <c r="L63" s="16">
        <v>15</v>
      </c>
      <c r="M63" s="16">
        <v>4</v>
      </c>
      <c r="N63" s="16">
        <v>10</v>
      </c>
      <c r="O63" s="16">
        <v>20</v>
      </c>
      <c r="P63" s="16">
        <f>SUM(M63:O63)</f>
        <v>34</v>
      </c>
      <c r="Q63" s="17">
        <v>4</v>
      </c>
      <c r="R63" s="17">
        <v>10</v>
      </c>
      <c r="S63" s="17">
        <v>20</v>
      </c>
      <c r="T63" s="17">
        <v>6</v>
      </c>
      <c r="U63" s="17">
        <v>5</v>
      </c>
      <c r="V63" s="17">
        <v>15</v>
      </c>
      <c r="W63" s="17">
        <v>4</v>
      </c>
      <c r="X63" s="17">
        <v>10</v>
      </c>
      <c r="Y63" s="17">
        <v>20</v>
      </c>
      <c r="Z63" s="65">
        <f t="shared" si="2"/>
        <v>34</v>
      </c>
      <c r="AA63" s="19">
        <v>0</v>
      </c>
      <c r="AB63" s="19">
        <v>70</v>
      </c>
      <c r="AC63" s="21">
        <v>0</v>
      </c>
      <c r="AD63" s="21">
        <v>0</v>
      </c>
      <c r="AE63" s="21">
        <v>0</v>
      </c>
      <c r="AF63" s="64">
        <v>2</v>
      </c>
      <c r="AG63" s="64">
        <v>21</v>
      </c>
      <c r="AH63" s="64">
        <v>2</v>
      </c>
      <c r="AI63" s="64">
        <v>1</v>
      </c>
    </row>
    <row r="64" spans="4:35" x14ac:dyDescent="0.2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J64" s="16">
        <v>1</v>
      </c>
      <c r="K64" s="16">
        <v>6</v>
      </c>
      <c r="L64" s="16">
        <v>1</v>
      </c>
      <c r="M64" s="16">
        <v>1</v>
      </c>
      <c r="N64" s="16">
        <v>6</v>
      </c>
      <c r="O64" s="16">
        <v>1</v>
      </c>
      <c r="P64" s="16">
        <f>SUM(M64:O64)</f>
        <v>8</v>
      </c>
      <c r="Q64" s="17">
        <v>1</v>
      </c>
      <c r="R64" s="17">
        <v>2</v>
      </c>
      <c r="S64" s="17">
        <v>1</v>
      </c>
      <c r="T64" s="17">
        <v>1</v>
      </c>
      <c r="U64" s="17">
        <v>6</v>
      </c>
      <c r="V64" s="17">
        <v>1</v>
      </c>
      <c r="W64" s="17">
        <v>1</v>
      </c>
      <c r="X64" s="17">
        <v>6</v>
      </c>
      <c r="Y64" s="17">
        <v>1</v>
      </c>
      <c r="Z64" s="65">
        <f t="shared" si="2"/>
        <v>8</v>
      </c>
      <c r="AA64" s="19">
        <v>0</v>
      </c>
      <c r="AB64" s="19">
        <v>5</v>
      </c>
      <c r="AC64" s="21">
        <v>0</v>
      </c>
      <c r="AD64" s="21">
        <v>0</v>
      </c>
      <c r="AE64" s="21">
        <v>0</v>
      </c>
      <c r="AF64" s="64">
        <v>1</v>
      </c>
      <c r="AG64" s="64">
        <v>20</v>
      </c>
      <c r="AH64" s="64">
        <v>1</v>
      </c>
      <c r="AI64" s="64">
        <v>1</v>
      </c>
    </row>
    <row r="65" spans="4:35" x14ac:dyDescent="0.2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T65" s="17">
        <v>0</v>
      </c>
      <c r="U65" s="17">
        <v>5</v>
      </c>
      <c r="V65" s="17">
        <v>0</v>
      </c>
      <c r="W65" s="17">
        <v>0</v>
      </c>
      <c r="X65" s="17">
        <v>5</v>
      </c>
      <c r="Y65" s="17">
        <v>0</v>
      </c>
      <c r="Z65" s="65">
        <f t="shared" si="2"/>
        <v>5</v>
      </c>
      <c r="AA65" s="19">
        <v>0</v>
      </c>
      <c r="AB65" s="19">
        <v>20</v>
      </c>
      <c r="AC65" s="21">
        <v>1</v>
      </c>
      <c r="AD65" s="21">
        <v>1</v>
      </c>
      <c r="AE65" s="21">
        <v>1</v>
      </c>
      <c r="AF65" s="64">
        <v>2</v>
      </c>
      <c r="AG65" s="64">
        <v>22</v>
      </c>
      <c r="AH65" s="64">
        <v>2</v>
      </c>
      <c r="AI65" s="64">
        <v>1</v>
      </c>
    </row>
    <row r="66" spans="4:35" x14ac:dyDescent="0.2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J66" s="16">
        <v>12</v>
      </c>
      <c r="K66" s="16">
        <v>2</v>
      </c>
      <c r="L66" s="16">
        <v>12</v>
      </c>
      <c r="M66" s="16">
        <v>14</v>
      </c>
      <c r="N66" s="16">
        <v>0</v>
      </c>
      <c r="O66" s="16">
        <v>16</v>
      </c>
      <c r="P66" s="16">
        <f>SUM(M66:O66)</f>
        <v>30</v>
      </c>
      <c r="Q66" s="17">
        <v>14</v>
      </c>
      <c r="R66" s="17">
        <v>0</v>
      </c>
      <c r="S66" s="17">
        <v>16</v>
      </c>
      <c r="T66" s="17">
        <v>12</v>
      </c>
      <c r="U66" s="17">
        <v>2</v>
      </c>
      <c r="V66" s="17">
        <v>12</v>
      </c>
      <c r="W66" s="17">
        <v>14</v>
      </c>
      <c r="X66" s="17">
        <v>0</v>
      </c>
      <c r="Y66" s="17">
        <v>16</v>
      </c>
      <c r="Z66" s="65">
        <f t="shared" si="2"/>
        <v>30</v>
      </c>
      <c r="AA66" s="19">
        <v>20</v>
      </c>
      <c r="AB66" s="19">
        <v>90</v>
      </c>
      <c r="AC66" s="21">
        <v>0</v>
      </c>
      <c r="AD66" s="21">
        <v>0</v>
      </c>
      <c r="AE66" s="21">
        <v>0</v>
      </c>
      <c r="AF66" s="64">
        <v>1</v>
      </c>
      <c r="AG66" s="64">
        <v>21</v>
      </c>
      <c r="AH66" s="64">
        <v>1</v>
      </c>
      <c r="AI66" s="64">
        <v>1</v>
      </c>
    </row>
    <row r="67" spans="4:35" x14ac:dyDescent="0.2">
      <c r="D67" s="47">
        <v>557171</v>
      </c>
      <c r="E67" s="17">
        <v>2</v>
      </c>
      <c r="F67" s="17">
        <v>4</v>
      </c>
      <c r="G67" s="16">
        <v>7</v>
      </c>
      <c r="H67" s="16">
        <v>30</v>
      </c>
      <c r="I67" s="16">
        <v>15</v>
      </c>
      <c r="J67" s="16">
        <v>10</v>
      </c>
      <c r="K67" s="16">
        <v>28</v>
      </c>
      <c r="L67" s="16">
        <v>12</v>
      </c>
      <c r="M67" s="16">
        <v>7</v>
      </c>
      <c r="N67" s="16">
        <v>30</v>
      </c>
      <c r="O67" s="16">
        <v>15</v>
      </c>
      <c r="P67" s="16">
        <f>SUM(M67:O67)</f>
        <v>52</v>
      </c>
      <c r="Q67" s="17">
        <v>7</v>
      </c>
      <c r="R67" s="17">
        <v>30</v>
      </c>
      <c r="S67" s="17">
        <v>15</v>
      </c>
      <c r="T67" s="17">
        <v>10</v>
      </c>
      <c r="U67" s="17">
        <v>28</v>
      </c>
      <c r="V67" s="17">
        <v>12</v>
      </c>
      <c r="W67" s="17">
        <v>7</v>
      </c>
      <c r="X67" s="17">
        <v>30</v>
      </c>
      <c r="Y67" s="17">
        <v>15</v>
      </c>
      <c r="Z67" s="65">
        <f t="shared" si="2"/>
        <v>52</v>
      </c>
      <c r="AA67" s="19">
        <v>0</v>
      </c>
      <c r="AB67" s="19">
        <v>80</v>
      </c>
      <c r="AC67" s="21">
        <v>0</v>
      </c>
      <c r="AD67" s="21">
        <v>0</v>
      </c>
      <c r="AE67" s="21">
        <v>0</v>
      </c>
      <c r="AF67" s="64">
        <v>1</v>
      </c>
      <c r="AG67" s="64">
        <v>22</v>
      </c>
      <c r="AH67" s="64">
        <v>1</v>
      </c>
      <c r="AI67" s="64">
        <v>1</v>
      </c>
    </row>
    <row r="68" spans="4:35" x14ac:dyDescent="0.2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T68" s="17">
        <v>0</v>
      </c>
      <c r="U68" s="17">
        <v>2</v>
      </c>
      <c r="V68" s="17">
        <v>0</v>
      </c>
      <c r="W68" s="17">
        <v>0</v>
      </c>
      <c r="X68" s="17">
        <v>2</v>
      </c>
      <c r="Y68" s="17">
        <v>0</v>
      </c>
      <c r="Z68" s="65">
        <f t="shared" si="2"/>
        <v>2</v>
      </c>
      <c r="AA68" s="19">
        <v>25</v>
      </c>
      <c r="AB68" s="19">
        <v>0</v>
      </c>
      <c r="AC68" s="21">
        <v>1</v>
      </c>
      <c r="AD68" s="21">
        <v>0</v>
      </c>
      <c r="AE68" s="21">
        <v>0</v>
      </c>
      <c r="AF68" s="64">
        <v>2</v>
      </c>
      <c r="AG68" s="64">
        <v>18</v>
      </c>
      <c r="AH68" s="64">
        <v>1</v>
      </c>
      <c r="AI68" s="64">
        <v>1</v>
      </c>
    </row>
    <row r="69" spans="4:35" x14ac:dyDescent="0.2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J69" s="16">
        <v>8</v>
      </c>
      <c r="K69" s="16">
        <v>5</v>
      </c>
      <c r="L69" s="16">
        <v>7</v>
      </c>
      <c r="M69" s="16">
        <v>5</v>
      </c>
      <c r="N69" s="16">
        <v>1</v>
      </c>
      <c r="O69" s="16">
        <v>12</v>
      </c>
      <c r="P69" s="16">
        <f>SUM(M69:O69)</f>
        <v>18</v>
      </c>
      <c r="Q69" s="17">
        <v>5</v>
      </c>
      <c r="R69" s="17">
        <v>1</v>
      </c>
      <c r="S69" s="17">
        <v>12</v>
      </c>
      <c r="T69" s="17">
        <v>8</v>
      </c>
      <c r="U69" s="17">
        <v>5</v>
      </c>
      <c r="V69" s="17">
        <v>7</v>
      </c>
      <c r="W69" s="17">
        <v>5</v>
      </c>
      <c r="X69" s="17">
        <v>1</v>
      </c>
      <c r="Y69" s="17">
        <v>12</v>
      </c>
      <c r="Z69" s="65">
        <f t="shared" si="2"/>
        <v>18</v>
      </c>
      <c r="AA69" s="19">
        <v>0</v>
      </c>
      <c r="AB69" s="19">
        <v>65</v>
      </c>
      <c r="AC69" s="21">
        <v>0</v>
      </c>
      <c r="AD69" s="21">
        <v>0</v>
      </c>
      <c r="AE69" s="21">
        <v>0</v>
      </c>
      <c r="AF69" s="64">
        <v>1</v>
      </c>
      <c r="AG69" s="64">
        <v>20</v>
      </c>
      <c r="AH69" s="64">
        <v>1</v>
      </c>
      <c r="AI69" s="64">
        <v>1</v>
      </c>
    </row>
    <row r="70" spans="4:35" x14ac:dyDescent="0.2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J70" s="16">
        <v>0</v>
      </c>
      <c r="K70" s="16">
        <v>8</v>
      </c>
      <c r="L70" s="16">
        <v>0</v>
      </c>
      <c r="M70" s="16">
        <v>0</v>
      </c>
      <c r="N70" s="16">
        <v>8</v>
      </c>
      <c r="O70" s="16">
        <v>0</v>
      </c>
      <c r="P70" s="16">
        <f>SUM(M70:O70)</f>
        <v>8</v>
      </c>
      <c r="Q70" s="17">
        <v>0</v>
      </c>
      <c r="R70" s="17">
        <v>12</v>
      </c>
      <c r="S70" s="17">
        <v>0</v>
      </c>
      <c r="T70" s="17">
        <v>0</v>
      </c>
      <c r="U70" s="17">
        <v>8</v>
      </c>
      <c r="V70" s="17">
        <v>0</v>
      </c>
      <c r="W70" s="17">
        <v>0</v>
      </c>
      <c r="X70" s="17">
        <v>8</v>
      </c>
      <c r="Y70" s="17">
        <v>0</v>
      </c>
      <c r="Z70" s="65">
        <f t="shared" si="2"/>
        <v>8</v>
      </c>
      <c r="AA70" s="19">
        <v>0</v>
      </c>
      <c r="AB70" s="19">
        <v>40</v>
      </c>
      <c r="AC70" s="21">
        <v>0</v>
      </c>
      <c r="AD70" s="21">
        <v>0</v>
      </c>
      <c r="AE70" s="21">
        <v>0</v>
      </c>
      <c r="AF70" s="64">
        <v>2</v>
      </c>
      <c r="AG70" s="64">
        <v>20</v>
      </c>
      <c r="AH70" s="64">
        <v>1</v>
      </c>
      <c r="AI70" s="64">
        <v>1</v>
      </c>
    </row>
    <row r="71" spans="4:35" x14ac:dyDescent="0.2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T71" s="17">
        <v>1</v>
      </c>
      <c r="U71" s="17">
        <v>3</v>
      </c>
      <c r="V71" s="17">
        <v>1</v>
      </c>
      <c r="W71" s="17">
        <v>1</v>
      </c>
      <c r="X71" s="17">
        <v>3</v>
      </c>
      <c r="Y71" s="17">
        <v>1</v>
      </c>
      <c r="Z71" s="65">
        <f t="shared" ref="Z71:Z108" si="5">SUM(W71:Y71)</f>
        <v>5</v>
      </c>
      <c r="AA71" s="19">
        <v>0</v>
      </c>
      <c r="AB71" s="19">
        <v>15</v>
      </c>
      <c r="AC71" s="21">
        <v>1</v>
      </c>
      <c r="AD71" s="21">
        <v>1</v>
      </c>
      <c r="AE71" s="21">
        <v>1</v>
      </c>
      <c r="AF71" s="64">
        <v>2</v>
      </c>
      <c r="AG71" s="64">
        <v>24</v>
      </c>
      <c r="AH71" s="64">
        <v>2</v>
      </c>
      <c r="AI71" s="64">
        <v>1</v>
      </c>
    </row>
    <row r="72" spans="4:35" x14ac:dyDescent="0.2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J72" s="16">
        <v>8</v>
      </c>
      <c r="K72" s="16">
        <v>0</v>
      </c>
      <c r="L72" s="16">
        <v>0</v>
      </c>
      <c r="M72" s="16">
        <v>6</v>
      </c>
      <c r="N72" s="16">
        <v>0</v>
      </c>
      <c r="O72" s="16">
        <v>2</v>
      </c>
      <c r="P72" s="16">
        <f>SUM(M72:O72)</f>
        <v>8</v>
      </c>
      <c r="Q72" s="17">
        <v>6</v>
      </c>
      <c r="R72" s="17">
        <v>0</v>
      </c>
      <c r="S72" s="17">
        <v>2</v>
      </c>
      <c r="T72" s="17">
        <v>8</v>
      </c>
      <c r="U72" s="17">
        <v>0</v>
      </c>
      <c r="V72" s="17">
        <v>0</v>
      </c>
      <c r="W72" s="17">
        <v>6</v>
      </c>
      <c r="X72" s="17">
        <v>0</v>
      </c>
      <c r="Y72" s="17">
        <v>2</v>
      </c>
      <c r="Z72" s="65">
        <f t="shared" si="5"/>
        <v>8</v>
      </c>
      <c r="AA72" s="19">
        <v>0</v>
      </c>
      <c r="AB72" s="19">
        <v>60</v>
      </c>
      <c r="AC72" s="21">
        <v>0</v>
      </c>
      <c r="AD72" s="21">
        <v>0</v>
      </c>
      <c r="AE72" s="21">
        <v>0</v>
      </c>
      <c r="AF72" s="64">
        <v>1</v>
      </c>
      <c r="AG72" s="64">
        <v>22</v>
      </c>
      <c r="AH72" s="64">
        <v>1</v>
      </c>
      <c r="AI72" s="64">
        <v>1</v>
      </c>
    </row>
    <row r="73" spans="4:35" x14ac:dyDescent="0.2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T73" s="17">
        <v>1</v>
      </c>
      <c r="U73" s="17">
        <v>3</v>
      </c>
      <c r="V73" s="17">
        <v>0</v>
      </c>
      <c r="W73" s="17">
        <v>0</v>
      </c>
      <c r="X73" s="17">
        <v>7</v>
      </c>
      <c r="Y73" s="17">
        <v>1</v>
      </c>
      <c r="Z73" s="65">
        <f t="shared" si="5"/>
        <v>8</v>
      </c>
      <c r="AA73" s="19">
        <v>0</v>
      </c>
      <c r="AB73" s="19">
        <v>15</v>
      </c>
      <c r="AC73" s="21">
        <v>1</v>
      </c>
      <c r="AD73" s="21">
        <v>1</v>
      </c>
      <c r="AE73" s="21">
        <v>1</v>
      </c>
      <c r="AF73" s="64">
        <v>2</v>
      </c>
      <c r="AG73" s="64">
        <v>22</v>
      </c>
      <c r="AH73" s="64">
        <v>2</v>
      </c>
      <c r="AI73" s="64">
        <v>1</v>
      </c>
    </row>
    <row r="74" spans="4:35" x14ac:dyDescent="0.2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65">
        <f t="shared" si="5"/>
        <v>0</v>
      </c>
      <c r="AA74" s="19">
        <v>0</v>
      </c>
      <c r="AB74" s="19">
        <v>8</v>
      </c>
      <c r="AC74" s="21">
        <v>0</v>
      </c>
      <c r="AD74" s="21">
        <v>0</v>
      </c>
      <c r="AE74" s="21">
        <v>0</v>
      </c>
      <c r="AF74" s="64">
        <v>2</v>
      </c>
      <c r="AG74" s="64">
        <v>21</v>
      </c>
      <c r="AH74" s="64">
        <v>2</v>
      </c>
      <c r="AI74" s="64">
        <v>1</v>
      </c>
    </row>
    <row r="75" spans="4:35" x14ac:dyDescent="0.2">
      <c r="D75" s="47">
        <v>610784</v>
      </c>
      <c r="E75" s="17">
        <v>2</v>
      </c>
      <c r="F75" s="17">
        <v>3</v>
      </c>
      <c r="G75" s="16">
        <v>15</v>
      </c>
      <c r="H75" s="16">
        <v>14</v>
      </c>
      <c r="I75" s="16">
        <v>12</v>
      </c>
      <c r="J75" s="16">
        <v>10</v>
      </c>
      <c r="K75" s="16">
        <v>17</v>
      </c>
      <c r="L75" s="16">
        <v>7</v>
      </c>
      <c r="M75" s="16">
        <v>15</v>
      </c>
      <c r="N75" s="16">
        <v>14</v>
      </c>
      <c r="O75" s="16">
        <v>12</v>
      </c>
      <c r="P75" s="16">
        <f>SUM(M75:O75)</f>
        <v>41</v>
      </c>
      <c r="Q75" s="17">
        <v>15</v>
      </c>
      <c r="R75" s="17">
        <v>14</v>
      </c>
      <c r="S75" s="17">
        <v>12</v>
      </c>
      <c r="T75" s="17">
        <v>10</v>
      </c>
      <c r="U75" s="17">
        <v>17</v>
      </c>
      <c r="V75" s="17">
        <v>7</v>
      </c>
      <c r="W75" s="17">
        <v>15</v>
      </c>
      <c r="X75" s="17">
        <v>14</v>
      </c>
      <c r="Y75" s="17">
        <v>12</v>
      </c>
      <c r="Z75" s="65">
        <f t="shared" si="5"/>
        <v>41</v>
      </c>
      <c r="AA75" s="19">
        <v>0</v>
      </c>
      <c r="AB75" s="19">
        <v>80</v>
      </c>
      <c r="AC75" s="21">
        <v>0</v>
      </c>
      <c r="AD75" s="21">
        <v>0</v>
      </c>
      <c r="AE75" s="21">
        <v>0</v>
      </c>
      <c r="AF75" s="64">
        <v>1</v>
      </c>
      <c r="AG75" s="64">
        <v>20</v>
      </c>
      <c r="AH75" s="64">
        <v>2</v>
      </c>
      <c r="AI75" s="64">
        <v>1</v>
      </c>
    </row>
    <row r="76" spans="4:35" x14ac:dyDescent="0.2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T76" s="17">
        <v>2</v>
      </c>
      <c r="U76" s="17">
        <v>1</v>
      </c>
      <c r="V76" s="17">
        <v>0</v>
      </c>
      <c r="W76" s="17">
        <v>1</v>
      </c>
      <c r="X76" s="17">
        <v>2</v>
      </c>
      <c r="Y76" s="17">
        <v>1</v>
      </c>
      <c r="Z76" s="65">
        <f t="shared" si="5"/>
        <v>4</v>
      </c>
      <c r="AA76" s="19">
        <v>0</v>
      </c>
      <c r="AB76" s="19">
        <v>20</v>
      </c>
      <c r="AC76" s="21">
        <v>1</v>
      </c>
      <c r="AD76" s="21">
        <v>1</v>
      </c>
      <c r="AE76" s="21">
        <v>1</v>
      </c>
      <c r="AF76" s="64">
        <v>2</v>
      </c>
      <c r="AG76" s="64">
        <v>20</v>
      </c>
      <c r="AH76" s="64">
        <v>1</v>
      </c>
      <c r="AI76" s="64">
        <v>1</v>
      </c>
    </row>
    <row r="77" spans="4:35" x14ac:dyDescent="0.2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J77" s="16">
        <v>0</v>
      </c>
      <c r="K77" s="16">
        <v>6</v>
      </c>
      <c r="L77" s="16">
        <v>0</v>
      </c>
      <c r="M77" s="16">
        <v>0</v>
      </c>
      <c r="N77" s="16">
        <v>6</v>
      </c>
      <c r="O77" s="16">
        <v>0</v>
      </c>
      <c r="P77" s="16">
        <f>SUM(M77:O77)</f>
        <v>6</v>
      </c>
      <c r="Q77" s="17">
        <v>0</v>
      </c>
      <c r="R77" s="17">
        <v>9</v>
      </c>
      <c r="S77" s="17">
        <v>0</v>
      </c>
      <c r="T77" s="17">
        <v>0</v>
      </c>
      <c r="U77" s="17">
        <v>6</v>
      </c>
      <c r="V77" s="17">
        <v>0</v>
      </c>
      <c r="W77" s="17">
        <v>0</v>
      </c>
      <c r="X77" s="17">
        <v>6</v>
      </c>
      <c r="Y77" s="17">
        <v>0</v>
      </c>
      <c r="Z77" s="65">
        <f t="shared" si="5"/>
        <v>6</v>
      </c>
      <c r="AA77" s="19">
        <v>0</v>
      </c>
      <c r="AB77" s="19">
        <v>30</v>
      </c>
      <c r="AC77" s="21">
        <v>1</v>
      </c>
      <c r="AD77" s="21">
        <v>1</v>
      </c>
      <c r="AE77" s="21">
        <v>1</v>
      </c>
      <c r="AF77" s="64">
        <v>1</v>
      </c>
      <c r="AG77" s="64">
        <v>19</v>
      </c>
      <c r="AH77" s="64">
        <v>1</v>
      </c>
      <c r="AI77" s="64">
        <v>1</v>
      </c>
    </row>
    <row r="78" spans="4:35" x14ac:dyDescent="0.2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J78" s="16">
        <v>16</v>
      </c>
      <c r="K78" s="16">
        <v>8</v>
      </c>
      <c r="L78" s="16">
        <v>10</v>
      </c>
      <c r="M78" s="16">
        <v>18</v>
      </c>
      <c r="N78" s="16">
        <v>7</v>
      </c>
      <c r="O78" s="16">
        <v>10</v>
      </c>
      <c r="P78" s="16">
        <f>SUM(M78:O78)</f>
        <v>35</v>
      </c>
      <c r="Q78" s="17">
        <v>18</v>
      </c>
      <c r="R78" s="17">
        <v>7</v>
      </c>
      <c r="S78" s="17">
        <v>10</v>
      </c>
      <c r="T78" s="17">
        <v>16</v>
      </c>
      <c r="U78" s="17">
        <v>8</v>
      </c>
      <c r="V78" s="17">
        <v>10</v>
      </c>
      <c r="W78" s="17">
        <v>18</v>
      </c>
      <c r="X78" s="17">
        <v>7</v>
      </c>
      <c r="Y78" s="17">
        <v>10</v>
      </c>
      <c r="Z78" s="65">
        <f t="shared" si="5"/>
        <v>35</v>
      </c>
      <c r="AA78" s="19">
        <v>0</v>
      </c>
      <c r="AB78" s="19">
        <v>85</v>
      </c>
      <c r="AC78" s="21">
        <v>0</v>
      </c>
      <c r="AD78" s="21">
        <v>0</v>
      </c>
      <c r="AE78" s="21">
        <v>0</v>
      </c>
      <c r="AF78" s="64">
        <v>1</v>
      </c>
      <c r="AG78" s="64">
        <v>19</v>
      </c>
      <c r="AH78" s="64">
        <v>1</v>
      </c>
      <c r="AI78" s="64">
        <v>1</v>
      </c>
    </row>
    <row r="79" spans="4:35" x14ac:dyDescent="0.2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T79" s="17">
        <v>1</v>
      </c>
      <c r="U79" s="17">
        <v>0</v>
      </c>
      <c r="V79" s="17">
        <v>2</v>
      </c>
      <c r="W79" s="17">
        <v>1</v>
      </c>
      <c r="X79" s="17">
        <v>0</v>
      </c>
      <c r="Y79" s="17">
        <v>2</v>
      </c>
      <c r="Z79" s="65">
        <f t="shared" si="5"/>
        <v>3</v>
      </c>
      <c r="AA79" s="19">
        <v>0</v>
      </c>
      <c r="AB79" s="19">
        <v>20</v>
      </c>
      <c r="AC79" s="21">
        <v>1</v>
      </c>
      <c r="AD79" s="21">
        <v>1</v>
      </c>
      <c r="AE79" s="21">
        <v>0</v>
      </c>
      <c r="AF79" s="64">
        <v>2</v>
      </c>
      <c r="AG79" s="64">
        <v>23</v>
      </c>
      <c r="AH79" s="64">
        <v>2</v>
      </c>
      <c r="AI79" s="64">
        <v>1</v>
      </c>
    </row>
    <row r="80" spans="4:35" x14ac:dyDescent="0.2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T80" s="17">
        <v>2</v>
      </c>
      <c r="U80" s="17">
        <v>0</v>
      </c>
      <c r="V80" s="17">
        <v>1</v>
      </c>
      <c r="W80" s="17">
        <v>2</v>
      </c>
      <c r="X80" s="17">
        <v>0</v>
      </c>
      <c r="Y80" s="17">
        <v>1</v>
      </c>
      <c r="Z80" s="65">
        <f t="shared" si="5"/>
        <v>3</v>
      </c>
      <c r="AA80" s="19">
        <v>0</v>
      </c>
      <c r="AB80" s="19">
        <v>30</v>
      </c>
      <c r="AC80" s="21">
        <v>1</v>
      </c>
      <c r="AD80" s="21">
        <v>1</v>
      </c>
      <c r="AE80" s="21">
        <v>1</v>
      </c>
      <c r="AF80" s="64">
        <v>2</v>
      </c>
      <c r="AG80" s="64">
        <v>20</v>
      </c>
      <c r="AH80" s="64">
        <v>1</v>
      </c>
      <c r="AI80" s="64">
        <v>1</v>
      </c>
    </row>
    <row r="81" spans="4:35" x14ac:dyDescent="0.2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J81" s="16">
        <v>11</v>
      </c>
      <c r="K81" s="16">
        <v>0</v>
      </c>
      <c r="L81" s="16">
        <v>3</v>
      </c>
      <c r="M81" s="16">
        <v>10</v>
      </c>
      <c r="N81" s="16">
        <v>2</v>
      </c>
      <c r="O81" s="16">
        <v>8</v>
      </c>
      <c r="P81" s="16">
        <f>SUM(M81:O81)</f>
        <v>20</v>
      </c>
      <c r="Q81" s="17">
        <v>10</v>
      </c>
      <c r="R81" s="17">
        <v>2</v>
      </c>
      <c r="S81" s="17">
        <v>8</v>
      </c>
      <c r="T81" s="17">
        <v>11</v>
      </c>
      <c r="U81" s="17">
        <v>0</v>
      </c>
      <c r="V81" s="17">
        <v>3</v>
      </c>
      <c r="W81" s="17">
        <v>10</v>
      </c>
      <c r="X81" s="17">
        <v>2</v>
      </c>
      <c r="Y81" s="17">
        <v>8</v>
      </c>
      <c r="Z81" s="65">
        <f t="shared" si="5"/>
        <v>20</v>
      </c>
      <c r="AA81" s="19">
        <v>0</v>
      </c>
      <c r="AB81" s="19">
        <v>80</v>
      </c>
      <c r="AC81" s="21">
        <v>0</v>
      </c>
      <c r="AD81" s="21">
        <v>0</v>
      </c>
      <c r="AE81" s="21">
        <v>0</v>
      </c>
      <c r="AF81" s="64">
        <v>1</v>
      </c>
      <c r="AG81" s="64">
        <v>18</v>
      </c>
      <c r="AH81" s="64">
        <v>3</v>
      </c>
      <c r="AI81" s="64">
        <v>1</v>
      </c>
    </row>
    <row r="82" spans="4:35" x14ac:dyDescent="0.2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T82" s="17">
        <v>2</v>
      </c>
      <c r="U82" s="17">
        <v>1</v>
      </c>
      <c r="V82" s="17">
        <v>0</v>
      </c>
      <c r="W82" s="17">
        <v>1</v>
      </c>
      <c r="X82" s="17">
        <v>6</v>
      </c>
      <c r="Y82" s="17">
        <v>2</v>
      </c>
      <c r="Z82" s="65">
        <f t="shared" si="5"/>
        <v>9</v>
      </c>
      <c r="AA82" s="19">
        <v>0</v>
      </c>
      <c r="AB82" s="19">
        <v>10</v>
      </c>
      <c r="AC82" s="21">
        <v>1</v>
      </c>
      <c r="AD82" s="21">
        <v>1</v>
      </c>
      <c r="AE82" s="21">
        <v>1</v>
      </c>
      <c r="AF82" s="64">
        <v>2</v>
      </c>
      <c r="AG82" s="64">
        <v>19</v>
      </c>
      <c r="AH82" s="64">
        <v>1</v>
      </c>
      <c r="AI82" s="64">
        <v>1</v>
      </c>
    </row>
    <row r="83" spans="4:35" x14ac:dyDescent="0.2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J83" s="16">
        <v>6</v>
      </c>
      <c r="K83" s="16">
        <v>1</v>
      </c>
      <c r="L83" s="16">
        <v>6</v>
      </c>
      <c r="M83" s="16">
        <v>6</v>
      </c>
      <c r="N83" s="16">
        <v>1</v>
      </c>
      <c r="O83" s="16">
        <v>6</v>
      </c>
      <c r="P83" s="16">
        <f>SUM(M83:O83)</f>
        <v>13</v>
      </c>
      <c r="Q83" s="17">
        <v>6</v>
      </c>
      <c r="R83" s="17">
        <v>6</v>
      </c>
      <c r="S83" s="17">
        <v>6</v>
      </c>
      <c r="T83" s="17">
        <v>6</v>
      </c>
      <c r="U83" s="17">
        <v>1</v>
      </c>
      <c r="V83" s="17">
        <v>6</v>
      </c>
      <c r="W83" s="17">
        <v>6</v>
      </c>
      <c r="X83" s="17">
        <v>1</v>
      </c>
      <c r="Y83" s="17">
        <v>6</v>
      </c>
      <c r="Z83" s="65">
        <f t="shared" si="5"/>
        <v>13</v>
      </c>
      <c r="AA83" s="19">
        <v>0</v>
      </c>
      <c r="AB83" s="19">
        <v>40</v>
      </c>
      <c r="AC83" s="21">
        <v>0</v>
      </c>
      <c r="AD83" s="21">
        <v>0</v>
      </c>
      <c r="AE83" s="21">
        <v>0</v>
      </c>
      <c r="AF83" s="64">
        <v>1</v>
      </c>
      <c r="AG83" s="64">
        <v>20</v>
      </c>
      <c r="AH83" s="64">
        <v>1</v>
      </c>
      <c r="AI83" s="64">
        <v>1</v>
      </c>
    </row>
    <row r="84" spans="4:35" x14ac:dyDescent="0.2">
      <c r="D84" s="47">
        <v>720290</v>
      </c>
      <c r="E84" s="17">
        <v>2</v>
      </c>
      <c r="F84" s="17">
        <v>4</v>
      </c>
      <c r="G84" s="16">
        <v>5</v>
      </c>
      <c r="H84" s="16">
        <v>1</v>
      </c>
      <c r="I84" s="16">
        <v>27</v>
      </c>
      <c r="J84" s="16">
        <v>3</v>
      </c>
      <c r="K84" s="16">
        <v>1</v>
      </c>
      <c r="L84" s="16">
        <v>28</v>
      </c>
      <c r="M84" s="16">
        <v>5</v>
      </c>
      <c r="N84" s="16">
        <v>1</v>
      </c>
      <c r="O84" s="16">
        <v>27</v>
      </c>
      <c r="P84" s="16">
        <f>SUM(M84:O84)</f>
        <v>33</v>
      </c>
      <c r="Q84" s="17">
        <v>5</v>
      </c>
      <c r="R84" s="17">
        <v>1</v>
      </c>
      <c r="S84" s="17">
        <v>27</v>
      </c>
      <c r="T84" s="17">
        <v>3</v>
      </c>
      <c r="U84" s="17">
        <v>1</v>
      </c>
      <c r="V84" s="17">
        <v>28</v>
      </c>
      <c r="W84" s="17">
        <v>5</v>
      </c>
      <c r="X84" s="17">
        <v>1</v>
      </c>
      <c r="Y84" s="17">
        <v>27</v>
      </c>
      <c r="Z84" s="65">
        <f t="shared" si="5"/>
        <v>33</v>
      </c>
      <c r="AA84" s="19">
        <v>0</v>
      </c>
      <c r="AB84" s="19">
        <v>100</v>
      </c>
      <c r="AC84" s="21">
        <v>0</v>
      </c>
      <c r="AD84" s="21">
        <v>0</v>
      </c>
      <c r="AE84" s="21">
        <v>0</v>
      </c>
      <c r="AF84" s="64">
        <v>1</v>
      </c>
      <c r="AG84" s="64">
        <v>20</v>
      </c>
      <c r="AH84" s="64">
        <v>1</v>
      </c>
      <c r="AI84" s="64">
        <v>1</v>
      </c>
    </row>
    <row r="85" spans="4:35" x14ac:dyDescent="0.2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T85" s="17">
        <v>0</v>
      </c>
      <c r="U85" s="17">
        <v>2</v>
      </c>
      <c r="V85" s="17">
        <v>0</v>
      </c>
      <c r="W85" s="17">
        <v>0</v>
      </c>
      <c r="X85" s="17">
        <v>2</v>
      </c>
      <c r="Y85" s="17">
        <v>0</v>
      </c>
      <c r="Z85" s="65">
        <f t="shared" si="5"/>
        <v>2</v>
      </c>
      <c r="AA85" s="19">
        <v>0</v>
      </c>
      <c r="AB85" s="19">
        <v>30</v>
      </c>
      <c r="AC85" s="21">
        <v>1</v>
      </c>
      <c r="AD85" s="21">
        <v>1</v>
      </c>
      <c r="AE85" s="21">
        <v>1</v>
      </c>
      <c r="AF85" s="64">
        <v>2</v>
      </c>
      <c r="AG85" s="64">
        <v>22</v>
      </c>
      <c r="AH85" s="64">
        <v>2</v>
      </c>
      <c r="AI85" s="64">
        <v>1</v>
      </c>
    </row>
    <row r="86" spans="4:35" x14ac:dyDescent="0.2">
      <c r="D86" s="47">
        <v>736700</v>
      </c>
      <c r="E86" s="17">
        <v>2</v>
      </c>
      <c r="F86" s="17">
        <v>2</v>
      </c>
      <c r="G86" s="16">
        <v>11</v>
      </c>
      <c r="H86" s="16">
        <v>7</v>
      </c>
      <c r="I86" s="16">
        <v>17</v>
      </c>
      <c r="J86" s="16">
        <v>11</v>
      </c>
      <c r="K86" s="16">
        <v>6</v>
      </c>
      <c r="L86" s="16">
        <v>17</v>
      </c>
      <c r="M86" s="16">
        <v>11</v>
      </c>
      <c r="N86" s="16">
        <v>7</v>
      </c>
      <c r="O86" s="16">
        <v>17</v>
      </c>
      <c r="P86" s="16">
        <f>SUM(M86:O86)</f>
        <v>35</v>
      </c>
      <c r="Q86" s="17">
        <v>11</v>
      </c>
      <c r="R86" s="17">
        <v>7</v>
      </c>
      <c r="S86" s="17">
        <v>17</v>
      </c>
      <c r="T86" s="17">
        <v>11</v>
      </c>
      <c r="U86" s="17">
        <v>6</v>
      </c>
      <c r="V86" s="17">
        <v>17</v>
      </c>
      <c r="W86" s="17">
        <v>11</v>
      </c>
      <c r="X86" s="17">
        <v>7</v>
      </c>
      <c r="Y86" s="17">
        <v>17</v>
      </c>
      <c r="Z86" s="65">
        <f t="shared" si="5"/>
        <v>35</v>
      </c>
      <c r="AA86" s="19">
        <v>0</v>
      </c>
      <c r="AB86" s="19">
        <v>85</v>
      </c>
      <c r="AC86" s="21">
        <v>0</v>
      </c>
      <c r="AD86" s="21">
        <v>0</v>
      </c>
      <c r="AE86" s="21">
        <v>0</v>
      </c>
      <c r="AF86" s="64">
        <v>1</v>
      </c>
      <c r="AG86" s="64">
        <v>23</v>
      </c>
      <c r="AH86" s="64">
        <v>2</v>
      </c>
      <c r="AI86" s="64">
        <v>1</v>
      </c>
    </row>
    <row r="87" spans="4:35" x14ac:dyDescent="0.2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T87" s="17">
        <v>2</v>
      </c>
      <c r="U87" s="17">
        <v>2</v>
      </c>
      <c r="V87" s="17">
        <v>0</v>
      </c>
      <c r="W87" s="17">
        <v>2</v>
      </c>
      <c r="X87" s="17">
        <v>2</v>
      </c>
      <c r="Y87" s="17">
        <v>0</v>
      </c>
      <c r="Z87" s="65">
        <f t="shared" si="5"/>
        <v>4</v>
      </c>
      <c r="AA87" s="19">
        <v>18</v>
      </c>
      <c r="AB87" s="19">
        <v>80</v>
      </c>
      <c r="AC87" s="21">
        <v>1</v>
      </c>
      <c r="AD87" s="21">
        <v>1</v>
      </c>
      <c r="AE87" s="21">
        <v>1</v>
      </c>
      <c r="AF87" s="64">
        <v>2</v>
      </c>
      <c r="AG87" s="64">
        <v>21</v>
      </c>
      <c r="AH87" s="64">
        <v>1</v>
      </c>
      <c r="AI87" s="64">
        <v>1</v>
      </c>
    </row>
    <row r="88" spans="4:35" x14ac:dyDescent="0.2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T88" s="17">
        <v>1</v>
      </c>
      <c r="U88" s="17">
        <v>5</v>
      </c>
      <c r="V88" s="17">
        <v>4</v>
      </c>
      <c r="W88" s="17">
        <v>1</v>
      </c>
      <c r="X88" s="17">
        <v>5</v>
      </c>
      <c r="Y88" s="17">
        <v>4</v>
      </c>
      <c r="Z88" s="65">
        <f t="shared" si="5"/>
        <v>10</v>
      </c>
      <c r="AA88" s="19">
        <v>0</v>
      </c>
      <c r="AB88" s="19">
        <v>60</v>
      </c>
      <c r="AC88" s="21">
        <v>1</v>
      </c>
      <c r="AD88" s="21">
        <v>1</v>
      </c>
      <c r="AE88" s="21">
        <v>1</v>
      </c>
      <c r="AF88" s="64">
        <v>2</v>
      </c>
      <c r="AG88" s="64">
        <v>21</v>
      </c>
      <c r="AH88" s="64">
        <v>1</v>
      </c>
      <c r="AI88" s="64">
        <v>1</v>
      </c>
    </row>
    <row r="89" spans="4:35" x14ac:dyDescent="0.2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J89" s="16">
        <v>2</v>
      </c>
      <c r="K89" s="16">
        <v>4</v>
      </c>
      <c r="L89" s="16">
        <v>8</v>
      </c>
      <c r="M89" s="16">
        <v>2</v>
      </c>
      <c r="N89" s="16">
        <v>4</v>
      </c>
      <c r="O89" s="16">
        <v>8</v>
      </c>
      <c r="P89" s="16">
        <f>SUM(M89:O89)</f>
        <v>14</v>
      </c>
      <c r="Q89" s="17">
        <v>0</v>
      </c>
      <c r="R89" s="17">
        <v>3</v>
      </c>
      <c r="S89" s="17">
        <v>9</v>
      </c>
      <c r="T89" s="17">
        <v>2</v>
      </c>
      <c r="U89" s="17">
        <v>4</v>
      </c>
      <c r="V89" s="17">
        <v>8</v>
      </c>
      <c r="W89" s="17">
        <v>2</v>
      </c>
      <c r="X89" s="17">
        <v>4</v>
      </c>
      <c r="Y89" s="17">
        <v>8</v>
      </c>
      <c r="Z89" s="65">
        <f t="shared" si="5"/>
        <v>14</v>
      </c>
      <c r="AA89" s="19">
        <v>0</v>
      </c>
      <c r="AB89" s="19">
        <v>35</v>
      </c>
      <c r="AC89" s="21">
        <v>0</v>
      </c>
      <c r="AD89" s="21">
        <v>0</v>
      </c>
      <c r="AE89" s="21">
        <v>0</v>
      </c>
      <c r="AF89" s="64">
        <v>1</v>
      </c>
      <c r="AG89" s="64">
        <v>21</v>
      </c>
      <c r="AH89" s="64">
        <v>1</v>
      </c>
      <c r="AI89" s="64">
        <v>1</v>
      </c>
    </row>
    <row r="90" spans="4:35" x14ac:dyDescent="0.2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T90" s="17">
        <v>0</v>
      </c>
      <c r="U90" s="17">
        <v>6</v>
      </c>
      <c r="V90" s="17">
        <v>1</v>
      </c>
      <c r="W90" s="17">
        <v>0</v>
      </c>
      <c r="X90" s="17">
        <v>6</v>
      </c>
      <c r="Y90" s="17">
        <v>1</v>
      </c>
      <c r="Z90" s="65">
        <f t="shared" si="5"/>
        <v>7</v>
      </c>
      <c r="AA90" s="19">
        <v>5</v>
      </c>
      <c r="AB90" s="19">
        <v>70</v>
      </c>
      <c r="AC90" s="21">
        <v>1</v>
      </c>
      <c r="AD90" s="21">
        <v>1</v>
      </c>
      <c r="AE90" s="21">
        <v>1</v>
      </c>
      <c r="AF90" s="64">
        <v>2</v>
      </c>
      <c r="AG90" s="64">
        <v>21</v>
      </c>
      <c r="AH90" s="64">
        <v>1</v>
      </c>
      <c r="AI90" s="64">
        <v>1</v>
      </c>
    </row>
    <row r="91" spans="4:35" x14ac:dyDescent="0.2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T91" s="17">
        <v>0</v>
      </c>
      <c r="U91" s="17">
        <v>1</v>
      </c>
      <c r="V91" s="17">
        <v>1</v>
      </c>
      <c r="W91" s="17">
        <v>0</v>
      </c>
      <c r="X91" s="17">
        <v>1</v>
      </c>
      <c r="Y91" s="17">
        <v>1</v>
      </c>
      <c r="Z91" s="65">
        <f t="shared" si="5"/>
        <v>2</v>
      </c>
      <c r="AA91" s="19">
        <v>0</v>
      </c>
      <c r="AB91" s="19">
        <v>5</v>
      </c>
      <c r="AC91" s="21">
        <v>1</v>
      </c>
      <c r="AD91" s="21">
        <v>1</v>
      </c>
      <c r="AE91" s="21">
        <v>1</v>
      </c>
      <c r="AF91" s="64">
        <v>2</v>
      </c>
      <c r="AG91" s="64">
        <v>19</v>
      </c>
      <c r="AH91" s="64">
        <v>1</v>
      </c>
      <c r="AI91" s="64">
        <v>1</v>
      </c>
    </row>
    <row r="92" spans="4:35" x14ac:dyDescent="0.2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J92" s="16">
        <v>1</v>
      </c>
      <c r="K92" s="16">
        <v>13</v>
      </c>
      <c r="L92" s="16">
        <v>20</v>
      </c>
      <c r="M92" s="16">
        <v>1</v>
      </c>
      <c r="N92" s="16">
        <v>16</v>
      </c>
      <c r="O92" s="16">
        <v>18</v>
      </c>
      <c r="P92" s="16">
        <f>SUM(M92:O92)</f>
        <v>35</v>
      </c>
      <c r="Q92" s="17">
        <v>1</v>
      </c>
      <c r="R92" s="17">
        <v>16</v>
      </c>
      <c r="S92" s="17">
        <v>18</v>
      </c>
      <c r="T92" s="17">
        <v>1</v>
      </c>
      <c r="U92" s="17">
        <v>13</v>
      </c>
      <c r="V92" s="17">
        <v>20</v>
      </c>
      <c r="W92" s="17">
        <v>1</v>
      </c>
      <c r="X92" s="17">
        <v>16</v>
      </c>
      <c r="Y92" s="17">
        <v>18</v>
      </c>
      <c r="Z92" s="65">
        <f t="shared" si="5"/>
        <v>35</v>
      </c>
      <c r="AA92" s="19">
        <v>0</v>
      </c>
      <c r="AB92" s="19">
        <v>65</v>
      </c>
      <c r="AC92" s="21">
        <v>0</v>
      </c>
      <c r="AD92" s="21">
        <v>0</v>
      </c>
      <c r="AE92" s="21">
        <v>0</v>
      </c>
      <c r="AF92" s="64">
        <v>1</v>
      </c>
      <c r="AG92" s="64">
        <v>20</v>
      </c>
      <c r="AH92" s="64">
        <v>1</v>
      </c>
      <c r="AI92" s="64">
        <v>1</v>
      </c>
    </row>
    <row r="93" spans="4:35" x14ac:dyDescent="0.2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T93" s="17">
        <v>0</v>
      </c>
      <c r="U93" s="17">
        <v>3</v>
      </c>
      <c r="V93" s="17">
        <v>0</v>
      </c>
      <c r="W93" s="17">
        <v>0</v>
      </c>
      <c r="X93" s="17">
        <v>3</v>
      </c>
      <c r="Y93" s="17">
        <v>0</v>
      </c>
      <c r="Z93" s="65">
        <f t="shared" si="5"/>
        <v>3</v>
      </c>
      <c r="AA93" s="19">
        <v>0</v>
      </c>
      <c r="AB93" s="19">
        <v>30</v>
      </c>
      <c r="AC93" s="21">
        <v>1</v>
      </c>
      <c r="AD93" s="21">
        <v>1</v>
      </c>
      <c r="AE93" s="21">
        <v>1</v>
      </c>
      <c r="AF93" s="64">
        <v>2</v>
      </c>
      <c r="AG93" s="64">
        <v>20</v>
      </c>
      <c r="AH93" s="64">
        <v>1</v>
      </c>
      <c r="AI93" s="64">
        <v>1</v>
      </c>
    </row>
    <row r="94" spans="4:35" x14ac:dyDescent="0.2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J94" s="16">
        <v>0</v>
      </c>
      <c r="K94" s="16">
        <v>2</v>
      </c>
      <c r="L94" s="16">
        <v>6</v>
      </c>
      <c r="M94" s="16">
        <v>0</v>
      </c>
      <c r="N94" s="16">
        <v>2</v>
      </c>
      <c r="O94" s="16">
        <v>6</v>
      </c>
      <c r="P94" s="16">
        <f t="shared" ref="P94:P100" si="6">SUM(M94:O94)</f>
        <v>8</v>
      </c>
      <c r="Q94" s="17">
        <v>0</v>
      </c>
      <c r="R94" s="17">
        <v>3</v>
      </c>
      <c r="S94" s="17">
        <v>6</v>
      </c>
      <c r="T94" s="17">
        <v>0</v>
      </c>
      <c r="U94" s="17">
        <v>2</v>
      </c>
      <c r="V94" s="17">
        <v>6</v>
      </c>
      <c r="W94" s="17">
        <v>0</v>
      </c>
      <c r="X94" s="17">
        <v>2</v>
      </c>
      <c r="Y94" s="17">
        <v>6</v>
      </c>
      <c r="Z94" s="65">
        <f t="shared" si="5"/>
        <v>8</v>
      </c>
      <c r="AA94" s="19">
        <v>0</v>
      </c>
      <c r="AB94" s="19">
        <v>40</v>
      </c>
      <c r="AC94" s="21">
        <v>1</v>
      </c>
      <c r="AD94" s="21">
        <v>1</v>
      </c>
      <c r="AE94" s="21">
        <v>1</v>
      </c>
      <c r="AF94" s="64">
        <v>1</v>
      </c>
      <c r="AG94" s="64">
        <v>20</v>
      </c>
      <c r="AH94" s="64">
        <v>1</v>
      </c>
      <c r="AI94" s="64">
        <v>1</v>
      </c>
    </row>
    <row r="95" spans="4:35" x14ac:dyDescent="0.2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J95" s="16">
        <v>7</v>
      </c>
      <c r="K95" s="16">
        <v>3</v>
      </c>
      <c r="L95" s="16">
        <v>56</v>
      </c>
      <c r="M95" s="16">
        <v>11</v>
      </c>
      <c r="N95" s="16">
        <v>8</v>
      </c>
      <c r="O95" s="16">
        <v>61</v>
      </c>
      <c r="P95" s="16">
        <f t="shared" si="6"/>
        <v>80</v>
      </c>
      <c r="Q95" s="17">
        <v>11</v>
      </c>
      <c r="R95" s="17">
        <v>8</v>
      </c>
      <c r="S95" s="17">
        <v>61</v>
      </c>
      <c r="T95" s="17">
        <v>7</v>
      </c>
      <c r="U95" s="17">
        <v>3</v>
      </c>
      <c r="V95" s="17">
        <v>56</v>
      </c>
      <c r="W95" s="17">
        <v>11</v>
      </c>
      <c r="X95" s="17">
        <v>8</v>
      </c>
      <c r="Y95" s="17">
        <v>61</v>
      </c>
      <c r="Z95" s="65">
        <f t="shared" si="5"/>
        <v>80</v>
      </c>
      <c r="AA95" s="19">
        <v>0</v>
      </c>
      <c r="AB95" s="19">
        <v>90</v>
      </c>
      <c r="AC95" s="21">
        <v>0</v>
      </c>
      <c r="AD95" s="21">
        <v>0</v>
      </c>
      <c r="AE95" s="21">
        <v>0</v>
      </c>
      <c r="AF95" s="64">
        <v>1</v>
      </c>
      <c r="AG95" s="64">
        <v>22</v>
      </c>
      <c r="AH95" s="64">
        <v>1</v>
      </c>
      <c r="AI95" s="64">
        <v>1</v>
      </c>
    </row>
    <row r="96" spans="4:35" x14ac:dyDescent="0.2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J96" s="16">
        <v>1</v>
      </c>
      <c r="K96" s="16">
        <v>1</v>
      </c>
      <c r="L96" s="16">
        <v>13</v>
      </c>
      <c r="M96" s="16">
        <v>1</v>
      </c>
      <c r="N96" s="16">
        <v>1</v>
      </c>
      <c r="O96" s="16">
        <v>13</v>
      </c>
      <c r="P96" s="16">
        <f t="shared" si="6"/>
        <v>15</v>
      </c>
      <c r="Q96" s="17">
        <v>1</v>
      </c>
      <c r="R96" s="17">
        <v>4</v>
      </c>
      <c r="S96" s="17">
        <v>11</v>
      </c>
      <c r="T96" s="17">
        <v>1</v>
      </c>
      <c r="U96" s="17">
        <v>1</v>
      </c>
      <c r="V96" s="17">
        <v>13</v>
      </c>
      <c r="W96" s="17">
        <v>1</v>
      </c>
      <c r="X96" s="17">
        <v>1</v>
      </c>
      <c r="Y96" s="17">
        <v>13</v>
      </c>
      <c r="Z96" s="65">
        <f t="shared" si="5"/>
        <v>15</v>
      </c>
      <c r="AA96" s="19">
        <v>0</v>
      </c>
      <c r="AB96" s="19">
        <v>100</v>
      </c>
      <c r="AC96" s="21">
        <v>0</v>
      </c>
      <c r="AD96" s="21">
        <v>0</v>
      </c>
      <c r="AE96" s="21">
        <v>0</v>
      </c>
      <c r="AF96" s="64">
        <v>1</v>
      </c>
      <c r="AG96" s="64">
        <v>20</v>
      </c>
      <c r="AH96" s="64">
        <v>1</v>
      </c>
      <c r="AI96" s="64">
        <v>1</v>
      </c>
    </row>
    <row r="97" spans="4:35" x14ac:dyDescent="0.2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J97" s="16">
        <v>28</v>
      </c>
      <c r="K97" s="16">
        <v>3</v>
      </c>
      <c r="L97" s="16">
        <v>0</v>
      </c>
      <c r="M97" s="16">
        <v>32</v>
      </c>
      <c r="N97" s="16">
        <v>3</v>
      </c>
      <c r="O97" s="16">
        <v>2</v>
      </c>
      <c r="P97" s="16">
        <f t="shared" si="6"/>
        <v>37</v>
      </c>
      <c r="Q97" s="17">
        <v>32</v>
      </c>
      <c r="R97" s="17">
        <v>3</v>
      </c>
      <c r="S97" s="17">
        <v>2</v>
      </c>
      <c r="T97" s="17">
        <v>28</v>
      </c>
      <c r="U97" s="17">
        <v>3</v>
      </c>
      <c r="V97" s="17">
        <v>0</v>
      </c>
      <c r="W97" s="17">
        <v>32</v>
      </c>
      <c r="X97" s="17">
        <v>3</v>
      </c>
      <c r="Y97" s="17">
        <v>2</v>
      </c>
      <c r="Z97" s="65">
        <f t="shared" si="5"/>
        <v>37</v>
      </c>
      <c r="AA97" s="19">
        <v>0</v>
      </c>
      <c r="AB97" s="19">
        <v>90</v>
      </c>
      <c r="AC97" s="21">
        <v>0</v>
      </c>
      <c r="AD97" s="21">
        <v>0</v>
      </c>
      <c r="AE97" s="21">
        <v>0</v>
      </c>
      <c r="AF97" s="64">
        <v>1</v>
      </c>
      <c r="AG97" s="64">
        <v>21</v>
      </c>
      <c r="AH97" s="64">
        <v>1</v>
      </c>
      <c r="AI97" s="64">
        <v>1</v>
      </c>
    </row>
    <row r="98" spans="4:35" x14ac:dyDescent="0.2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J98" s="16">
        <v>18</v>
      </c>
      <c r="K98" s="16">
        <v>11</v>
      </c>
      <c r="L98" s="16">
        <v>40</v>
      </c>
      <c r="M98" s="16">
        <v>18</v>
      </c>
      <c r="N98" s="16">
        <v>11</v>
      </c>
      <c r="O98" s="16">
        <v>40</v>
      </c>
      <c r="P98" s="16">
        <f t="shared" si="6"/>
        <v>69</v>
      </c>
      <c r="Q98" s="17">
        <v>20</v>
      </c>
      <c r="R98" s="17">
        <v>9</v>
      </c>
      <c r="S98" s="17">
        <v>44</v>
      </c>
      <c r="T98" s="17">
        <v>18</v>
      </c>
      <c r="U98" s="17">
        <v>11</v>
      </c>
      <c r="V98" s="17">
        <v>40</v>
      </c>
      <c r="W98" s="17">
        <v>18</v>
      </c>
      <c r="X98" s="17">
        <v>11</v>
      </c>
      <c r="Y98" s="17">
        <v>40</v>
      </c>
      <c r="Z98" s="65">
        <f t="shared" si="5"/>
        <v>69</v>
      </c>
      <c r="AA98" s="19">
        <v>10</v>
      </c>
      <c r="AB98" s="19">
        <v>95</v>
      </c>
      <c r="AC98" s="21">
        <v>0</v>
      </c>
      <c r="AD98" s="21">
        <v>0</v>
      </c>
      <c r="AE98" s="21">
        <v>0</v>
      </c>
      <c r="AF98" s="64">
        <v>1</v>
      </c>
      <c r="AG98" s="64">
        <v>22</v>
      </c>
      <c r="AH98" s="64">
        <v>1</v>
      </c>
      <c r="AI98" s="64">
        <v>1</v>
      </c>
    </row>
    <row r="99" spans="4:35" x14ac:dyDescent="0.2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J99" s="16">
        <v>2</v>
      </c>
      <c r="K99" s="16">
        <v>10</v>
      </c>
      <c r="L99" s="16">
        <v>2</v>
      </c>
      <c r="M99" s="16">
        <v>2</v>
      </c>
      <c r="N99" s="16">
        <v>10</v>
      </c>
      <c r="O99" s="16">
        <v>2</v>
      </c>
      <c r="P99" s="16">
        <f t="shared" si="6"/>
        <v>14</v>
      </c>
      <c r="Q99" s="17">
        <v>0</v>
      </c>
      <c r="R99" s="17">
        <v>12</v>
      </c>
      <c r="S99" s="17">
        <v>2</v>
      </c>
      <c r="T99" s="17">
        <v>2</v>
      </c>
      <c r="U99" s="17">
        <v>10</v>
      </c>
      <c r="V99" s="17">
        <v>2</v>
      </c>
      <c r="W99" s="17">
        <v>2</v>
      </c>
      <c r="X99" s="17">
        <v>10</v>
      </c>
      <c r="Y99" s="17">
        <v>2</v>
      </c>
      <c r="Z99" s="65">
        <f t="shared" si="5"/>
        <v>14</v>
      </c>
      <c r="AA99" s="19">
        <v>0</v>
      </c>
      <c r="AB99" s="19">
        <v>80</v>
      </c>
      <c r="AC99" s="21">
        <v>0</v>
      </c>
      <c r="AD99" s="21">
        <v>0</v>
      </c>
      <c r="AE99" s="21">
        <v>0</v>
      </c>
      <c r="AF99" s="64">
        <v>1</v>
      </c>
      <c r="AG99" s="64">
        <v>20</v>
      </c>
      <c r="AH99" s="64">
        <v>1</v>
      </c>
      <c r="AI99" s="64">
        <v>1</v>
      </c>
    </row>
    <row r="100" spans="4:35" x14ac:dyDescent="0.2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J100" s="16">
        <v>8</v>
      </c>
      <c r="K100" s="16">
        <v>1</v>
      </c>
      <c r="L100" s="16">
        <v>3</v>
      </c>
      <c r="M100" s="16">
        <v>10</v>
      </c>
      <c r="N100" s="16">
        <v>1</v>
      </c>
      <c r="O100" s="16">
        <v>4</v>
      </c>
      <c r="P100" s="16">
        <f t="shared" si="6"/>
        <v>15</v>
      </c>
      <c r="Q100" s="17">
        <v>10</v>
      </c>
      <c r="R100" s="17">
        <v>1</v>
      </c>
      <c r="S100" s="17">
        <v>4</v>
      </c>
      <c r="T100" s="17">
        <v>8</v>
      </c>
      <c r="U100" s="17">
        <v>1</v>
      </c>
      <c r="V100" s="17">
        <v>3</v>
      </c>
      <c r="W100" s="17">
        <v>10</v>
      </c>
      <c r="X100" s="17">
        <v>1</v>
      </c>
      <c r="Y100" s="17">
        <v>4</v>
      </c>
      <c r="Z100" s="65">
        <f t="shared" si="5"/>
        <v>15</v>
      </c>
      <c r="AA100" s="19">
        <v>0</v>
      </c>
      <c r="AB100" s="19">
        <v>50</v>
      </c>
      <c r="AC100" s="21">
        <v>0</v>
      </c>
      <c r="AD100" s="21">
        <v>0</v>
      </c>
      <c r="AE100" s="21">
        <v>0</v>
      </c>
      <c r="AF100" s="64">
        <v>1</v>
      </c>
      <c r="AG100" s="64">
        <v>21</v>
      </c>
      <c r="AH100" s="64">
        <v>1</v>
      </c>
      <c r="AI100" s="64">
        <v>1</v>
      </c>
    </row>
    <row r="101" spans="4:35" x14ac:dyDescent="0.2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T101" s="17">
        <v>0</v>
      </c>
      <c r="U101" s="17">
        <v>2</v>
      </c>
      <c r="V101" s="17">
        <v>0</v>
      </c>
      <c r="W101" s="17">
        <v>0</v>
      </c>
      <c r="X101" s="17">
        <v>2</v>
      </c>
      <c r="Y101" s="17">
        <v>0</v>
      </c>
      <c r="Z101" s="65">
        <f t="shared" si="5"/>
        <v>2</v>
      </c>
      <c r="AA101" s="19">
        <v>0</v>
      </c>
      <c r="AB101" s="19">
        <v>3</v>
      </c>
      <c r="AC101" s="21">
        <v>1</v>
      </c>
      <c r="AD101" s="21">
        <v>1</v>
      </c>
      <c r="AE101" s="21">
        <v>1</v>
      </c>
      <c r="AF101" s="64">
        <v>2</v>
      </c>
      <c r="AG101" s="64">
        <v>20</v>
      </c>
      <c r="AH101" s="64">
        <v>1</v>
      </c>
      <c r="AI101" s="64">
        <v>1</v>
      </c>
    </row>
    <row r="102" spans="4:35" x14ac:dyDescent="0.2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J102" s="16">
        <v>1</v>
      </c>
      <c r="K102" s="16">
        <v>0</v>
      </c>
      <c r="L102" s="16">
        <v>6</v>
      </c>
      <c r="M102" s="16">
        <v>4</v>
      </c>
      <c r="N102" s="16">
        <v>5</v>
      </c>
      <c r="O102" s="16">
        <v>5</v>
      </c>
      <c r="P102" s="16">
        <f>SUM(M102:O102)</f>
        <v>14</v>
      </c>
      <c r="Q102" s="17">
        <v>4</v>
      </c>
      <c r="R102" s="17">
        <v>5</v>
      </c>
      <c r="S102" s="17">
        <v>5</v>
      </c>
      <c r="T102" s="17">
        <v>1</v>
      </c>
      <c r="U102" s="17">
        <v>0</v>
      </c>
      <c r="V102" s="17">
        <v>6</v>
      </c>
      <c r="W102" s="17">
        <v>4</v>
      </c>
      <c r="X102" s="17">
        <v>5</v>
      </c>
      <c r="Y102" s="17">
        <v>5</v>
      </c>
      <c r="Z102" s="65">
        <f t="shared" si="5"/>
        <v>14</v>
      </c>
      <c r="AA102" s="19">
        <v>0</v>
      </c>
      <c r="AB102" s="19">
        <v>60</v>
      </c>
      <c r="AC102" s="21">
        <v>0</v>
      </c>
      <c r="AD102" s="21">
        <v>0</v>
      </c>
      <c r="AE102" s="21">
        <v>0</v>
      </c>
      <c r="AF102" s="64">
        <v>1</v>
      </c>
      <c r="AG102" s="64">
        <v>21</v>
      </c>
      <c r="AH102" s="64">
        <v>1</v>
      </c>
      <c r="AI102" s="64">
        <v>1</v>
      </c>
    </row>
    <row r="103" spans="4:35" x14ac:dyDescent="0.2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J103" s="16">
        <v>14</v>
      </c>
      <c r="K103" s="16">
        <v>7</v>
      </c>
      <c r="L103" s="16">
        <v>22</v>
      </c>
      <c r="M103" s="16">
        <v>17</v>
      </c>
      <c r="N103" s="16">
        <v>11</v>
      </c>
      <c r="O103" s="16">
        <v>27</v>
      </c>
      <c r="P103" s="16">
        <f>SUM(G103:I103)</f>
        <v>55</v>
      </c>
      <c r="Q103" s="17">
        <v>17</v>
      </c>
      <c r="R103" s="17">
        <v>11</v>
      </c>
      <c r="S103" s="17">
        <v>27</v>
      </c>
      <c r="T103" s="17">
        <v>14</v>
      </c>
      <c r="U103" s="17">
        <v>7</v>
      </c>
      <c r="V103" s="17">
        <v>22</v>
      </c>
      <c r="W103" s="17">
        <v>17</v>
      </c>
      <c r="X103" s="17">
        <v>11</v>
      </c>
      <c r="Y103" s="17">
        <v>27</v>
      </c>
      <c r="Z103" s="65">
        <f t="shared" si="5"/>
        <v>55</v>
      </c>
      <c r="AA103" s="19">
        <v>0</v>
      </c>
      <c r="AB103" s="19">
        <v>60</v>
      </c>
      <c r="AC103" s="21">
        <v>0</v>
      </c>
      <c r="AD103" s="21">
        <v>0</v>
      </c>
      <c r="AE103" s="21">
        <v>0</v>
      </c>
      <c r="AF103" s="64">
        <v>1</v>
      </c>
      <c r="AG103" s="64">
        <v>19</v>
      </c>
      <c r="AH103" s="64">
        <v>1</v>
      </c>
      <c r="AI103" s="64">
        <v>1</v>
      </c>
    </row>
    <row r="104" spans="4:35" x14ac:dyDescent="0.2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T104" s="17">
        <v>2</v>
      </c>
      <c r="U104" s="17">
        <v>3</v>
      </c>
      <c r="V104" s="17">
        <v>0</v>
      </c>
      <c r="W104" s="17">
        <v>2</v>
      </c>
      <c r="X104" s="17">
        <v>3</v>
      </c>
      <c r="Y104" s="17">
        <v>0</v>
      </c>
      <c r="Z104" s="65">
        <f t="shared" si="5"/>
        <v>5</v>
      </c>
      <c r="AA104" s="19">
        <v>20</v>
      </c>
      <c r="AB104" s="19">
        <v>60</v>
      </c>
      <c r="AC104" s="21">
        <v>1</v>
      </c>
      <c r="AD104" s="21">
        <v>1</v>
      </c>
      <c r="AE104" s="21">
        <v>1</v>
      </c>
      <c r="AF104" s="64">
        <v>2</v>
      </c>
      <c r="AG104" s="64">
        <v>22</v>
      </c>
      <c r="AH104" s="64">
        <v>1</v>
      </c>
      <c r="AI104" s="64">
        <v>1</v>
      </c>
    </row>
    <row r="105" spans="4:35" x14ac:dyDescent="0.2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J105" s="16">
        <v>19</v>
      </c>
      <c r="K105" s="16">
        <v>0</v>
      </c>
      <c r="L105" s="16">
        <v>9</v>
      </c>
      <c r="M105" s="16">
        <v>23</v>
      </c>
      <c r="N105" s="16">
        <v>2</v>
      </c>
      <c r="O105" s="16">
        <v>12</v>
      </c>
      <c r="P105" s="16">
        <f>SUM(M105:O105)</f>
        <v>37</v>
      </c>
      <c r="Q105" s="17">
        <v>23</v>
      </c>
      <c r="R105" s="17">
        <v>2</v>
      </c>
      <c r="S105" s="17">
        <v>12</v>
      </c>
      <c r="T105" s="17">
        <v>19</v>
      </c>
      <c r="U105" s="17">
        <v>0</v>
      </c>
      <c r="V105" s="17">
        <v>9</v>
      </c>
      <c r="W105" s="17">
        <v>23</v>
      </c>
      <c r="X105" s="17">
        <v>2</v>
      </c>
      <c r="Y105" s="17">
        <v>12</v>
      </c>
      <c r="Z105" s="65">
        <f t="shared" si="5"/>
        <v>37</v>
      </c>
      <c r="AA105" s="19">
        <v>0</v>
      </c>
      <c r="AB105" s="19">
        <v>100</v>
      </c>
      <c r="AC105" s="21">
        <v>0</v>
      </c>
      <c r="AD105" s="21">
        <v>0</v>
      </c>
      <c r="AE105" s="21">
        <v>0</v>
      </c>
      <c r="AF105" s="64">
        <v>1</v>
      </c>
      <c r="AG105" s="64">
        <v>19</v>
      </c>
      <c r="AH105" s="64">
        <v>1</v>
      </c>
      <c r="AI105" s="64">
        <v>1</v>
      </c>
    </row>
    <row r="106" spans="4:35" x14ac:dyDescent="0.2">
      <c r="D106" s="47">
        <v>837348</v>
      </c>
      <c r="E106" s="17">
        <v>2</v>
      </c>
      <c r="F106" s="17">
        <v>2</v>
      </c>
      <c r="G106" s="16">
        <v>11</v>
      </c>
      <c r="H106" s="16">
        <v>2</v>
      </c>
      <c r="I106" s="16">
        <v>17</v>
      </c>
      <c r="J106" s="16">
        <v>15</v>
      </c>
      <c r="K106" s="16">
        <v>2</v>
      </c>
      <c r="L106" s="16">
        <v>14</v>
      </c>
      <c r="M106" s="16">
        <v>11</v>
      </c>
      <c r="N106" s="16">
        <v>2</v>
      </c>
      <c r="O106" s="16">
        <v>17</v>
      </c>
      <c r="P106" s="16">
        <f>SUM(M106:O106)</f>
        <v>30</v>
      </c>
      <c r="Q106" s="17">
        <v>11</v>
      </c>
      <c r="R106" s="17">
        <v>2</v>
      </c>
      <c r="S106" s="17">
        <v>17</v>
      </c>
      <c r="T106" s="17">
        <v>15</v>
      </c>
      <c r="U106" s="17">
        <v>2</v>
      </c>
      <c r="V106" s="17">
        <v>14</v>
      </c>
      <c r="W106" s="17">
        <v>11</v>
      </c>
      <c r="X106" s="17">
        <v>2</v>
      </c>
      <c r="Y106" s="17">
        <v>17</v>
      </c>
      <c r="Z106" s="65">
        <f t="shared" si="5"/>
        <v>30</v>
      </c>
      <c r="AA106" s="19">
        <v>0</v>
      </c>
      <c r="AB106" s="19">
        <v>45</v>
      </c>
      <c r="AC106" s="21">
        <v>0</v>
      </c>
      <c r="AD106" s="21">
        <v>0</v>
      </c>
      <c r="AE106" s="21">
        <v>0</v>
      </c>
      <c r="AF106" s="64">
        <v>1</v>
      </c>
      <c r="AG106" s="64">
        <v>25</v>
      </c>
      <c r="AH106" s="64">
        <v>2</v>
      </c>
      <c r="AI106" s="64">
        <v>1</v>
      </c>
    </row>
    <row r="107" spans="4:35" x14ac:dyDescent="0.2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J107" s="16">
        <v>4</v>
      </c>
      <c r="K107" s="16">
        <v>11</v>
      </c>
      <c r="L107" s="16">
        <v>2</v>
      </c>
      <c r="M107" s="16">
        <v>4</v>
      </c>
      <c r="N107" s="16">
        <v>11</v>
      </c>
      <c r="O107" s="16">
        <v>2</v>
      </c>
      <c r="P107" s="16">
        <f>SUM(M107:O107)</f>
        <v>17</v>
      </c>
      <c r="Q107" s="17">
        <v>0</v>
      </c>
      <c r="R107" s="17">
        <v>10</v>
      </c>
      <c r="S107" s="17">
        <v>6</v>
      </c>
      <c r="T107" s="17">
        <v>4</v>
      </c>
      <c r="U107" s="17">
        <v>11</v>
      </c>
      <c r="V107" s="17">
        <v>2</v>
      </c>
      <c r="W107" s="17">
        <v>4</v>
      </c>
      <c r="X107" s="17">
        <v>11</v>
      </c>
      <c r="Y107" s="17">
        <v>2</v>
      </c>
      <c r="Z107" s="65">
        <f t="shared" si="5"/>
        <v>17</v>
      </c>
      <c r="AA107" s="19">
        <v>0</v>
      </c>
      <c r="AB107" s="19">
        <v>45</v>
      </c>
      <c r="AC107" s="21">
        <v>0</v>
      </c>
      <c r="AD107" s="21">
        <v>0</v>
      </c>
      <c r="AE107" s="21">
        <v>0</v>
      </c>
      <c r="AF107" s="64">
        <v>1</v>
      </c>
      <c r="AG107" s="64">
        <v>21</v>
      </c>
      <c r="AH107" s="64">
        <v>1</v>
      </c>
      <c r="AI107" s="64">
        <v>1</v>
      </c>
    </row>
    <row r="108" spans="4:35" x14ac:dyDescent="0.2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T108" s="17">
        <v>0</v>
      </c>
      <c r="U108" s="17">
        <v>4</v>
      </c>
      <c r="V108" s="17">
        <v>3</v>
      </c>
      <c r="W108" s="17">
        <v>0</v>
      </c>
      <c r="X108" s="17">
        <v>11</v>
      </c>
      <c r="Y108" s="17">
        <v>3</v>
      </c>
      <c r="Z108" s="17">
        <f t="shared" si="5"/>
        <v>14</v>
      </c>
      <c r="AA108" s="19">
        <v>0</v>
      </c>
      <c r="AB108" s="19">
        <v>40</v>
      </c>
      <c r="AC108" s="21">
        <v>1</v>
      </c>
      <c r="AD108" s="21">
        <v>1</v>
      </c>
      <c r="AE108" s="21">
        <v>1</v>
      </c>
      <c r="AF108" s="64">
        <v>1</v>
      </c>
      <c r="AG108" s="64">
        <v>21</v>
      </c>
      <c r="AH108" s="64">
        <v>2</v>
      </c>
      <c r="AI108" s="64">
        <v>1</v>
      </c>
    </row>
    <row r="109" spans="4:35" x14ac:dyDescent="0.2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T109" s="17">
        <v>2</v>
      </c>
      <c r="U109" s="17">
        <v>2</v>
      </c>
      <c r="V109" s="17">
        <v>2</v>
      </c>
      <c r="W109" s="17">
        <v>3</v>
      </c>
      <c r="X109" s="17">
        <v>4</v>
      </c>
      <c r="Y109" s="17">
        <v>5</v>
      </c>
      <c r="Z109" s="65">
        <f t="shared" ref="Z109:Z126" si="7">SUM(W109:Y109)</f>
        <v>12</v>
      </c>
      <c r="AA109" s="19">
        <v>5</v>
      </c>
      <c r="AB109" s="19">
        <v>20</v>
      </c>
      <c r="AC109" s="21">
        <v>1</v>
      </c>
      <c r="AD109" s="21">
        <v>1</v>
      </c>
      <c r="AE109" s="21">
        <v>1</v>
      </c>
      <c r="AF109" s="64">
        <v>2</v>
      </c>
      <c r="AG109" s="64">
        <v>22</v>
      </c>
      <c r="AH109" s="64">
        <v>2</v>
      </c>
      <c r="AI109" s="64">
        <v>1</v>
      </c>
    </row>
    <row r="110" spans="4:35" x14ac:dyDescent="0.2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T110" s="17">
        <v>0</v>
      </c>
      <c r="U110" s="17">
        <v>16</v>
      </c>
      <c r="V110" s="17">
        <v>4</v>
      </c>
      <c r="W110" s="17">
        <v>0</v>
      </c>
      <c r="X110" s="17">
        <v>16</v>
      </c>
      <c r="Y110" s="17">
        <v>4</v>
      </c>
      <c r="Z110" s="65">
        <f t="shared" si="7"/>
        <v>20</v>
      </c>
      <c r="AA110" s="19">
        <v>0</v>
      </c>
      <c r="AB110" s="19">
        <v>40</v>
      </c>
      <c r="AC110" s="21">
        <v>1</v>
      </c>
      <c r="AD110" s="21">
        <v>1</v>
      </c>
      <c r="AE110" s="21">
        <v>1</v>
      </c>
      <c r="AF110" s="64">
        <v>2</v>
      </c>
      <c r="AG110" s="64">
        <v>20</v>
      </c>
      <c r="AH110" s="64">
        <v>1</v>
      </c>
      <c r="AI110" s="64">
        <v>1</v>
      </c>
    </row>
    <row r="111" spans="4:35" x14ac:dyDescent="0.2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J111" s="16">
        <v>0</v>
      </c>
      <c r="K111" s="16">
        <v>31</v>
      </c>
      <c r="L111" s="16">
        <v>0</v>
      </c>
      <c r="M111" s="16">
        <v>0</v>
      </c>
      <c r="N111" s="16">
        <v>36</v>
      </c>
      <c r="O111" s="16">
        <v>0</v>
      </c>
      <c r="P111" s="16">
        <f t="shared" ref="P111:P118" si="8">SUM(M111:O111)</f>
        <v>36</v>
      </c>
      <c r="Q111" s="17">
        <v>0</v>
      </c>
      <c r="R111" s="17">
        <v>36</v>
      </c>
      <c r="S111" s="17">
        <v>0</v>
      </c>
      <c r="T111" s="17">
        <v>0</v>
      </c>
      <c r="U111" s="17">
        <v>31</v>
      </c>
      <c r="V111" s="17">
        <v>0</v>
      </c>
      <c r="W111" s="17">
        <v>0</v>
      </c>
      <c r="X111" s="17">
        <v>36</v>
      </c>
      <c r="Y111" s="17">
        <v>0</v>
      </c>
      <c r="Z111" s="65">
        <f t="shared" si="7"/>
        <v>36</v>
      </c>
      <c r="AA111" s="19">
        <v>0</v>
      </c>
      <c r="AB111" s="19">
        <v>75</v>
      </c>
      <c r="AC111" s="21">
        <v>0</v>
      </c>
      <c r="AD111" s="21">
        <v>0</v>
      </c>
      <c r="AE111" s="21">
        <v>0</v>
      </c>
      <c r="AF111" s="64">
        <v>1</v>
      </c>
      <c r="AG111" s="64">
        <v>20</v>
      </c>
      <c r="AH111" s="64">
        <v>1</v>
      </c>
      <c r="AI111" s="64">
        <v>1</v>
      </c>
    </row>
    <row r="112" spans="4:35" x14ac:dyDescent="0.2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J112" s="16">
        <v>7</v>
      </c>
      <c r="K112" s="16">
        <v>2</v>
      </c>
      <c r="L112" s="16">
        <v>6</v>
      </c>
      <c r="M112" s="16">
        <v>12</v>
      </c>
      <c r="N112" s="16">
        <v>5</v>
      </c>
      <c r="O112" s="16">
        <v>9</v>
      </c>
      <c r="P112" s="16">
        <f t="shared" si="8"/>
        <v>26</v>
      </c>
      <c r="Q112" s="17">
        <v>12</v>
      </c>
      <c r="R112" s="17">
        <v>5</v>
      </c>
      <c r="S112" s="17">
        <v>9</v>
      </c>
      <c r="T112" s="17">
        <v>7</v>
      </c>
      <c r="U112" s="17">
        <v>2</v>
      </c>
      <c r="V112" s="17">
        <v>6</v>
      </c>
      <c r="W112" s="17">
        <v>12</v>
      </c>
      <c r="X112" s="17">
        <v>5</v>
      </c>
      <c r="Y112" s="17">
        <v>9</v>
      </c>
      <c r="Z112" s="65">
        <f t="shared" si="7"/>
        <v>26</v>
      </c>
      <c r="AA112" s="19">
        <v>12</v>
      </c>
      <c r="AB112" s="19">
        <v>85</v>
      </c>
      <c r="AC112" s="21">
        <v>0</v>
      </c>
      <c r="AD112" s="21">
        <v>0</v>
      </c>
      <c r="AE112" s="21">
        <v>0</v>
      </c>
      <c r="AF112" s="64">
        <v>1</v>
      </c>
      <c r="AG112" s="64">
        <v>21</v>
      </c>
      <c r="AH112" s="64">
        <v>1</v>
      </c>
      <c r="AI112" s="64">
        <v>1</v>
      </c>
    </row>
    <row r="113" spans="4:35" x14ac:dyDescent="0.2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25</v>
      </c>
      <c r="J113" s="16">
        <v>20</v>
      </c>
      <c r="K113" s="16">
        <v>0</v>
      </c>
      <c r="L113" s="16">
        <v>20</v>
      </c>
      <c r="M113" s="16">
        <v>20</v>
      </c>
      <c r="N113" s="16">
        <v>0</v>
      </c>
      <c r="O113" s="16">
        <v>20</v>
      </c>
      <c r="P113" s="16">
        <f t="shared" si="8"/>
        <v>40</v>
      </c>
      <c r="Q113" s="17">
        <v>14</v>
      </c>
      <c r="R113" s="17">
        <v>6</v>
      </c>
      <c r="S113" s="17">
        <v>25</v>
      </c>
      <c r="T113" s="17">
        <v>20</v>
      </c>
      <c r="U113" s="17">
        <v>0</v>
      </c>
      <c r="V113" s="17">
        <v>20</v>
      </c>
      <c r="W113" s="17">
        <v>20</v>
      </c>
      <c r="X113" s="17">
        <v>0</v>
      </c>
      <c r="Y113" s="17">
        <v>20</v>
      </c>
      <c r="Z113" s="65">
        <f t="shared" si="7"/>
        <v>40</v>
      </c>
      <c r="AA113" s="19">
        <v>0</v>
      </c>
      <c r="AB113" s="19">
        <v>80</v>
      </c>
      <c r="AC113" s="21">
        <v>0</v>
      </c>
      <c r="AD113" s="21">
        <v>0</v>
      </c>
      <c r="AE113" s="21">
        <v>0</v>
      </c>
      <c r="AF113" s="64">
        <v>1</v>
      </c>
      <c r="AG113" s="64">
        <v>21</v>
      </c>
      <c r="AH113" s="64">
        <v>1</v>
      </c>
      <c r="AI113" s="64">
        <v>1</v>
      </c>
    </row>
    <row r="114" spans="4:35" x14ac:dyDescent="0.2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J114" s="16">
        <v>0</v>
      </c>
      <c r="K114" s="16">
        <v>20</v>
      </c>
      <c r="L114" s="16">
        <v>5</v>
      </c>
      <c r="M114" s="16">
        <v>0</v>
      </c>
      <c r="N114" s="16">
        <v>20</v>
      </c>
      <c r="O114" s="16">
        <v>5</v>
      </c>
      <c r="P114" s="16">
        <f t="shared" si="8"/>
        <v>25</v>
      </c>
      <c r="Q114" s="17">
        <v>1</v>
      </c>
      <c r="R114" s="17">
        <v>25</v>
      </c>
      <c r="S114" s="17">
        <v>8</v>
      </c>
      <c r="T114" s="17">
        <v>0</v>
      </c>
      <c r="U114" s="17">
        <v>20</v>
      </c>
      <c r="V114" s="17">
        <v>5</v>
      </c>
      <c r="W114" s="17">
        <v>0</v>
      </c>
      <c r="X114" s="17">
        <v>20</v>
      </c>
      <c r="Y114" s="17">
        <v>5</v>
      </c>
      <c r="Z114" s="65">
        <f t="shared" si="7"/>
        <v>25</v>
      </c>
      <c r="AA114" s="19">
        <v>0</v>
      </c>
      <c r="AB114" s="19">
        <v>70</v>
      </c>
      <c r="AC114" s="21">
        <v>0</v>
      </c>
      <c r="AD114" s="21">
        <v>0</v>
      </c>
      <c r="AE114" s="21">
        <v>0</v>
      </c>
      <c r="AF114" s="64">
        <v>1</v>
      </c>
      <c r="AG114" s="64">
        <v>19</v>
      </c>
      <c r="AH114" s="64">
        <v>1</v>
      </c>
      <c r="AI114" s="64">
        <v>1</v>
      </c>
    </row>
    <row r="115" spans="4:35" x14ac:dyDescent="0.2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J115" s="16">
        <v>2</v>
      </c>
      <c r="K115" s="16">
        <v>1</v>
      </c>
      <c r="L115" s="16">
        <v>8</v>
      </c>
      <c r="M115" s="16">
        <v>2</v>
      </c>
      <c r="N115" s="16">
        <v>2</v>
      </c>
      <c r="O115" s="16">
        <v>8</v>
      </c>
      <c r="P115" s="16">
        <f t="shared" si="8"/>
        <v>12</v>
      </c>
      <c r="Q115" s="17">
        <v>2</v>
      </c>
      <c r="R115" s="17">
        <v>2</v>
      </c>
      <c r="S115" s="17">
        <v>8</v>
      </c>
      <c r="T115" s="17">
        <v>2</v>
      </c>
      <c r="U115" s="17">
        <v>1</v>
      </c>
      <c r="V115" s="17">
        <v>8</v>
      </c>
      <c r="W115" s="17">
        <v>2</v>
      </c>
      <c r="X115" s="17">
        <v>2</v>
      </c>
      <c r="Y115" s="17">
        <v>8</v>
      </c>
      <c r="Z115" s="65">
        <f t="shared" si="7"/>
        <v>12</v>
      </c>
      <c r="AA115" s="19">
        <v>0</v>
      </c>
      <c r="AB115" s="19">
        <v>70</v>
      </c>
      <c r="AC115" s="21">
        <v>0</v>
      </c>
      <c r="AD115" s="21">
        <v>0</v>
      </c>
      <c r="AE115" s="21">
        <v>0</v>
      </c>
      <c r="AF115" s="64">
        <v>1</v>
      </c>
      <c r="AG115" s="64">
        <v>25</v>
      </c>
      <c r="AH115" s="64">
        <v>1</v>
      </c>
      <c r="AI115" s="64">
        <v>1</v>
      </c>
    </row>
    <row r="116" spans="4:35" x14ac:dyDescent="0.2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J116" s="16">
        <v>10</v>
      </c>
      <c r="K116" s="16">
        <v>0</v>
      </c>
      <c r="L116" s="16">
        <v>9</v>
      </c>
      <c r="M116" s="16">
        <v>10</v>
      </c>
      <c r="N116" s="16">
        <v>1</v>
      </c>
      <c r="O116" s="16">
        <v>10</v>
      </c>
      <c r="P116" s="16">
        <f t="shared" si="8"/>
        <v>21</v>
      </c>
      <c r="Q116" s="17">
        <v>10</v>
      </c>
      <c r="R116" s="17">
        <v>1</v>
      </c>
      <c r="S116" s="17">
        <v>10</v>
      </c>
      <c r="T116" s="17">
        <v>10</v>
      </c>
      <c r="U116" s="17">
        <v>0</v>
      </c>
      <c r="V116" s="17">
        <v>9</v>
      </c>
      <c r="W116" s="17">
        <v>10</v>
      </c>
      <c r="X116" s="17">
        <v>1</v>
      </c>
      <c r="Y116" s="17">
        <v>10</v>
      </c>
      <c r="Z116" s="65">
        <f t="shared" si="7"/>
        <v>21</v>
      </c>
      <c r="AA116" s="19">
        <v>40</v>
      </c>
      <c r="AB116" s="19">
        <v>80</v>
      </c>
      <c r="AC116" s="21">
        <v>0</v>
      </c>
      <c r="AD116" s="21">
        <v>0</v>
      </c>
      <c r="AE116" s="21">
        <v>0</v>
      </c>
      <c r="AF116" s="64">
        <v>1</v>
      </c>
      <c r="AG116" s="64">
        <v>22</v>
      </c>
      <c r="AH116" s="64">
        <v>1</v>
      </c>
      <c r="AI116" s="64">
        <v>1</v>
      </c>
    </row>
    <row r="117" spans="4:35" x14ac:dyDescent="0.2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J117" s="16">
        <v>19</v>
      </c>
      <c r="K117" s="16">
        <v>0</v>
      </c>
      <c r="L117" s="16">
        <v>23</v>
      </c>
      <c r="M117" s="16">
        <v>19</v>
      </c>
      <c r="N117" s="16">
        <v>0</v>
      </c>
      <c r="O117" s="16">
        <v>23</v>
      </c>
      <c r="P117" s="16">
        <f t="shared" si="8"/>
        <v>42</v>
      </c>
      <c r="Q117" s="17">
        <v>16</v>
      </c>
      <c r="R117" s="17">
        <v>4</v>
      </c>
      <c r="S117" s="17">
        <v>22</v>
      </c>
      <c r="T117" s="17">
        <v>19</v>
      </c>
      <c r="U117" s="17">
        <v>0</v>
      </c>
      <c r="V117" s="17">
        <v>23</v>
      </c>
      <c r="W117" s="17">
        <v>19</v>
      </c>
      <c r="X117" s="17">
        <v>0</v>
      </c>
      <c r="Y117" s="17">
        <v>23</v>
      </c>
      <c r="Z117" s="65">
        <f t="shared" si="7"/>
        <v>42</v>
      </c>
      <c r="AA117" s="19">
        <v>5</v>
      </c>
      <c r="AB117" s="19">
        <v>80</v>
      </c>
      <c r="AC117" s="21">
        <v>0</v>
      </c>
      <c r="AD117" s="21">
        <v>0</v>
      </c>
      <c r="AE117" s="21">
        <v>0</v>
      </c>
      <c r="AF117" s="64">
        <v>1</v>
      </c>
      <c r="AG117" s="64">
        <v>24</v>
      </c>
      <c r="AH117" s="64">
        <v>1</v>
      </c>
      <c r="AI117" s="64">
        <v>1</v>
      </c>
    </row>
    <row r="118" spans="4:35" x14ac:dyDescent="0.2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J118" s="16">
        <v>2</v>
      </c>
      <c r="K118" s="16">
        <v>1</v>
      </c>
      <c r="L118" s="16">
        <v>4</v>
      </c>
      <c r="M118" s="16">
        <v>2</v>
      </c>
      <c r="N118" s="16">
        <v>1</v>
      </c>
      <c r="O118" s="16">
        <v>4</v>
      </c>
      <c r="P118" s="16">
        <f t="shared" si="8"/>
        <v>7</v>
      </c>
      <c r="Q118" s="17">
        <v>1</v>
      </c>
      <c r="R118" s="17">
        <v>0</v>
      </c>
      <c r="S118" s="17">
        <v>5</v>
      </c>
      <c r="T118" s="17">
        <v>2</v>
      </c>
      <c r="U118" s="17">
        <v>1</v>
      </c>
      <c r="V118" s="17">
        <v>4</v>
      </c>
      <c r="W118" s="17">
        <v>2</v>
      </c>
      <c r="X118" s="17">
        <v>1</v>
      </c>
      <c r="Y118" s="17">
        <v>4</v>
      </c>
      <c r="Z118" s="65">
        <f t="shared" si="7"/>
        <v>7</v>
      </c>
      <c r="AA118" s="19">
        <v>0</v>
      </c>
      <c r="AB118" s="19">
        <v>70</v>
      </c>
      <c r="AC118" s="21">
        <v>0</v>
      </c>
      <c r="AD118" s="21">
        <v>0</v>
      </c>
      <c r="AE118" s="21">
        <v>0</v>
      </c>
      <c r="AF118" s="64">
        <v>1</v>
      </c>
      <c r="AG118" s="64">
        <v>21</v>
      </c>
      <c r="AH118" s="64">
        <v>1</v>
      </c>
      <c r="AI118" s="64">
        <v>1</v>
      </c>
    </row>
    <row r="119" spans="4:35" x14ac:dyDescent="0.2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T119" s="17">
        <v>3</v>
      </c>
      <c r="U119" s="17">
        <v>7</v>
      </c>
      <c r="V119" s="17">
        <v>2</v>
      </c>
      <c r="W119" s="17">
        <v>3</v>
      </c>
      <c r="X119" s="17">
        <v>7</v>
      </c>
      <c r="Y119" s="17">
        <v>2</v>
      </c>
      <c r="Z119" s="65">
        <f t="shared" si="7"/>
        <v>12</v>
      </c>
      <c r="AA119" s="19">
        <v>0</v>
      </c>
      <c r="AB119" s="19">
        <v>30</v>
      </c>
      <c r="AC119" s="21">
        <v>1</v>
      </c>
      <c r="AD119" s="21">
        <v>1</v>
      </c>
      <c r="AE119" s="21">
        <v>1</v>
      </c>
      <c r="AF119" s="64">
        <v>2</v>
      </c>
      <c r="AG119" s="64">
        <v>23</v>
      </c>
      <c r="AH119" s="64">
        <v>1</v>
      </c>
      <c r="AI119" s="64">
        <v>1</v>
      </c>
    </row>
    <row r="120" spans="4:35" x14ac:dyDescent="0.2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J120" s="16">
        <v>19</v>
      </c>
      <c r="K120" s="16">
        <v>20</v>
      </c>
      <c r="L120" s="16">
        <v>38</v>
      </c>
      <c r="M120" s="16">
        <v>20</v>
      </c>
      <c r="N120" s="16">
        <v>24</v>
      </c>
      <c r="O120" s="16">
        <v>42</v>
      </c>
      <c r="P120" s="16">
        <f>SUM(M120:O120)</f>
        <v>86</v>
      </c>
      <c r="Q120" s="17">
        <v>20</v>
      </c>
      <c r="R120" s="17">
        <v>24</v>
      </c>
      <c r="S120" s="17">
        <v>42</v>
      </c>
      <c r="T120" s="17">
        <v>19</v>
      </c>
      <c r="U120" s="17">
        <v>20</v>
      </c>
      <c r="V120" s="17">
        <v>38</v>
      </c>
      <c r="W120" s="17">
        <v>20</v>
      </c>
      <c r="X120" s="17">
        <v>24</v>
      </c>
      <c r="Y120" s="17">
        <v>42</v>
      </c>
      <c r="Z120" s="65">
        <f t="shared" si="7"/>
        <v>86</v>
      </c>
      <c r="AA120" s="19">
        <v>0</v>
      </c>
      <c r="AB120" s="19">
        <v>60</v>
      </c>
      <c r="AC120" s="21">
        <v>0</v>
      </c>
      <c r="AD120" s="21">
        <v>0</v>
      </c>
      <c r="AE120" s="21">
        <v>0</v>
      </c>
      <c r="AF120" s="64">
        <v>1</v>
      </c>
      <c r="AG120" s="64">
        <v>23</v>
      </c>
      <c r="AH120" s="64">
        <v>1</v>
      </c>
      <c r="AI120" s="64">
        <v>1</v>
      </c>
    </row>
    <row r="121" spans="4:35" x14ac:dyDescent="0.2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T121" s="17">
        <v>1</v>
      </c>
      <c r="U121" s="17">
        <v>3</v>
      </c>
      <c r="V121" s="17">
        <v>3</v>
      </c>
      <c r="W121" s="17">
        <v>1</v>
      </c>
      <c r="X121" s="17">
        <v>3</v>
      </c>
      <c r="Y121" s="17">
        <v>3</v>
      </c>
      <c r="Z121" s="65">
        <f t="shared" si="7"/>
        <v>7</v>
      </c>
      <c r="AA121" s="19">
        <v>0</v>
      </c>
      <c r="AB121" s="19">
        <v>35</v>
      </c>
      <c r="AC121" s="21">
        <v>1</v>
      </c>
      <c r="AD121" s="21">
        <v>1</v>
      </c>
      <c r="AE121" s="21">
        <v>1</v>
      </c>
      <c r="AF121" s="64">
        <v>2</v>
      </c>
      <c r="AG121" s="64">
        <v>19</v>
      </c>
      <c r="AH121" s="64">
        <v>1</v>
      </c>
      <c r="AI121" s="64">
        <v>1</v>
      </c>
    </row>
    <row r="122" spans="4:35" x14ac:dyDescent="0.2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5</v>
      </c>
      <c r="V122" s="17">
        <v>0</v>
      </c>
      <c r="W122" s="17">
        <v>0</v>
      </c>
      <c r="X122" s="17">
        <v>5</v>
      </c>
      <c r="Y122" s="17">
        <v>0</v>
      </c>
      <c r="Z122" s="65">
        <f t="shared" si="7"/>
        <v>5</v>
      </c>
      <c r="AA122" s="19">
        <v>0</v>
      </c>
      <c r="AB122" s="19">
        <v>60</v>
      </c>
      <c r="AC122" s="21">
        <v>1</v>
      </c>
      <c r="AD122" s="21">
        <v>1</v>
      </c>
      <c r="AE122" s="21">
        <v>1</v>
      </c>
      <c r="AF122" s="64">
        <v>2</v>
      </c>
      <c r="AG122" s="64">
        <v>19</v>
      </c>
      <c r="AH122" s="64">
        <v>1</v>
      </c>
      <c r="AI122" s="64">
        <v>1</v>
      </c>
    </row>
    <row r="123" spans="4:35" x14ac:dyDescent="0.2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T123" s="17">
        <v>0</v>
      </c>
      <c r="U123" s="17">
        <v>2</v>
      </c>
      <c r="V123" s="17">
        <v>0</v>
      </c>
      <c r="W123" s="17">
        <v>0</v>
      </c>
      <c r="X123" s="17">
        <v>2</v>
      </c>
      <c r="Y123" s="17">
        <v>0</v>
      </c>
      <c r="Z123" s="65">
        <f t="shared" si="7"/>
        <v>2</v>
      </c>
      <c r="AA123" s="19">
        <v>60</v>
      </c>
      <c r="AB123" s="19">
        <v>20</v>
      </c>
      <c r="AC123" s="21">
        <v>1</v>
      </c>
      <c r="AD123" s="21">
        <v>1</v>
      </c>
      <c r="AE123" s="21">
        <v>1</v>
      </c>
      <c r="AF123" s="64">
        <v>2</v>
      </c>
      <c r="AG123" s="64">
        <v>21</v>
      </c>
      <c r="AH123" s="64">
        <v>1</v>
      </c>
      <c r="AI123" s="64">
        <v>1</v>
      </c>
    </row>
    <row r="124" spans="4:35" x14ac:dyDescent="0.2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T124" s="17">
        <v>11</v>
      </c>
      <c r="U124" s="17">
        <v>3</v>
      </c>
      <c r="V124" s="17">
        <v>2</v>
      </c>
      <c r="W124" s="17">
        <v>11</v>
      </c>
      <c r="X124" s="17">
        <v>3</v>
      </c>
      <c r="Y124" s="17">
        <v>2</v>
      </c>
      <c r="Z124" s="65">
        <f t="shared" si="7"/>
        <v>16</v>
      </c>
      <c r="AA124" s="19">
        <v>0</v>
      </c>
      <c r="AB124" s="19">
        <v>35</v>
      </c>
      <c r="AC124" s="21">
        <v>1</v>
      </c>
      <c r="AD124" s="21">
        <v>1</v>
      </c>
      <c r="AE124" s="21">
        <v>1</v>
      </c>
      <c r="AF124" s="64">
        <v>2</v>
      </c>
      <c r="AG124" s="64">
        <v>22</v>
      </c>
      <c r="AH124" s="64">
        <v>1</v>
      </c>
      <c r="AI124" s="64">
        <v>1</v>
      </c>
    </row>
    <row r="125" spans="4:35" x14ac:dyDescent="0.2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T125" s="17">
        <v>3</v>
      </c>
      <c r="U125" s="17">
        <v>1</v>
      </c>
      <c r="V125" s="17">
        <v>1</v>
      </c>
      <c r="W125" s="17">
        <v>3</v>
      </c>
      <c r="X125" s="17">
        <v>1</v>
      </c>
      <c r="Y125" s="17">
        <v>1</v>
      </c>
      <c r="Z125" s="65">
        <f t="shared" si="7"/>
        <v>5</v>
      </c>
      <c r="AA125" s="19">
        <v>85</v>
      </c>
      <c r="AB125" s="19">
        <v>30</v>
      </c>
      <c r="AC125" s="21">
        <v>1</v>
      </c>
      <c r="AD125" s="21">
        <v>1</v>
      </c>
      <c r="AE125" s="21">
        <v>1</v>
      </c>
      <c r="AF125" s="64">
        <v>2</v>
      </c>
      <c r="AG125" s="64">
        <v>23</v>
      </c>
      <c r="AH125" s="64">
        <v>2</v>
      </c>
      <c r="AI125" s="64">
        <v>1</v>
      </c>
    </row>
    <row r="126" spans="4:35" x14ac:dyDescent="0.2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J126" s="16">
        <v>9</v>
      </c>
      <c r="K126" s="16">
        <v>18</v>
      </c>
      <c r="L126" s="16">
        <v>27</v>
      </c>
      <c r="M126" s="16">
        <v>5</v>
      </c>
      <c r="N126" s="16">
        <v>22</v>
      </c>
      <c r="O126" s="16">
        <v>32</v>
      </c>
      <c r="P126" s="16">
        <f>SUM(M126:O126)</f>
        <v>59</v>
      </c>
      <c r="Q126" s="17">
        <v>5</v>
      </c>
      <c r="R126" s="17">
        <v>22</v>
      </c>
      <c r="S126" s="17">
        <v>32</v>
      </c>
      <c r="T126" s="17">
        <v>9</v>
      </c>
      <c r="U126" s="17">
        <v>18</v>
      </c>
      <c r="V126" s="17">
        <v>27</v>
      </c>
      <c r="W126" s="17">
        <v>5</v>
      </c>
      <c r="X126" s="17">
        <v>22</v>
      </c>
      <c r="Y126" s="17">
        <v>32</v>
      </c>
      <c r="Z126" s="65">
        <f>SUM(W126:Y126)</f>
        <v>59</v>
      </c>
      <c r="AA126" s="19">
        <v>0</v>
      </c>
      <c r="AB126" s="19">
        <v>75</v>
      </c>
      <c r="AC126" s="21">
        <v>0</v>
      </c>
      <c r="AD126" s="21">
        <v>0</v>
      </c>
      <c r="AE126" s="21">
        <v>0</v>
      </c>
      <c r="AF126" s="64">
        <v>1</v>
      </c>
      <c r="AG126" s="64">
        <v>19</v>
      </c>
      <c r="AH126" s="64">
        <v>1</v>
      </c>
      <c r="AI126" s="64">
        <v>1</v>
      </c>
    </row>
  </sheetData>
  <autoFilter ref="B1:AI126" xr:uid="{DF4E8D6A-9CD5-D244-B46E-5625D98AC120}"/>
  <mergeCells count="2">
    <mergeCell ref="C2:C5"/>
    <mergeCell ref="C6:C21"/>
  </mergeCells>
  <pageMargins left="0.7" right="0.7" top="0.75" bottom="0.75" header="0.3" footer="0.3"/>
  <ignoredErrors>
    <ignoredError sqref="P8 P9:P14 P27:P30 P32 O70:O74 O76:O77 O79:O83 O85:O95 P85:P95 P79:P83 P76:P77 P70:P74 P41:P69 P75 P78 P84 P96:P126 P16:P17 P35:P38 Z6:Z12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AVERAGEIF('Meilan (before resolving)'!$E$2:$E$11, "Concentration", 'Meilan (before resolving)'!#REF!)</f>
        <v>#REF!</v>
      </c>
      <c r="C3" s="2" t="e">
        <f>AVERAGEIF('Meilan (before resolving)'!$E$2:$E$11, "Suppression", 'Meilan (before resolving)'!#REF!)</f>
        <v>#REF!</v>
      </c>
    </row>
    <row r="4" spans="1:3" x14ac:dyDescent="0.2">
      <c r="A4" s="1" t="s">
        <v>2</v>
      </c>
      <c r="B4" s="2" t="e">
        <f>AVERAGEIF('Meilan (before resolving)'!$E$2:$E$11, "Concentration", 'Meilan (before resolving)'!#REF!)</f>
        <v>#REF!</v>
      </c>
      <c r="C4" s="2" t="e">
        <f>AVERAGEIF('Meilan (before resolving)'!$E$2:$E$11, "Suppression", 'Meilan (before resolving)'!#REF!)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AVERAGEIF('Meilan (before resolving)'!$E$2:$E$11, "Concentration", 'Meilan (before resolving)'!#REF!)</f>
        <v>#REF!</v>
      </c>
      <c r="C8" s="2" t="e">
        <f>AVERAGEIF('Meilan (before resolving)'!$E$2:$E$11, "Suppression", 'Meilan (before resolving)'!#REF!)</f>
        <v>#REF!</v>
      </c>
    </row>
    <row r="9" spans="1:3" x14ac:dyDescent="0.2">
      <c r="A9" s="1" t="s">
        <v>2</v>
      </c>
      <c r="B9" s="2" t="e">
        <f>AVERAGEIF('Meilan (before resolving)'!$E$2:$E$11, "Concentration", 'Meilan (before resolving)'!#REF!)</f>
        <v>#REF!</v>
      </c>
      <c r="C9" s="2" t="e">
        <f>AVERAGEIF('Meilan (before resolving)'!$E$2:$E$11, "Suppression", 'Meilan (before resolving)'!#REF!)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Meilan (before resolving)</vt:lpstr>
      <vt:lpstr>Noelle (resolving)</vt:lpstr>
      <vt:lpstr>Noelle (before resolving)</vt:lpstr>
      <vt:lpstr>Meilan (resolving)</vt:lpstr>
      <vt:lpstr>Resolved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 Meilan</cp:lastModifiedBy>
  <dcterms:created xsi:type="dcterms:W3CDTF">2021-09-08T01:10:42Z</dcterms:created>
  <dcterms:modified xsi:type="dcterms:W3CDTF">2025-05-01T07:55:08Z</dcterms:modified>
</cp:coreProperties>
</file>