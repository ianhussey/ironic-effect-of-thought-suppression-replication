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D9B5440-6036-4AFE-A877-EC7600F4332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SbOIRqIro/1ySkoxTnBxK8Nx0/EPpXccuT5a/jVHY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113" i="1"/>
  <c r="AH113" i="1"/>
  <c r="AG113" i="1"/>
  <c r="AF113" i="1"/>
  <c r="AI112" i="1"/>
  <c r="AH112" i="1"/>
  <c r="AG112" i="1"/>
  <c r="AF112" i="1"/>
  <c r="AI111" i="1"/>
  <c r="AH111" i="1"/>
  <c r="AG111" i="1"/>
  <c r="AF111" i="1"/>
  <c r="AI110" i="1"/>
  <c r="AH110" i="1"/>
  <c r="AG110" i="1"/>
  <c r="AF110" i="1"/>
  <c r="AI109" i="1"/>
  <c r="AH109" i="1"/>
  <c r="AG109" i="1"/>
  <c r="AF109" i="1"/>
  <c r="AI108" i="1"/>
  <c r="AH108" i="1"/>
  <c r="AG108" i="1"/>
  <c r="AF108" i="1"/>
  <c r="AI107" i="1"/>
  <c r="AH107" i="1"/>
  <c r="AG107" i="1"/>
  <c r="AF107" i="1"/>
  <c r="AI106" i="1"/>
  <c r="AH106" i="1"/>
  <c r="AG106" i="1"/>
  <c r="AF106" i="1"/>
  <c r="AI105" i="1"/>
  <c r="AH105" i="1"/>
  <c r="AG105" i="1"/>
  <c r="AF105" i="1"/>
  <c r="AI104" i="1"/>
  <c r="AH104" i="1"/>
  <c r="AG104" i="1"/>
  <c r="AF104" i="1"/>
  <c r="AI103" i="1"/>
  <c r="AH103" i="1"/>
  <c r="AG103" i="1"/>
  <c r="AF103" i="1"/>
  <c r="AI102" i="1"/>
  <c r="AH102" i="1"/>
  <c r="AG102" i="1"/>
  <c r="AF102" i="1"/>
  <c r="AI101" i="1"/>
  <c r="AH101" i="1"/>
  <c r="AG101" i="1"/>
  <c r="AF101" i="1"/>
  <c r="AI100" i="1"/>
  <c r="AH100" i="1"/>
  <c r="AG100" i="1"/>
  <c r="AF100" i="1"/>
  <c r="AI99" i="1"/>
  <c r="AH99" i="1"/>
  <c r="AG99" i="1"/>
  <c r="AF99" i="1"/>
  <c r="AI98" i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<sst xmlns="http://schemas.openxmlformats.org/spreadsheetml/2006/main" count="526" uniqueCount="70">
  <si>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</si>
  <si>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</si>
  <si>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</si>
  <si>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</si>
  <si>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</si>
  <si>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</si>
  <si>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</si>
  <si>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</si>
  <si>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</si>
  <si>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</si>
  <si>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</si>
  <si>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</si>
  <si>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</si>
  <si>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</si>
  <si>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</si>
  <si>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</si>
  <si>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</si>
  <si>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</si>
  <si>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</si>
  <si>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</si>
  <si>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</si>
  <si>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</si>
  <si>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</si>
  <si>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</si>
  <si>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</si>
  <si>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</si>
  <si>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</si>
  <si>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</si>
  <si>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</si>
  <si>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</si>
  <si>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</si>
  <si>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</si>
  <si>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</si>
  <si>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</si>
  <si>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</si>
  <si>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</si>
  <si>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</si>
  <si>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</si>
  <si>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</si>
  <si>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</si>
  <si>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1</t>
  </si>
  <si>
    <t>target.high1: didn't say anything</t>
  </si>
  <si>
    <t>Difficulties in french</t>
  </si>
  <si>
    <t xml:space="preserve">target.high1 and 2: didn't say anything </t>
  </si>
  <si>
    <t>Difficulties in French</t>
  </si>
  <si>
    <t>2</t>
  </si>
  <si>
    <t>target.high2.coder2: didn't reply, but explains after that she didn't answer because she can not think to over things but a car</t>
  </si>
  <si>
    <t xml:space="preserve">target.high1.coder2 didn't answer because it was the word "house" and in french we say "maison" for "home" and "house" </t>
  </si>
  <si>
    <t>said several words for each item</t>
  </si>
  <si>
    <t>target.high2.coder2 said " I don't know"</t>
  </si>
  <si>
    <t>French is not his native language</t>
  </si>
  <si>
    <t>Age and gender are not specified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</si>
  <si>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</si>
  <si>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</si>
  <si>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</si>
  <si>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</si>
  <si>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</si>
  <si>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</si>
  <si>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target.high2.coder2: began her reply with"en" after she sights (note: in french, the word "child" is "en-fant")</t>
  </si>
  <si>
    <t>Better refer to original raw data for additional comments</t>
  </si>
  <si>
    <t>Quite a few were not fluent in french.</t>
  </si>
  <si>
    <t xml:space="preserve">Legal Jean baptiste </t>
  </si>
  <si>
    <t>France</t>
  </si>
  <si>
    <t>Researcher</t>
  </si>
  <si>
    <t>Lab</t>
  </si>
  <si>
    <t>Country</t>
  </si>
  <si>
    <t>1. Missing values replaced with NA</t>
  </si>
  <si>
    <t>NA</t>
  </si>
  <si>
    <t>2. Many missing MC data noted</t>
  </si>
  <si>
    <t>University of Paris, Nanterre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</si>
</sst>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/>
    <xf numFmtId="0" fontId="4" fillId="2" borderId="0" xfId="0" applyFont="1" applyFill="1"/>
    <xf numFmtId="0" fontId="5" fillId="3" borderId="2" xfId="0" applyFont="1" applyFill="1" applyBorder="1"/>
    <xf numFmtId="0" fontId="5" fillId="2" borderId="0" xfId="0" applyFont="1" applyFill="1"/>
    <xf numFmtId="0" fontId="5" fillId="3" borderId="1" xfId="0" applyFont="1" applyFill="1" applyBorder="1"/>
    <xf numFmtId="0" fontId="5" fillId="2" borderId="1" xfId="0" applyFont="1" applyFill="1" applyBorder="1"/>
    <xf numFmtId="0" fontId="5" fillId="3" borderId="3" xfId="0" applyFont="1" applyFill="1" applyBorder="1"/>
    <xf numFmtId="0" fontId="2" fillId="3" borderId="1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5" fillId="4" borderId="0" xfId="0" applyFont="1" applyFill="1"/>
    <xf numFmtId="0" fontId="2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7" fillId="0" borderId="0" xfId="0" applyFont="1"/>
    <xf numFmtId="0" fontId="4" fillId="0" borderId="0" xfId="0" applyFont="1"/>
    <xf numFmtId="2" fontId="5" fillId="0" borderId="0" xfId="0" applyNumberFormat="1" applyFont="1"/>
    <xf numFmtId="0" fontId="8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"/>
  <sheetViews>
    <sheetView tabSelected="1" workbookViewId="0">
      <selection activeCell="C2" sqref="C2:C113"/>
    </sheetView>
  </sheetViews>
  <sheetFormatPr defaultColWidth="22.81640625" defaultRowHeight="15" customHeight="1" x14ac:dyDescent="0.35"/>
  <cols>
    <col min="1" max="1" width="13.08984375" bestFit="1" customWidth="1"/>
    <col min="5" max="5" width="9.7265625" bestFit="1" customWidth="1"/>
  </cols>
  <sheetData>
    <row r="1" spans="1:42" s="22" customFormat="1" ht="14.25" customHeight="1" x14ac:dyDescent="0.35">
      <c r="A1" s="21" t="s">
        <v>0</v>
      </c>
      <c r="B1" s="20" t="s">
        <v>63</v>
      </c>
      <c r="C1" s="20" t="s">
        <v>64</v>
      </c>
      <c r="D1" s="20" t="s">
        <v>65</v>
      </c>
      <c r="E1" s="21" t="s">
        <v>1</v>
      </c>
      <c r="F1" s="21" t="s">
        <v>2</v>
      </c>
      <c r="G1" s="21" t="s">
        <v>3</v>
      </c>
      <c r="H1" s="21" t="s">
        <v>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23</v>
      </c>
      <c r="AB1" s="21" t="s">
        <v>24</v>
      </c>
      <c r="AC1" s="21" t="s">
        <v>25</v>
      </c>
      <c r="AD1" s="21" t="s">
        <v>26</v>
      </c>
      <c r="AE1" s="21" t="s">
        <v>27</v>
      </c>
      <c r="AF1" s="21" t="s">
        <v>28</v>
      </c>
      <c r="AG1" s="21" t="s">
        <v>29</v>
      </c>
      <c r="AH1" s="21" t="s">
        <v>30</v>
      </c>
      <c r="AI1" s="21" t="s">
        <v>31</v>
      </c>
      <c r="AJ1" s="21" t="s">
        <v>32</v>
      </c>
      <c r="AK1" s="21" t="s">
        <v>33</v>
      </c>
      <c r="AL1" s="21" t="s">
        <v>34</v>
      </c>
      <c r="AM1" s="21" t="s">
        <v>35</v>
      </c>
      <c r="AN1" s="21" t="s">
        <v>36</v>
      </c>
      <c r="AO1" s="21" t="s">
        <v>37</v>
      </c>
      <c r="AP1" s="21" t="s">
        <v>38</v>
      </c>
    </row>
    <row r="2" spans="1:42" ht="13.5" customHeight="1" x14ac:dyDescent="0.35">
      <c r="A2" s="16">
        <v>13639</v>
      </c>
      <c r="B2" s="18" t="s">
        <v>61</v>
      </c>
      <c r="C2" s="19" t="s">
        <v>69</v>
      </c>
      <c r="D2" s="19" t="s">
        <v>62</v>
      </c>
      <c r="E2" s="16">
        <v>1</v>
      </c>
      <c r="F2" s="16">
        <v>3</v>
      </c>
      <c r="G2" s="16" t="s">
        <v>40</v>
      </c>
      <c r="H2" s="16">
        <v>0</v>
      </c>
      <c r="I2" s="16">
        <v>0</v>
      </c>
      <c r="J2" s="16">
        <v>1</v>
      </c>
      <c r="K2" s="16">
        <v>0</v>
      </c>
      <c r="L2" s="16">
        <v>1</v>
      </c>
      <c r="M2" s="16">
        <v>1</v>
      </c>
      <c r="N2" s="16">
        <v>1</v>
      </c>
      <c r="O2" s="16">
        <v>1</v>
      </c>
      <c r="P2" s="16">
        <v>0</v>
      </c>
      <c r="Q2" s="17">
        <v>0</v>
      </c>
      <c r="R2" s="17">
        <v>1</v>
      </c>
      <c r="S2" s="17">
        <v>0</v>
      </c>
      <c r="T2" s="17">
        <v>1</v>
      </c>
      <c r="U2" s="17">
        <v>1</v>
      </c>
      <c r="V2" s="17">
        <v>1</v>
      </c>
      <c r="W2" s="17">
        <v>1</v>
      </c>
      <c r="X2" s="17">
        <v>0</v>
      </c>
      <c r="Y2" s="17">
        <v>0</v>
      </c>
      <c r="Z2" s="17">
        <v>1</v>
      </c>
      <c r="AA2" s="17">
        <v>0</v>
      </c>
      <c r="AB2" s="17">
        <v>1</v>
      </c>
      <c r="AC2" s="17">
        <v>1</v>
      </c>
      <c r="AD2" s="17">
        <v>1</v>
      </c>
      <c r="AE2" s="17">
        <v>1</v>
      </c>
      <c r="AF2" s="17">
        <f t="shared" ref="AF2:AF113" si="0">AVERAGE(X2:Y2)</f>
        <v>0</v>
      </c>
      <c r="AG2" s="17">
        <f t="shared" ref="AG2:AG113" si="1">AVERAGE(Z2:AA2)</f>
        <v>0.5</v>
      </c>
      <c r="AH2" s="17">
        <f t="shared" ref="AH2:AH113" si="2">AVERAGE(AB2:AC2)</f>
        <v>1</v>
      </c>
      <c r="AI2" s="17">
        <f t="shared" ref="AI2:AI113" si="3">AVERAGE(AD2:AE2)</f>
        <v>1</v>
      </c>
      <c r="AJ2" s="17">
        <v>0</v>
      </c>
      <c r="AK2" s="17">
        <v>0</v>
      </c>
      <c r="AL2" s="17">
        <v>0</v>
      </c>
      <c r="AM2" s="17">
        <v>2</v>
      </c>
      <c r="AN2" s="17">
        <v>18</v>
      </c>
      <c r="AO2" s="17">
        <v>1</v>
      </c>
      <c r="AP2" s="17">
        <v>1</v>
      </c>
    </row>
    <row r="3" spans="1:42" ht="14.25" customHeight="1" x14ac:dyDescent="0.35">
      <c r="A3" s="16">
        <v>13027</v>
      </c>
      <c r="B3" s="18" t="s">
        <v>61</v>
      </c>
      <c r="C3" s="19" t="s">
        <v>69</v>
      </c>
      <c r="D3" s="19" t="s">
        <v>62</v>
      </c>
      <c r="E3" s="17">
        <v>1</v>
      </c>
      <c r="F3" s="17">
        <v>1</v>
      </c>
      <c r="G3" s="17">
        <v>2</v>
      </c>
      <c r="H3" s="16">
        <v>0</v>
      </c>
      <c r="I3" s="16">
        <v>0</v>
      </c>
      <c r="J3" s="16">
        <v>0</v>
      </c>
      <c r="K3" s="16">
        <v>0</v>
      </c>
      <c r="L3" s="16">
        <v>1</v>
      </c>
      <c r="M3" s="16">
        <v>1</v>
      </c>
      <c r="N3" s="16">
        <v>1</v>
      </c>
      <c r="O3" s="16">
        <v>1</v>
      </c>
      <c r="P3" s="16">
        <v>0</v>
      </c>
      <c r="Q3" s="17">
        <v>0</v>
      </c>
      <c r="R3" s="17">
        <v>0</v>
      </c>
      <c r="S3" s="17">
        <v>0</v>
      </c>
      <c r="T3" s="17">
        <v>1</v>
      </c>
      <c r="U3" s="17">
        <v>1</v>
      </c>
      <c r="V3" s="17">
        <v>1</v>
      </c>
      <c r="W3" s="17">
        <v>1</v>
      </c>
      <c r="X3" s="16">
        <v>0</v>
      </c>
      <c r="Y3" s="16">
        <v>0</v>
      </c>
      <c r="Z3" s="16">
        <v>0</v>
      </c>
      <c r="AA3" s="16">
        <v>0</v>
      </c>
      <c r="AB3" s="16">
        <v>1</v>
      </c>
      <c r="AC3" s="16">
        <v>1</v>
      </c>
      <c r="AD3" s="16">
        <v>1</v>
      </c>
      <c r="AE3" s="16">
        <v>1</v>
      </c>
      <c r="AF3" s="17">
        <f t="shared" si="0"/>
        <v>0</v>
      </c>
      <c r="AG3" s="17">
        <f t="shared" si="1"/>
        <v>0</v>
      </c>
      <c r="AH3" s="17">
        <f t="shared" si="2"/>
        <v>1</v>
      </c>
      <c r="AI3" s="17">
        <f t="shared" si="3"/>
        <v>1</v>
      </c>
      <c r="AJ3" s="17">
        <v>0</v>
      </c>
      <c r="AK3" s="17">
        <v>0</v>
      </c>
      <c r="AL3" s="17">
        <v>0</v>
      </c>
      <c r="AM3" s="17">
        <v>2</v>
      </c>
      <c r="AN3" s="17">
        <v>19</v>
      </c>
      <c r="AO3" s="17">
        <v>1</v>
      </c>
      <c r="AP3" s="17">
        <v>1</v>
      </c>
    </row>
    <row r="4" spans="1:42" ht="14.25" customHeight="1" x14ac:dyDescent="0.35">
      <c r="A4" s="16">
        <v>13963</v>
      </c>
      <c r="B4" s="18" t="s">
        <v>61</v>
      </c>
      <c r="C4" s="19" t="s">
        <v>69</v>
      </c>
      <c r="D4" s="19" t="s">
        <v>62</v>
      </c>
      <c r="E4" s="17">
        <v>2</v>
      </c>
      <c r="F4" s="17">
        <v>2</v>
      </c>
      <c r="G4" s="17">
        <v>2</v>
      </c>
      <c r="H4" s="16">
        <v>0</v>
      </c>
      <c r="I4" s="16">
        <v>0</v>
      </c>
      <c r="J4" s="17" t="s">
        <v>67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7">
        <v>0</v>
      </c>
      <c r="R4" s="17" t="s">
        <v>67</v>
      </c>
      <c r="S4" s="17">
        <v>0</v>
      </c>
      <c r="T4" s="17">
        <v>1</v>
      </c>
      <c r="U4" s="17">
        <v>1</v>
      </c>
      <c r="V4" s="17">
        <v>1</v>
      </c>
      <c r="W4" s="17">
        <v>1</v>
      </c>
      <c r="X4" s="16">
        <v>0</v>
      </c>
      <c r="Y4" s="16">
        <v>0</v>
      </c>
      <c r="Z4" s="16" t="s">
        <v>67</v>
      </c>
      <c r="AA4" s="16">
        <v>0</v>
      </c>
      <c r="AB4" s="16">
        <v>1</v>
      </c>
      <c r="AC4" s="16">
        <v>1</v>
      </c>
      <c r="AD4" s="16">
        <v>1</v>
      </c>
      <c r="AE4" s="16">
        <v>1</v>
      </c>
      <c r="AF4" s="17">
        <f t="shared" si="0"/>
        <v>0</v>
      </c>
      <c r="AG4" s="17">
        <f t="shared" si="1"/>
        <v>0</v>
      </c>
      <c r="AH4" s="17">
        <f t="shared" si="2"/>
        <v>1</v>
      </c>
      <c r="AI4" s="17">
        <f t="shared" si="3"/>
        <v>1</v>
      </c>
      <c r="AJ4" s="17">
        <v>0</v>
      </c>
      <c r="AK4" s="17">
        <v>0</v>
      </c>
      <c r="AL4" s="17">
        <v>0</v>
      </c>
      <c r="AM4" s="17">
        <v>1</v>
      </c>
      <c r="AN4" s="17">
        <v>22</v>
      </c>
      <c r="AO4" s="17">
        <v>1</v>
      </c>
      <c r="AP4" s="17">
        <v>1</v>
      </c>
    </row>
    <row r="5" spans="1:42" ht="14.25" customHeight="1" x14ac:dyDescent="0.35">
      <c r="A5" s="16">
        <v>13861</v>
      </c>
      <c r="B5" s="18" t="s">
        <v>61</v>
      </c>
      <c r="C5" s="19" t="s">
        <v>69</v>
      </c>
      <c r="D5" s="19" t="s">
        <v>62</v>
      </c>
      <c r="E5" s="17">
        <v>2</v>
      </c>
      <c r="F5" s="17">
        <v>3</v>
      </c>
      <c r="G5" s="17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7">
        <v>0</v>
      </c>
      <c r="R5" s="17">
        <v>1</v>
      </c>
      <c r="S5" s="17">
        <v>0</v>
      </c>
      <c r="T5" s="17">
        <v>1</v>
      </c>
      <c r="U5" s="17">
        <v>1</v>
      </c>
      <c r="V5" s="17">
        <v>1</v>
      </c>
      <c r="W5" s="17">
        <v>1</v>
      </c>
      <c r="X5" s="16">
        <v>0</v>
      </c>
      <c r="Y5" s="16">
        <v>0</v>
      </c>
      <c r="Z5" s="16">
        <v>1</v>
      </c>
      <c r="AA5" s="16">
        <v>0</v>
      </c>
      <c r="AB5" s="16">
        <v>1</v>
      </c>
      <c r="AC5" s="16">
        <v>1</v>
      </c>
      <c r="AD5" s="16">
        <v>1</v>
      </c>
      <c r="AE5" s="16">
        <v>1</v>
      </c>
      <c r="AF5" s="17">
        <f t="shared" si="0"/>
        <v>0</v>
      </c>
      <c r="AG5" s="17">
        <f t="shared" si="1"/>
        <v>0.5</v>
      </c>
      <c r="AH5" s="17">
        <f t="shared" si="2"/>
        <v>1</v>
      </c>
      <c r="AI5" s="17">
        <f t="shared" si="3"/>
        <v>1</v>
      </c>
      <c r="AJ5" s="17">
        <v>0</v>
      </c>
      <c r="AK5" s="17">
        <v>0</v>
      </c>
      <c r="AL5" s="17">
        <v>0</v>
      </c>
      <c r="AM5" s="17">
        <v>1</v>
      </c>
      <c r="AN5" s="17">
        <v>18</v>
      </c>
      <c r="AO5" s="17">
        <v>1</v>
      </c>
      <c r="AP5" s="17">
        <v>1</v>
      </c>
    </row>
    <row r="6" spans="1:42" ht="14.25" customHeight="1" x14ac:dyDescent="0.35">
      <c r="A6" s="16">
        <v>13957</v>
      </c>
      <c r="B6" s="18" t="s">
        <v>61</v>
      </c>
      <c r="C6" s="19" t="s">
        <v>69</v>
      </c>
      <c r="D6" s="19" t="s">
        <v>62</v>
      </c>
      <c r="E6" s="17">
        <v>2</v>
      </c>
      <c r="F6" s="17">
        <v>1</v>
      </c>
      <c r="G6" s="17">
        <v>2</v>
      </c>
      <c r="H6" s="16">
        <v>0</v>
      </c>
      <c r="I6" s="16">
        <v>0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0</v>
      </c>
      <c r="Q6" s="17">
        <v>0</v>
      </c>
      <c r="R6" s="17">
        <v>1</v>
      </c>
      <c r="S6" s="17">
        <v>1</v>
      </c>
      <c r="T6" s="17">
        <v>1</v>
      </c>
      <c r="U6" s="17">
        <v>1</v>
      </c>
      <c r="V6" s="17">
        <v>1</v>
      </c>
      <c r="W6" s="17">
        <v>1</v>
      </c>
      <c r="X6" s="16">
        <v>0</v>
      </c>
      <c r="Y6" s="16">
        <v>0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7">
        <f t="shared" si="0"/>
        <v>0</v>
      </c>
      <c r="AG6" s="17">
        <f t="shared" si="1"/>
        <v>1</v>
      </c>
      <c r="AH6" s="17">
        <f t="shared" si="2"/>
        <v>1</v>
      </c>
      <c r="AI6" s="17">
        <f t="shared" si="3"/>
        <v>1</v>
      </c>
      <c r="AJ6" s="17">
        <v>0</v>
      </c>
      <c r="AK6" s="17">
        <v>0</v>
      </c>
      <c r="AL6" s="17">
        <v>0</v>
      </c>
      <c r="AM6" s="17">
        <v>1</v>
      </c>
      <c r="AN6" s="17">
        <v>21</v>
      </c>
      <c r="AO6" s="17">
        <v>1</v>
      </c>
      <c r="AP6" s="17">
        <v>1</v>
      </c>
    </row>
    <row r="7" spans="1:42" ht="14.25" customHeight="1" x14ac:dyDescent="0.35">
      <c r="A7" s="16">
        <v>14392</v>
      </c>
      <c r="B7" s="18" t="s">
        <v>61</v>
      </c>
      <c r="C7" s="19" t="s">
        <v>69</v>
      </c>
      <c r="D7" s="19" t="s">
        <v>62</v>
      </c>
      <c r="E7" s="17">
        <v>2</v>
      </c>
      <c r="F7" s="17">
        <v>1</v>
      </c>
      <c r="G7" s="17">
        <v>2</v>
      </c>
      <c r="H7" s="16">
        <v>0</v>
      </c>
      <c r="I7" s="16">
        <v>0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0</v>
      </c>
      <c r="Q7" s="17">
        <v>0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6">
        <v>0</v>
      </c>
      <c r="Y7" s="16">
        <v>0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7">
        <f t="shared" si="0"/>
        <v>0</v>
      </c>
      <c r="AG7" s="17">
        <f t="shared" si="1"/>
        <v>1</v>
      </c>
      <c r="AH7" s="17">
        <f t="shared" si="2"/>
        <v>1</v>
      </c>
      <c r="AI7" s="17">
        <f t="shared" si="3"/>
        <v>1</v>
      </c>
      <c r="AJ7" s="17">
        <v>0</v>
      </c>
      <c r="AK7" s="17">
        <v>0</v>
      </c>
      <c r="AL7" s="17">
        <v>0</v>
      </c>
      <c r="AM7" s="17">
        <v>2</v>
      </c>
      <c r="AN7" s="17">
        <v>20</v>
      </c>
      <c r="AO7" s="17">
        <v>1</v>
      </c>
      <c r="AP7" s="17">
        <v>1</v>
      </c>
    </row>
    <row r="8" spans="1:42" ht="14.25" customHeight="1" x14ac:dyDescent="0.35">
      <c r="A8" s="16">
        <v>13924</v>
      </c>
      <c r="B8" s="18" t="s">
        <v>61</v>
      </c>
      <c r="C8" s="19" t="s">
        <v>69</v>
      </c>
      <c r="D8" s="19" t="s">
        <v>62</v>
      </c>
      <c r="E8" s="17">
        <v>1</v>
      </c>
      <c r="F8" s="17">
        <v>1</v>
      </c>
      <c r="G8" s="17">
        <v>1</v>
      </c>
      <c r="H8" s="16">
        <v>0</v>
      </c>
      <c r="I8" s="16">
        <v>0</v>
      </c>
      <c r="J8" s="16">
        <v>0</v>
      </c>
      <c r="K8" s="16">
        <v>0</v>
      </c>
      <c r="L8" s="16">
        <v>1</v>
      </c>
      <c r="M8" s="16">
        <v>1</v>
      </c>
      <c r="N8" s="16">
        <v>1</v>
      </c>
      <c r="O8" s="16">
        <v>1</v>
      </c>
      <c r="P8" s="16">
        <v>0</v>
      </c>
      <c r="Q8" s="17">
        <v>0</v>
      </c>
      <c r="R8" s="17">
        <v>0</v>
      </c>
      <c r="S8" s="17">
        <v>0</v>
      </c>
      <c r="T8" s="17">
        <v>1</v>
      </c>
      <c r="U8" s="17">
        <v>1</v>
      </c>
      <c r="V8" s="17">
        <v>1</v>
      </c>
      <c r="W8" s="17">
        <v>1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1</v>
      </c>
      <c r="AD8" s="16">
        <v>1</v>
      </c>
      <c r="AE8" s="16">
        <v>1</v>
      </c>
      <c r="AF8" s="17">
        <f t="shared" si="0"/>
        <v>0</v>
      </c>
      <c r="AG8" s="17">
        <f t="shared" si="1"/>
        <v>0</v>
      </c>
      <c r="AH8" s="17">
        <f t="shared" si="2"/>
        <v>1</v>
      </c>
      <c r="AI8" s="17">
        <f t="shared" si="3"/>
        <v>1</v>
      </c>
      <c r="AJ8" s="17">
        <v>0</v>
      </c>
      <c r="AK8" s="17">
        <v>0</v>
      </c>
      <c r="AL8" s="17">
        <v>0</v>
      </c>
      <c r="AM8" s="17">
        <v>2</v>
      </c>
      <c r="AN8" s="17">
        <v>19</v>
      </c>
      <c r="AO8" s="17">
        <v>1</v>
      </c>
      <c r="AP8" s="17">
        <v>1</v>
      </c>
    </row>
    <row r="9" spans="1:42" ht="14.25" customHeight="1" x14ac:dyDescent="0.35">
      <c r="A9" s="16">
        <v>13393</v>
      </c>
      <c r="B9" s="18" t="s">
        <v>61</v>
      </c>
      <c r="C9" s="19" t="s">
        <v>69</v>
      </c>
      <c r="D9" s="19" t="s">
        <v>62</v>
      </c>
      <c r="E9" s="17">
        <v>2</v>
      </c>
      <c r="F9" s="17">
        <v>1</v>
      </c>
      <c r="G9" s="17">
        <v>2</v>
      </c>
      <c r="H9" s="16">
        <v>0</v>
      </c>
      <c r="I9" s="16">
        <v>1</v>
      </c>
      <c r="J9" s="16">
        <v>1</v>
      </c>
      <c r="K9" s="16">
        <v>0</v>
      </c>
      <c r="L9" s="16">
        <v>1</v>
      </c>
      <c r="M9" s="16">
        <v>1</v>
      </c>
      <c r="N9" s="16">
        <v>1</v>
      </c>
      <c r="O9" s="16">
        <v>1</v>
      </c>
      <c r="P9" s="16">
        <v>0</v>
      </c>
      <c r="Q9" s="17">
        <v>1</v>
      </c>
      <c r="R9" s="17">
        <v>1</v>
      </c>
      <c r="S9" s="17">
        <v>0</v>
      </c>
      <c r="T9" s="17">
        <v>1</v>
      </c>
      <c r="U9" s="17">
        <v>1</v>
      </c>
      <c r="V9" s="17">
        <v>1</v>
      </c>
      <c r="W9" s="17">
        <v>1</v>
      </c>
      <c r="X9" s="16">
        <v>0</v>
      </c>
      <c r="Y9" s="16">
        <v>1</v>
      </c>
      <c r="Z9" s="16">
        <v>1</v>
      </c>
      <c r="AA9" s="16">
        <v>0</v>
      </c>
      <c r="AB9" s="16">
        <v>1</v>
      </c>
      <c r="AC9" s="16">
        <v>1</v>
      </c>
      <c r="AD9" s="16">
        <v>1</v>
      </c>
      <c r="AE9" s="16">
        <v>1</v>
      </c>
      <c r="AF9" s="17">
        <f t="shared" si="0"/>
        <v>0.5</v>
      </c>
      <c r="AG9" s="17">
        <f t="shared" si="1"/>
        <v>0.5</v>
      </c>
      <c r="AH9" s="17">
        <f t="shared" si="2"/>
        <v>1</v>
      </c>
      <c r="AI9" s="17">
        <f t="shared" si="3"/>
        <v>1</v>
      </c>
      <c r="AJ9" s="17">
        <v>0</v>
      </c>
      <c r="AK9" s="17">
        <v>0</v>
      </c>
      <c r="AL9" s="17">
        <v>0</v>
      </c>
      <c r="AM9" s="17">
        <v>1</v>
      </c>
      <c r="AN9" s="17">
        <v>20</v>
      </c>
      <c r="AO9" s="17">
        <v>1</v>
      </c>
      <c r="AP9" s="17">
        <v>1</v>
      </c>
    </row>
    <row r="10" spans="1:42" ht="14.25" customHeight="1" x14ac:dyDescent="0.35">
      <c r="A10" s="16">
        <v>12661</v>
      </c>
      <c r="B10" s="18" t="s">
        <v>61</v>
      </c>
      <c r="C10" s="19" t="s">
        <v>69</v>
      </c>
      <c r="D10" s="19" t="s">
        <v>62</v>
      </c>
      <c r="E10" s="17">
        <v>2</v>
      </c>
      <c r="F10" s="17">
        <v>3</v>
      </c>
      <c r="G10" s="17">
        <v>1</v>
      </c>
      <c r="H10" s="16">
        <v>0</v>
      </c>
      <c r="I10" s="16">
        <v>0</v>
      </c>
      <c r="J10" s="16">
        <v>1</v>
      </c>
      <c r="K10" s="16">
        <v>0</v>
      </c>
      <c r="L10" s="16">
        <v>1</v>
      </c>
      <c r="M10" s="16">
        <v>1</v>
      </c>
      <c r="N10" s="16">
        <v>1</v>
      </c>
      <c r="O10" s="16">
        <v>1</v>
      </c>
      <c r="P10" s="16">
        <v>0</v>
      </c>
      <c r="Q10" s="17">
        <v>0</v>
      </c>
      <c r="R10" s="17">
        <v>1</v>
      </c>
      <c r="S10" s="17">
        <v>0</v>
      </c>
      <c r="T10" s="17">
        <v>1</v>
      </c>
      <c r="U10" s="17">
        <v>1</v>
      </c>
      <c r="V10" s="17">
        <v>1</v>
      </c>
      <c r="W10" s="17">
        <v>1</v>
      </c>
      <c r="X10" s="16">
        <v>0</v>
      </c>
      <c r="Y10" s="16">
        <v>0</v>
      </c>
      <c r="Z10" s="16">
        <v>1</v>
      </c>
      <c r="AA10" s="16">
        <v>0</v>
      </c>
      <c r="AB10" s="16">
        <v>1</v>
      </c>
      <c r="AC10" s="16">
        <v>1</v>
      </c>
      <c r="AD10" s="16">
        <v>1</v>
      </c>
      <c r="AE10" s="16">
        <v>1</v>
      </c>
      <c r="AF10" s="17">
        <f t="shared" si="0"/>
        <v>0</v>
      </c>
      <c r="AG10" s="17">
        <f t="shared" si="1"/>
        <v>0.5</v>
      </c>
      <c r="AH10" s="17">
        <f t="shared" si="2"/>
        <v>1</v>
      </c>
      <c r="AI10" s="17">
        <f t="shared" si="3"/>
        <v>1</v>
      </c>
      <c r="AJ10" s="17">
        <v>0</v>
      </c>
      <c r="AK10" s="17">
        <v>0</v>
      </c>
      <c r="AL10" s="17">
        <v>0</v>
      </c>
      <c r="AM10" s="17">
        <v>1</v>
      </c>
      <c r="AN10" s="17">
        <v>18</v>
      </c>
      <c r="AO10" s="17">
        <v>1</v>
      </c>
      <c r="AP10" s="17">
        <v>1</v>
      </c>
    </row>
    <row r="11" spans="1:42" ht="14.25" customHeight="1" x14ac:dyDescent="0.35">
      <c r="A11" s="16">
        <v>13771</v>
      </c>
      <c r="B11" s="18" t="s">
        <v>61</v>
      </c>
      <c r="C11" s="19" t="s">
        <v>69</v>
      </c>
      <c r="D11" s="19" t="s">
        <v>62</v>
      </c>
      <c r="E11" s="17">
        <v>2</v>
      </c>
      <c r="F11" s="17">
        <v>4</v>
      </c>
      <c r="G11" s="17">
        <v>2</v>
      </c>
      <c r="H11" s="16">
        <v>1</v>
      </c>
      <c r="I11" s="16">
        <v>0</v>
      </c>
      <c r="J11" s="17" t="s">
        <v>67</v>
      </c>
      <c r="K11" s="17" t="s">
        <v>67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7">
        <v>0</v>
      </c>
      <c r="R11" s="17" t="s">
        <v>67</v>
      </c>
      <c r="S11" s="17" t="s">
        <v>67</v>
      </c>
      <c r="T11" s="17">
        <v>1</v>
      </c>
      <c r="U11" s="17">
        <v>1</v>
      </c>
      <c r="V11" s="17">
        <v>1</v>
      </c>
      <c r="W11" s="17">
        <v>1</v>
      </c>
      <c r="X11" s="16">
        <v>1</v>
      </c>
      <c r="Y11" s="16">
        <v>0</v>
      </c>
      <c r="Z11" s="16" t="s">
        <v>67</v>
      </c>
      <c r="AA11" s="16" t="s">
        <v>67</v>
      </c>
      <c r="AB11" s="16">
        <v>1</v>
      </c>
      <c r="AC11" s="16">
        <v>1</v>
      </c>
      <c r="AD11" s="16">
        <v>1</v>
      </c>
      <c r="AE11" s="16">
        <v>1</v>
      </c>
      <c r="AF11" s="17">
        <f t="shared" si="0"/>
        <v>0.5</v>
      </c>
      <c r="AG11" s="17" t="s">
        <v>67</v>
      </c>
      <c r="AH11" s="17">
        <f t="shared" si="2"/>
        <v>1</v>
      </c>
      <c r="AI11" s="17">
        <f t="shared" si="3"/>
        <v>1</v>
      </c>
      <c r="AJ11" s="17">
        <v>0</v>
      </c>
      <c r="AK11" s="17">
        <v>0</v>
      </c>
      <c r="AL11" s="17">
        <v>0</v>
      </c>
      <c r="AM11" s="17">
        <v>1</v>
      </c>
      <c r="AN11" s="17">
        <v>19</v>
      </c>
      <c r="AO11" s="17">
        <v>1</v>
      </c>
      <c r="AP11" s="17">
        <v>1</v>
      </c>
    </row>
    <row r="12" spans="1:42" ht="14.25" customHeight="1" x14ac:dyDescent="0.35">
      <c r="A12" s="16">
        <v>12859</v>
      </c>
      <c r="B12" s="18" t="s">
        <v>61</v>
      </c>
      <c r="C12" s="19" t="s">
        <v>69</v>
      </c>
      <c r="D12" s="19" t="s">
        <v>62</v>
      </c>
      <c r="E12" s="17">
        <v>2</v>
      </c>
      <c r="F12" s="17">
        <v>2</v>
      </c>
      <c r="G12" s="17">
        <v>1</v>
      </c>
      <c r="H12" s="16">
        <v>1</v>
      </c>
      <c r="I12" s="16">
        <v>0</v>
      </c>
      <c r="J12" s="16">
        <v>1</v>
      </c>
      <c r="K12" s="16">
        <v>0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7">
        <v>0</v>
      </c>
      <c r="R12" s="17">
        <v>1</v>
      </c>
      <c r="S12" s="17">
        <v>0</v>
      </c>
      <c r="T12" s="17">
        <v>1</v>
      </c>
      <c r="U12" s="17">
        <v>1</v>
      </c>
      <c r="V12" s="17">
        <v>1</v>
      </c>
      <c r="W12" s="17">
        <v>1</v>
      </c>
      <c r="X12" s="16">
        <v>1</v>
      </c>
      <c r="Y12" s="16">
        <v>0</v>
      </c>
      <c r="Z12" s="16">
        <v>1</v>
      </c>
      <c r="AA12" s="16">
        <v>0</v>
      </c>
      <c r="AB12" s="16">
        <v>1</v>
      </c>
      <c r="AC12" s="16">
        <v>1</v>
      </c>
      <c r="AD12" s="16">
        <v>1</v>
      </c>
      <c r="AE12" s="16">
        <v>1</v>
      </c>
      <c r="AF12" s="17">
        <f t="shared" si="0"/>
        <v>0.5</v>
      </c>
      <c r="AG12" s="17">
        <f t="shared" si="1"/>
        <v>0.5</v>
      </c>
      <c r="AH12" s="17">
        <f t="shared" si="2"/>
        <v>1</v>
      </c>
      <c r="AI12" s="17">
        <f t="shared" si="3"/>
        <v>1</v>
      </c>
      <c r="AJ12" s="17">
        <v>0</v>
      </c>
      <c r="AK12" s="17">
        <v>0</v>
      </c>
      <c r="AL12" s="17">
        <v>0</v>
      </c>
      <c r="AM12" s="17">
        <v>1</v>
      </c>
      <c r="AN12" s="17">
        <v>19</v>
      </c>
      <c r="AO12" s="17">
        <v>1</v>
      </c>
      <c r="AP12" s="17">
        <v>1</v>
      </c>
    </row>
    <row r="13" spans="1:42" ht="14.25" customHeight="1" x14ac:dyDescent="0.35">
      <c r="A13" s="16">
        <v>14344</v>
      </c>
      <c r="B13" s="18" t="s">
        <v>61</v>
      </c>
      <c r="C13" s="19" t="s">
        <v>69</v>
      </c>
      <c r="D13" s="19" t="s">
        <v>62</v>
      </c>
      <c r="E13" s="17">
        <v>1</v>
      </c>
      <c r="F13" s="17">
        <v>4</v>
      </c>
      <c r="G13" s="17">
        <v>1</v>
      </c>
      <c r="H13" s="16">
        <v>0</v>
      </c>
      <c r="I13" s="16">
        <v>0</v>
      </c>
      <c r="J13" s="16">
        <v>0</v>
      </c>
      <c r="K13" s="16">
        <v>0</v>
      </c>
      <c r="L13" s="16">
        <v>1</v>
      </c>
      <c r="M13" s="16">
        <v>1</v>
      </c>
      <c r="N13" s="16">
        <v>1</v>
      </c>
      <c r="O13" s="16">
        <v>1</v>
      </c>
      <c r="P13" s="16">
        <v>0</v>
      </c>
      <c r="Q13" s="17">
        <v>0</v>
      </c>
      <c r="R13" s="17">
        <v>0</v>
      </c>
      <c r="S13" s="17">
        <v>0</v>
      </c>
      <c r="T13" s="17">
        <v>1</v>
      </c>
      <c r="U13" s="17">
        <v>1</v>
      </c>
      <c r="V13" s="17">
        <v>1</v>
      </c>
      <c r="W13" s="17">
        <v>1</v>
      </c>
      <c r="X13" s="16">
        <v>0</v>
      </c>
      <c r="Y13" s="16">
        <v>0</v>
      </c>
      <c r="Z13" s="16">
        <v>0</v>
      </c>
      <c r="AA13" s="16">
        <v>0</v>
      </c>
      <c r="AB13" s="16">
        <v>1</v>
      </c>
      <c r="AC13" s="16">
        <v>1</v>
      </c>
      <c r="AD13" s="16">
        <v>1</v>
      </c>
      <c r="AE13" s="16">
        <v>1</v>
      </c>
      <c r="AF13" s="17">
        <f t="shared" si="0"/>
        <v>0</v>
      </c>
      <c r="AG13" s="17">
        <f t="shared" si="1"/>
        <v>0</v>
      </c>
      <c r="AH13" s="17">
        <f t="shared" si="2"/>
        <v>1</v>
      </c>
      <c r="AI13" s="17">
        <f t="shared" si="3"/>
        <v>1</v>
      </c>
      <c r="AJ13" s="17">
        <v>0</v>
      </c>
      <c r="AK13" s="17">
        <v>0</v>
      </c>
      <c r="AL13" s="17">
        <v>0</v>
      </c>
      <c r="AM13" s="17">
        <v>2</v>
      </c>
      <c r="AN13" s="17">
        <v>21</v>
      </c>
      <c r="AO13" s="17">
        <v>1</v>
      </c>
      <c r="AP13" s="17">
        <v>1</v>
      </c>
    </row>
    <row r="14" spans="1:42" ht="14.25" customHeight="1" x14ac:dyDescent="0.35">
      <c r="A14" s="16">
        <v>13099</v>
      </c>
      <c r="B14" s="18" t="s">
        <v>61</v>
      </c>
      <c r="C14" s="19" t="s">
        <v>69</v>
      </c>
      <c r="D14" s="19" t="s">
        <v>62</v>
      </c>
      <c r="E14" s="17">
        <v>2</v>
      </c>
      <c r="F14" s="17">
        <v>2</v>
      </c>
      <c r="G14" s="17">
        <v>1</v>
      </c>
      <c r="H14" s="16">
        <v>0</v>
      </c>
      <c r="I14" s="16">
        <v>1</v>
      </c>
      <c r="J14" s="16">
        <v>1</v>
      </c>
      <c r="K14" s="16">
        <v>0</v>
      </c>
      <c r="L14" s="16">
        <v>1</v>
      </c>
      <c r="M14" s="16">
        <v>1</v>
      </c>
      <c r="N14" s="16">
        <v>1</v>
      </c>
      <c r="O14" s="16">
        <v>1</v>
      </c>
      <c r="P14" s="16">
        <v>0</v>
      </c>
      <c r="Q14" s="17">
        <v>1</v>
      </c>
      <c r="R14" s="17">
        <v>1</v>
      </c>
      <c r="S14" s="17">
        <v>0</v>
      </c>
      <c r="T14" s="17">
        <v>1</v>
      </c>
      <c r="U14" s="17">
        <v>1</v>
      </c>
      <c r="V14" s="17">
        <v>1</v>
      </c>
      <c r="W14" s="17">
        <v>1</v>
      </c>
      <c r="X14" s="16">
        <v>0</v>
      </c>
      <c r="Y14" s="16">
        <v>1</v>
      </c>
      <c r="Z14" s="16">
        <v>1</v>
      </c>
      <c r="AA14" s="16">
        <v>0</v>
      </c>
      <c r="AB14" s="16">
        <v>1</v>
      </c>
      <c r="AC14" s="16">
        <v>1</v>
      </c>
      <c r="AD14" s="16">
        <v>1</v>
      </c>
      <c r="AE14" s="16">
        <v>1</v>
      </c>
      <c r="AF14" s="17">
        <f t="shared" si="0"/>
        <v>0.5</v>
      </c>
      <c r="AG14" s="17">
        <f t="shared" si="1"/>
        <v>0.5</v>
      </c>
      <c r="AH14" s="17">
        <f t="shared" si="2"/>
        <v>1</v>
      </c>
      <c r="AI14" s="17">
        <f t="shared" si="3"/>
        <v>1</v>
      </c>
      <c r="AJ14" s="17">
        <v>0</v>
      </c>
      <c r="AK14" s="17">
        <v>0</v>
      </c>
      <c r="AL14" s="17">
        <v>0</v>
      </c>
      <c r="AM14" s="17">
        <v>1</v>
      </c>
      <c r="AN14" s="17">
        <v>19</v>
      </c>
      <c r="AO14" s="17">
        <v>1</v>
      </c>
      <c r="AP14" s="17">
        <v>1</v>
      </c>
    </row>
    <row r="15" spans="1:42" ht="14.25" customHeight="1" x14ac:dyDescent="0.35">
      <c r="A15" s="16">
        <v>13273</v>
      </c>
      <c r="B15" s="18" t="s">
        <v>61</v>
      </c>
      <c r="C15" s="19" t="s">
        <v>69</v>
      </c>
      <c r="D15" s="19" t="s">
        <v>62</v>
      </c>
      <c r="E15" s="17">
        <v>1</v>
      </c>
      <c r="F15" s="17">
        <v>4</v>
      </c>
      <c r="G15" s="17">
        <v>1</v>
      </c>
      <c r="H15" s="16">
        <v>0</v>
      </c>
      <c r="I15" s="16">
        <v>0</v>
      </c>
      <c r="J15" s="16">
        <v>1</v>
      </c>
      <c r="K15" s="16">
        <v>0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7">
        <v>0</v>
      </c>
      <c r="R15" s="17">
        <v>1</v>
      </c>
      <c r="S15" s="17">
        <v>0</v>
      </c>
      <c r="T15" s="17">
        <v>1</v>
      </c>
      <c r="U15" s="17">
        <v>1</v>
      </c>
      <c r="V15" s="17">
        <v>1</v>
      </c>
      <c r="W15" s="17">
        <v>1</v>
      </c>
      <c r="X15" s="16">
        <v>0</v>
      </c>
      <c r="Y15" s="16">
        <v>0</v>
      </c>
      <c r="Z15" s="16">
        <v>1</v>
      </c>
      <c r="AA15" s="16">
        <v>0</v>
      </c>
      <c r="AB15" s="16">
        <v>1</v>
      </c>
      <c r="AC15" s="16">
        <v>1</v>
      </c>
      <c r="AD15" s="16">
        <v>1</v>
      </c>
      <c r="AE15" s="16">
        <v>1</v>
      </c>
      <c r="AF15" s="17">
        <f t="shared" si="0"/>
        <v>0</v>
      </c>
      <c r="AG15" s="17">
        <f t="shared" si="1"/>
        <v>0.5</v>
      </c>
      <c r="AH15" s="17">
        <f t="shared" si="2"/>
        <v>1</v>
      </c>
      <c r="AI15" s="17">
        <f t="shared" si="3"/>
        <v>1</v>
      </c>
      <c r="AJ15" s="17">
        <v>0</v>
      </c>
      <c r="AK15" s="17">
        <v>0</v>
      </c>
      <c r="AL15" s="17">
        <v>0</v>
      </c>
      <c r="AM15" s="17">
        <v>2</v>
      </c>
      <c r="AN15" s="17">
        <v>18</v>
      </c>
      <c r="AO15" s="17">
        <v>1</v>
      </c>
      <c r="AP15" s="17">
        <v>1</v>
      </c>
    </row>
    <row r="16" spans="1:42" ht="14.25" customHeight="1" x14ac:dyDescent="0.35">
      <c r="A16" s="16">
        <v>13045</v>
      </c>
      <c r="B16" s="18" t="s">
        <v>61</v>
      </c>
      <c r="C16" s="19" t="s">
        <v>69</v>
      </c>
      <c r="D16" s="19" t="s">
        <v>62</v>
      </c>
      <c r="E16" s="17">
        <v>2</v>
      </c>
      <c r="F16" s="17">
        <v>3</v>
      </c>
      <c r="G16" s="17">
        <v>1</v>
      </c>
      <c r="H16" s="16">
        <v>0</v>
      </c>
      <c r="I16" s="16">
        <v>1</v>
      </c>
      <c r="J16" s="16">
        <v>0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0</v>
      </c>
      <c r="Q16" s="17">
        <v>1</v>
      </c>
      <c r="R16" s="17">
        <v>0</v>
      </c>
      <c r="S16" s="17">
        <v>1</v>
      </c>
      <c r="T16" s="17">
        <v>1</v>
      </c>
      <c r="U16" s="17">
        <v>1</v>
      </c>
      <c r="V16" s="17">
        <v>1</v>
      </c>
      <c r="W16" s="17">
        <v>1</v>
      </c>
      <c r="X16" s="16">
        <v>0</v>
      </c>
      <c r="Y16" s="16">
        <v>1</v>
      </c>
      <c r="Z16" s="16">
        <v>0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7">
        <f t="shared" si="0"/>
        <v>0.5</v>
      </c>
      <c r="AG16" s="17">
        <f t="shared" si="1"/>
        <v>0.5</v>
      </c>
      <c r="AH16" s="17">
        <f t="shared" si="2"/>
        <v>1</v>
      </c>
      <c r="AI16" s="17">
        <f t="shared" si="3"/>
        <v>1</v>
      </c>
      <c r="AJ16" s="17">
        <v>0</v>
      </c>
      <c r="AK16" s="17">
        <v>0</v>
      </c>
      <c r="AL16" s="17">
        <v>0</v>
      </c>
      <c r="AM16" s="17">
        <v>1</v>
      </c>
      <c r="AN16" s="17">
        <v>19</v>
      </c>
      <c r="AO16" s="17">
        <v>1</v>
      </c>
      <c r="AP16" s="17">
        <v>1</v>
      </c>
    </row>
    <row r="17" spans="1:42" ht="14.25" customHeight="1" x14ac:dyDescent="0.35">
      <c r="A17" s="16">
        <v>13243</v>
      </c>
      <c r="B17" s="18" t="s">
        <v>61</v>
      </c>
      <c r="C17" s="19" t="s">
        <v>69</v>
      </c>
      <c r="D17" s="19" t="s">
        <v>62</v>
      </c>
      <c r="E17" s="17">
        <v>2</v>
      </c>
      <c r="F17" s="17">
        <v>3</v>
      </c>
      <c r="G17" s="17">
        <v>1</v>
      </c>
      <c r="H17" s="16">
        <v>1</v>
      </c>
      <c r="I17" s="16">
        <v>0</v>
      </c>
      <c r="J17" s="16">
        <v>0</v>
      </c>
      <c r="K17" s="16">
        <v>0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7">
        <v>0</v>
      </c>
      <c r="R17" s="17">
        <v>0</v>
      </c>
      <c r="S17" s="17">
        <v>0</v>
      </c>
      <c r="T17" s="17">
        <v>1</v>
      </c>
      <c r="U17" s="17">
        <v>1</v>
      </c>
      <c r="V17" s="17">
        <v>1</v>
      </c>
      <c r="W17" s="17">
        <v>1</v>
      </c>
      <c r="X17" s="16">
        <v>1</v>
      </c>
      <c r="Y17" s="16">
        <v>0</v>
      </c>
      <c r="Z17" s="16">
        <v>0</v>
      </c>
      <c r="AA17" s="16">
        <v>0</v>
      </c>
      <c r="AB17" s="16">
        <v>1</v>
      </c>
      <c r="AC17" s="16">
        <v>1</v>
      </c>
      <c r="AD17" s="16">
        <v>1</v>
      </c>
      <c r="AE17" s="16">
        <v>1</v>
      </c>
      <c r="AF17" s="17">
        <f t="shared" si="0"/>
        <v>0.5</v>
      </c>
      <c r="AG17" s="17">
        <f t="shared" si="1"/>
        <v>0</v>
      </c>
      <c r="AH17" s="17">
        <f t="shared" si="2"/>
        <v>1</v>
      </c>
      <c r="AI17" s="17">
        <f t="shared" si="3"/>
        <v>1</v>
      </c>
      <c r="AJ17" s="17">
        <v>0</v>
      </c>
      <c r="AK17" s="17">
        <v>0</v>
      </c>
      <c r="AL17" s="17">
        <v>0</v>
      </c>
      <c r="AM17" s="17">
        <v>1</v>
      </c>
      <c r="AN17" s="17">
        <v>19</v>
      </c>
      <c r="AO17" s="17">
        <v>1</v>
      </c>
      <c r="AP17" s="17">
        <v>1</v>
      </c>
    </row>
    <row r="18" spans="1:42" ht="14.25" customHeight="1" x14ac:dyDescent="0.35">
      <c r="A18" s="16">
        <v>14008</v>
      </c>
      <c r="B18" s="18" t="s">
        <v>61</v>
      </c>
      <c r="C18" s="19" t="s">
        <v>69</v>
      </c>
      <c r="D18" s="19" t="s">
        <v>62</v>
      </c>
      <c r="E18" s="17">
        <v>2</v>
      </c>
      <c r="F18" s="17">
        <v>1</v>
      </c>
      <c r="G18" s="17">
        <v>2</v>
      </c>
      <c r="H18" s="16">
        <v>0</v>
      </c>
      <c r="I18" s="16">
        <v>1</v>
      </c>
      <c r="J18" s="16">
        <v>0</v>
      </c>
      <c r="K18" s="16">
        <v>0</v>
      </c>
      <c r="L18" s="16">
        <v>1</v>
      </c>
      <c r="M18" s="16">
        <v>1</v>
      </c>
      <c r="N18" s="16">
        <v>1</v>
      </c>
      <c r="O18" s="16">
        <v>1</v>
      </c>
      <c r="P18" s="16">
        <v>0</v>
      </c>
      <c r="Q18" s="17">
        <v>1</v>
      </c>
      <c r="R18" s="17">
        <v>0</v>
      </c>
      <c r="S18" s="17">
        <v>0</v>
      </c>
      <c r="T18" s="17">
        <v>1</v>
      </c>
      <c r="U18" s="17">
        <v>1</v>
      </c>
      <c r="V18" s="17">
        <v>1</v>
      </c>
      <c r="W18" s="17">
        <v>1</v>
      </c>
      <c r="X18" s="16">
        <v>0</v>
      </c>
      <c r="Y18" s="16">
        <v>1</v>
      </c>
      <c r="Z18" s="16">
        <v>0</v>
      </c>
      <c r="AA18" s="16">
        <v>0</v>
      </c>
      <c r="AB18" s="16">
        <v>1</v>
      </c>
      <c r="AC18" s="16">
        <v>1</v>
      </c>
      <c r="AD18" s="16">
        <v>1</v>
      </c>
      <c r="AE18" s="16">
        <v>1</v>
      </c>
      <c r="AF18" s="17">
        <f t="shared" si="0"/>
        <v>0.5</v>
      </c>
      <c r="AG18" s="17">
        <f t="shared" si="1"/>
        <v>0</v>
      </c>
      <c r="AH18" s="17">
        <f t="shared" si="2"/>
        <v>1</v>
      </c>
      <c r="AI18" s="17">
        <f t="shared" si="3"/>
        <v>1</v>
      </c>
      <c r="AJ18" s="17">
        <v>0</v>
      </c>
      <c r="AK18" s="17">
        <v>0</v>
      </c>
      <c r="AL18" s="17">
        <v>0</v>
      </c>
      <c r="AM18" s="17">
        <v>1</v>
      </c>
      <c r="AN18" s="17">
        <v>18</v>
      </c>
      <c r="AO18" s="17">
        <v>1</v>
      </c>
      <c r="AP18" s="17">
        <v>1</v>
      </c>
    </row>
    <row r="19" spans="1:42" ht="13.5" customHeight="1" x14ac:dyDescent="0.35">
      <c r="A19" s="16">
        <v>13282</v>
      </c>
      <c r="B19" s="18" t="s">
        <v>61</v>
      </c>
      <c r="C19" s="19" t="s">
        <v>69</v>
      </c>
      <c r="D19" s="19" t="s">
        <v>62</v>
      </c>
      <c r="E19" s="17">
        <v>1</v>
      </c>
      <c r="F19" s="17">
        <v>4</v>
      </c>
      <c r="G19" s="17">
        <v>1</v>
      </c>
      <c r="H19" s="16">
        <v>0</v>
      </c>
      <c r="I19" s="16">
        <v>0</v>
      </c>
      <c r="J19" s="16">
        <v>0</v>
      </c>
      <c r="K19" s="16">
        <v>0</v>
      </c>
      <c r="L19" s="16">
        <v>1</v>
      </c>
      <c r="M19" s="16">
        <v>1</v>
      </c>
      <c r="N19" s="16">
        <v>1</v>
      </c>
      <c r="O19" s="16">
        <v>1</v>
      </c>
      <c r="P19" s="16">
        <v>0</v>
      </c>
      <c r="Q19" s="17">
        <v>0</v>
      </c>
      <c r="R19" s="17">
        <v>0</v>
      </c>
      <c r="S19" s="17">
        <v>0</v>
      </c>
      <c r="T19" s="17">
        <v>1</v>
      </c>
      <c r="U19" s="17">
        <v>1</v>
      </c>
      <c r="V19" s="17">
        <v>1</v>
      </c>
      <c r="W19" s="17">
        <v>1</v>
      </c>
      <c r="X19" s="16">
        <v>0</v>
      </c>
      <c r="Y19" s="16">
        <v>0</v>
      </c>
      <c r="Z19" s="16">
        <v>0</v>
      </c>
      <c r="AA19" s="16">
        <v>0</v>
      </c>
      <c r="AB19" s="16">
        <v>1</v>
      </c>
      <c r="AC19" s="16">
        <v>1</v>
      </c>
      <c r="AD19" s="16">
        <v>1</v>
      </c>
      <c r="AE19" s="16">
        <v>1</v>
      </c>
      <c r="AF19" s="17">
        <f t="shared" si="0"/>
        <v>0</v>
      </c>
      <c r="AG19" s="17">
        <f t="shared" si="1"/>
        <v>0</v>
      </c>
      <c r="AH19" s="17">
        <f t="shared" si="2"/>
        <v>1</v>
      </c>
      <c r="AI19" s="17">
        <f t="shared" si="3"/>
        <v>1</v>
      </c>
      <c r="AJ19" s="17">
        <v>0</v>
      </c>
      <c r="AK19" s="17">
        <v>0</v>
      </c>
      <c r="AL19" s="17">
        <v>0</v>
      </c>
      <c r="AM19" s="17">
        <v>2</v>
      </c>
      <c r="AN19" s="17">
        <v>19</v>
      </c>
      <c r="AO19" s="17">
        <v>1</v>
      </c>
      <c r="AP19" s="17">
        <v>1</v>
      </c>
    </row>
    <row r="20" spans="1:42" ht="14.25" customHeight="1" x14ac:dyDescent="0.35">
      <c r="A20" s="16">
        <v>14044</v>
      </c>
      <c r="B20" s="18" t="s">
        <v>61</v>
      </c>
      <c r="C20" s="19" t="s">
        <v>69</v>
      </c>
      <c r="D20" s="19" t="s">
        <v>62</v>
      </c>
      <c r="E20" s="17">
        <v>1</v>
      </c>
      <c r="F20" s="17">
        <v>4</v>
      </c>
      <c r="G20" s="17">
        <v>2</v>
      </c>
      <c r="H20" s="16">
        <v>0</v>
      </c>
      <c r="I20" s="16">
        <v>0</v>
      </c>
      <c r="J20" s="16">
        <v>0</v>
      </c>
      <c r="K20" s="16">
        <v>0</v>
      </c>
      <c r="L20" s="16">
        <v>1</v>
      </c>
      <c r="M20" s="16">
        <v>1</v>
      </c>
      <c r="N20" s="16">
        <v>1</v>
      </c>
      <c r="O20" s="16">
        <v>1</v>
      </c>
      <c r="P20" s="16">
        <v>0</v>
      </c>
      <c r="Q20" s="17">
        <v>0</v>
      </c>
      <c r="R20" s="17">
        <v>0</v>
      </c>
      <c r="S20" s="17">
        <v>0</v>
      </c>
      <c r="T20" s="17">
        <v>1</v>
      </c>
      <c r="U20" s="17">
        <v>1</v>
      </c>
      <c r="V20" s="17">
        <v>1</v>
      </c>
      <c r="W20" s="17">
        <v>1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1</v>
      </c>
      <c r="AE20" s="16">
        <v>1</v>
      </c>
      <c r="AF20" s="17">
        <f t="shared" si="0"/>
        <v>0</v>
      </c>
      <c r="AG20" s="17">
        <f t="shared" si="1"/>
        <v>0</v>
      </c>
      <c r="AH20" s="17">
        <f t="shared" si="2"/>
        <v>1</v>
      </c>
      <c r="AI20" s="17">
        <f t="shared" si="3"/>
        <v>1</v>
      </c>
      <c r="AJ20" s="17">
        <v>0</v>
      </c>
      <c r="AK20" s="17">
        <v>0</v>
      </c>
      <c r="AL20" s="17">
        <v>0</v>
      </c>
      <c r="AM20" s="17">
        <v>2</v>
      </c>
      <c r="AN20" s="17">
        <v>18</v>
      </c>
      <c r="AO20" s="17">
        <v>1</v>
      </c>
      <c r="AP20" s="17">
        <v>1</v>
      </c>
    </row>
    <row r="21" spans="1:42" ht="14.25" customHeight="1" x14ac:dyDescent="0.35">
      <c r="A21" s="16">
        <v>14101</v>
      </c>
      <c r="B21" s="18" t="s">
        <v>61</v>
      </c>
      <c r="C21" s="19" t="s">
        <v>69</v>
      </c>
      <c r="D21" s="19" t="s">
        <v>62</v>
      </c>
      <c r="E21" s="17">
        <v>1</v>
      </c>
      <c r="F21" s="17">
        <v>1</v>
      </c>
      <c r="G21" s="17">
        <v>2</v>
      </c>
      <c r="H21" s="16">
        <v>0</v>
      </c>
      <c r="I21" s="16">
        <v>0</v>
      </c>
      <c r="J21" s="17" t="s">
        <v>67</v>
      </c>
      <c r="K21" s="17" t="s">
        <v>67</v>
      </c>
      <c r="L21" s="16">
        <v>1</v>
      </c>
      <c r="M21" s="16">
        <v>1</v>
      </c>
      <c r="N21" s="16" t="s">
        <v>67</v>
      </c>
      <c r="O21" s="17">
        <v>1</v>
      </c>
      <c r="P21" s="16">
        <v>0</v>
      </c>
      <c r="Q21" s="17">
        <v>0</v>
      </c>
      <c r="R21" s="17" t="s">
        <v>67</v>
      </c>
      <c r="S21" s="17" t="s">
        <v>67</v>
      </c>
      <c r="T21" s="17">
        <v>1</v>
      </c>
      <c r="U21" s="17">
        <v>1</v>
      </c>
      <c r="V21" s="17" t="s">
        <v>67</v>
      </c>
      <c r="W21" s="17">
        <v>1</v>
      </c>
      <c r="X21" s="17">
        <v>0</v>
      </c>
      <c r="Y21" s="17">
        <v>0</v>
      </c>
      <c r="Z21" s="17" t="s">
        <v>67</v>
      </c>
      <c r="AA21" s="17" t="s">
        <v>67</v>
      </c>
      <c r="AB21" s="17">
        <v>1</v>
      </c>
      <c r="AC21" s="17">
        <v>1</v>
      </c>
      <c r="AD21" s="17" t="s">
        <v>67</v>
      </c>
      <c r="AE21" s="17">
        <v>1</v>
      </c>
      <c r="AF21" s="17">
        <f t="shared" si="0"/>
        <v>0</v>
      </c>
      <c r="AG21" s="17" t="s">
        <v>67</v>
      </c>
      <c r="AH21" s="17">
        <f t="shared" si="2"/>
        <v>1</v>
      </c>
      <c r="AI21" s="17">
        <f t="shared" si="3"/>
        <v>1</v>
      </c>
      <c r="AJ21" s="17">
        <v>0</v>
      </c>
      <c r="AK21" s="17">
        <v>0</v>
      </c>
      <c r="AL21" s="17">
        <v>0</v>
      </c>
      <c r="AM21" s="17" t="s">
        <v>67</v>
      </c>
      <c r="AN21" s="17">
        <v>19</v>
      </c>
      <c r="AO21" s="17">
        <v>1</v>
      </c>
      <c r="AP21" s="17">
        <v>1</v>
      </c>
    </row>
    <row r="22" spans="1:42" ht="14.25" customHeight="1" x14ac:dyDescent="0.35">
      <c r="A22" s="16">
        <v>13129</v>
      </c>
      <c r="B22" s="18" t="s">
        <v>61</v>
      </c>
      <c r="C22" s="19" t="s">
        <v>69</v>
      </c>
      <c r="D22" s="19" t="s">
        <v>62</v>
      </c>
      <c r="E22" s="17">
        <v>2</v>
      </c>
      <c r="F22" s="17">
        <v>3</v>
      </c>
      <c r="G22" s="17">
        <v>1</v>
      </c>
      <c r="H22" s="16">
        <v>1</v>
      </c>
      <c r="I22" s="16">
        <v>0</v>
      </c>
      <c r="J22" s="16">
        <v>1</v>
      </c>
      <c r="K22" s="16">
        <v>0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7">
        <v>0</v>
      </c>
      <c r="R22" s="17">
        <v>1</v>
      </c>
      <c r="S22" s="17">
        <v>0</v>
      </c>
      <c r="T22" s="17">
        <v>1</v>
      </c>
      <c r="U22" s="17">
        <v>1</v>
      </c>
      <c r="V22" s="17">
        <v>1</v>
      </c>
      <c r="W22" s="17">
        <v>1</v>
      </c>
      <c r="X22" s="16">
        <v>1</v>
      </c>
      <c r="Y22" s="16">
        <v>0</v>
      </c>
      <c r="Z22" s="16">
        <v>1</v>
      </c>
      <c r="AA22" s="16">
        <v>0</v>
      </c>
      <c r="AB22" s="16">
        <v>1</v>
      </c>
      <c r="AC22" s="16">
        <v>1</v>
      </c>
      <c r="AD22" s="16">
        <v>1</v>
      </c>
      <c r="AE22" s="16">
        <v>1</v>
      </c>
      <c r="AF22" s="17">
        <f t="shared" si="0"/>
        <v>0.5</v>
      </c>
      <c r="AG22" s="17">
        <f t="shared" si="1"/>
        <v>0.5</v>
      </c>
      <c r="AH22" s="17">
        <f t="shared" si="2"/>
        <v>1</v>
      </c>
      <c r="AI22" s="17">
        <f t="shared" si="3"/>
        <v>1</v>
      </c>
      <c r="AJ22" s="17">
        <v>0</v>
      </c>
      <c r="AK22" s="17">
        <v>0</v>
      </c>
      <c r="AL22" s="17">
        <v>0</v>
      </c>
      <c r="AM22" s="17">
        <v>1</v>
      </c>
      <c r="AN22" s="17">
        <v>19</v>
      </c>
      <c r="AO22" s="17">
        <v>1</v>
      </c>
      <c r="AP22" s="17">
        <v>1</v>
      </c>
    </row>
    <row r="23" spans="1:42" ht="14.25" customHeight="1" x14ac:dyDescent="0.35">
      <c r="A23" s="16">
        <v>12910</v>
      </c>
      <c r="B23" s="18" t="s">
        <v>61</v>
      </c>
      <c r="C23" s="19" t="s">
        <v>69</v>
      </c>
      <c r="D23" s="19" t="s">
        <v>62</v>
      </c>
      <c r="E23" s="17">
        <v>2</v>
      </c>
      <c r="F23" s="17">
        <v>2</v>
      </c>
      <c r="G23" s="17">
        <v>1</v>
      </c>
      <c r="H23" s="16">
        <v>0</v>
      </c>
      <c r="I23" s="16">
        <v>1</v>
      </c>
      <c r="J23" s="16">
        <v>0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0</v>
      </c>
      <c r="Q23" s="17">
        <v>1</v>
      </c>
      <c r="R23" s="17">
        <v>0</v>
      </c>
      <c r="S23" s="17">
        <v>1</v>
      </c>
      <c r="T23" s="17">
        <v>1</v>
      </c>
      <c r="U23" s="17">
        <v>1</v>
      </c>
      <c r="V23" s="17">
        <v>1</v>
      </c>
      <c r="W23" s="17">
        <v>1</v>
      </c>
      <c r="X23" s="16">
        <v>0</v>
      </c>
      <c r="Y23" s="16">
        <v>1</v>
      </c>
      <c r="Z23" s="16">
        <v>0</v>
      </c>
      <c r="AA23" s="16">
        <v>1</v>
      </c>
      <c r="AB23" s="16">
        <v>1</v>
      </c>
      <c r="AC23" s="16">
        <v>1</v>
      </c>
      <c r="AD23" s="16">
        <v>1</v>
      </c>
      <c r="AE23" s="16">
        <v>1</v>
      </c>
      <c r="AF23" s="17">
        <f t="shared" si="0"/>
        <v>0.5</v>
      </c>
      <c r="AG23" s="17">
        <f t="shared" si="1"/>
        <v>0.5</v>
      </c>
      <c r="AH23" s="17">
        <f t="shared" si="2"/>
        <v>1</v>
      </c>
      <c r="AI23" s="17">
        <f t="shared" si="3"/>
        <v>1</v>
      </c>
      <c r="AJ23" s="17">
        <v>0</v>
      </c>
      <c r="AK23" s="17">
        <v>0</v>
      </c>
      <c r="AL23" s="17">
        <v>0</v>
      </c>
      <c r="AM23" s="17">
        <v>1</v>
      </c>
      <c r="AN23" s="17">
        <v>18</v>
      </c>
      <c r="AO23" s="17">
        <v>1</v>
      </c>
      <c r="AP23" s="17">
        <v>1</v>
      </c>
    </row>
    <row r="24" spans="1:42" ht="14.25" customHeight="1" x14ac:dyDescent="0.35">
      <c r="A24" s="16">
        <v>13762</v>
      </c>
      <c r="B24" s="18" t="s">
        <v>61</v>
      </c>
      <c r="C24" s="19" t="s">
        <v>69</v>
      </c>
      <c r="D24" s="19" t="s">
        <v>62</v>
      </c>
      <c r="E24" s="17">
        <v>2</v>
      </c>
      <c r="F24" s="17">
        <v>1</v>
      </c>
      <c r="G24" s="17">
        <v>1</v>
      </c>
      <c r="H24" s="16">
        <v>1</v>
      </c>
      <c r="I24" s="16">
        <v>0</v>
      </c>
      <c r="J24" s="16">
        <v>0</v>
      </c>
      <c r="K24" s="16">
        <v>0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7">
        <v>0</v>
      </c>
      <c r="R24" s="17">
        <v>0</v>
      </c>
      <c r="S24" s="17">
        <v>0</v>
      </c>
      <c r="T24" s="17">
        <v>1</v>
      </c>
      <c r="U24" s="17">
        <v>1</v>
      </c>
      <c r="V24" s="17">
        <v>1</v>
      </c>
      <c r="W24" s="17">
        <v>1</v>
      </c>
      <c r="X24" s="16">
        <v>1</v>
      </c>
      <c r="Y24" s="16">
        <v>0</v>
      </c>
      <c r="Z24" s="16">
        <v>0</v>
      </c>
      <c r="AA24" s="16">
        <v>0</v>
      </c>
      <c r="AB24" s="16">
        <v>1</v>
      </c>
      <c r="AC24" s="16">
        <v>1</v>
      </c>
      <c r="AD24" s="16">
        <v>1</v>
      </c>
      <c r="AE24" s="16">
        <v>1</v>
      </c>
      <c r="AF24" s="17">
        <f t="shared" si="0"/>
        <v>0.5</v>
      </c>
      <c r="AG24" s="17">
        <f t="shared" si="1"/>
        <v>0</v>
      </c>
      <c r="AH24" s="17">
        <f t="shared" si="2"/>
        <v>1</v>
      </c>
      <c r="AI24" s="17">
        <f t="shared" si="3"/>
        <v>1</v>
      </c>
      <c r="AJ24" s="17">
        <v>0</v>
      </c>
      <c r="AK24" s="17">
        <v>0</v>
      </c>
      <c r="AL24" s="17">
        <v>0</v>
      </c>
      <c r="AM24" s="17">
        <v>1</v>
      </c>
      <c r="AN24" s="17">
        <v>19</v>
      </c>
      <c r="AO24" s="17">
        <v>1</v>
      </c>
      <c r="AP24" s="17">
        <v>1</v>
      </c>
    </row>
    <row r="25" spans="1:42" ht="14.25" customHeight="1" x14ac:dyDescent="0.35">
      <c r="A25" s="16">
        <v>14437</v>
      </c>
      <c r="B25" s="18" t="s">
        <v>61</v>
      </c>
      <c r="C25" s="19" t="s">
        <v>69</v>
      </c>
      <c r="D25" s="19" t="s">
        <v>62</v>
      </c>
      <c r="E25" s="17">
        <v>2</v>
      </c>
      <c r="F25" s="17">
        <v>4</v>
      </c>
      <c r="G25" s="17">
        <v>1</v>
      </c>
      <c r="H25" s="16">
        <v>0</v>
      </c>
      <c r="I25" s="16">
        <v>0</v>
      </c>
      <c r="J25" s="16">
        <v>0</v>
      </c>
      <c r="K25" s="16">
        <v>0</v>
      </c>
      <c r="L25" s="16">
        <v>1</v>
      </c>
      <c r="M25" s="16">
        <v>1</v>
      </c>
      <c r="N25" s="16">
        <v>1</v>
      </c>
      <c r="O25" s="16">
        <v>1</v>
      </c>
      <c r="P25" s="16">
        <v>0</v>
      </c>
      <c r="Q25" s="17">
        <v>0</v>
      </c>
      <c r="R25" s="17">
        <v>0</v>
      </c>
      <c r="S25" s="17">
        <v>0</v>
      </c>
      <c r="T25" s="17">
        <v>1</v>
      </c>
      <c r="U25" s="17">
        <v>1</v>
      </c>
      <c r="V25" s="17">
        <v>1</v>
      </c>
      <c r="W25" s="17">
        <v>1</v>
      </c>
      <c r="X25" s="16">
        <v>0</v>
      </c>
      <c r="Y25" s="16">
        <v>0</v>
      </c>
      <c r="Z25" s="16">
        <v>0</v>
      </c>
      <c r="AA25" s="16">
        <v>0</v>
      </c>
      <c r="AB25" s="16">
        <v>1</v>
      </c>
      <c r="AC25" s="16">
        <v>1</v>
      </c>
      <c r="AD25" s="16">
        <v>1</v>
      </c>
      <c r="AE25" s="16">
        <v>1</v>
      </c>
      <c r="AF25" s="17">
        <f t="shared" si="0"/>
        <v>0</v>
      </c>
      <c r="AG25" s="17">
        <f t="shared" si="1"/>
        <v>0</v>
      </c>
      <c r="AH25" s="17">
        <f t="shared" si="2"/>
        <v>1</v>
      </c>
      <c r="AI25" s="17">
        <f t="shared" si="3"/>
        <v>1</v>
      </c>
      <c r="AJ25" s="17">
        <v>0</v>
      </c>
      <c r="AK25" s="17">
        <v>0</v>
      </c>
      <c r="AL25" s="17">
        <v>0</v>
      </c>
      <c r="AM25" s="17">
        <v>1</v>
      </c>
      <c r="AN25" s="17">
        <v>18</v>
      </c>
      <c r="AO25" s="17">
        <v>2</v>
      </c>
      <c r="AP25" s="17">
        <v>1</v>
      </c>
    </row>
    <row r="26" spans="1:42" ht="14.25" customHeight="1" x14ac:dyDescent="0.35">
      <c r="A26" s="16">
        <v>13810</v>
      </c>
      <c r="B26" s="18" t="s">
        <v>61</v>
      </c>
      <c r="C26" s="19" t="s">
        <v>69</v>
      </c>
      <c r="D26" s="19" t="s">
        <v>62</v>
      </c>
      <c r="E26" s="16">
        <v>2</v>
      </c>
      <c r="F26" s="16">
        <v>1</v>
      </c>
      <c r="G26" s="16" t="s">
        <v>45</v>
      </c>
      <c r="H26" s="16">
        <v>0</v>
      </c>
      <c r="I26" s="16">
        <v>1</v>
      </c>
      <c r="J26" s="16">
        <v>0</v>
      </c>
      <c r="K26" s="16">
        <v>0</v>
      </c>
      <c r="L26" s="16">
        <v>1</v>
      </c>
      <c r="M26" s="16">
        <v>1</v>
      </c>
      <c r="N26" s="16">
        <v>1</v>
      </c>
      <c r="O26" s="16">
        <v>1</v>
      </c>
      <c r="P26" s="16">
        <v>0</v>
      </c>
      <c r="Q26" s="17">
        <v>1</v>
      </c>
      <c r="R26" s="17">
        <v>0</v>
      </c>
      <c r="S26" s="17">
        <v>0</v>
      </c>
      <c r="T26" s="17">
        <v>1</v>
      </c>
      <c r="U26" s="17">
        <v>1</v>
      </c>
      <c r="V26" s="17">
        <v>1</v>
      </c>
      <c r="W26" s="17">
        <v>1</v>
      </c>
      <c r="X26" s="16">
        <v>0</v>
      </c>
      <c r="Y26" s="16">
        <v>1</v>
      </c>
      <c r="Z26" s="16">
        <v>0</v>
      </c>
      <c r="AA26" s="16">
        <v>0</v>
      </c>
      <c r="AB26" s="16">
        <v>1</v>
      </c>
      <c r="AC26" s="16">
        <v>1</v>
      </c>
      <c r="AD26" s="16">
        <v>1</v>
      </c>
      <c r="AE26" s="16">
        <v>1</v>
      </c>
      <c r="AF26" s="17">
        <f t="shared" si="0"/>
        <v>0.5</v>
      </c>
      <c r="AG26" s="17">
        <f t="shared" si="1"/>
        <v>0</v>
      </c>
      <c r="AH26" s="17">
        <f t="shared" si="2"/>
        <v>1</v>
      </c>
      <c r="AI26" s="17">
        <f t="shared" si="3"/>
        <v>1</v>
      </c>
      <c r="AJ26" s="17">
        <v>0</v>
      </c>
      <c r="AK26" s="17">
        <v>0</v>
      </c>
      <c r="AL26" s="17">
        <v>0</v>
      </c>
      <c r="AM26" s="17">
        <v>1</v>
      </c>
      <c r="AN26" s="17">
        <v>18</v>
      </c>
      <c r="AO26" s="17">
        <v>1</v>
      </c>
      <c r="AP26" s="17">
        <v>1</v>
      </c>
    </row>
    <row r="27" spans="1:42" ht="14.25" customHeight="1" x14ac:dyDescent="0.35">
      <c r="A27" s="16">
        <v>14131</v>
      </c>
      <c r="B27" s="18" t="s">
        <v>61</v>
      </c>
      <c r="C27" s="19" t="s">
        <v>69</v>
      </c>
      <c r="D27" s="19" t="s">
        <v>62</v>
      </c>
      <c r="E27" s="17">
        <v>1</v>
      </c>
      <c r="F27" s="17">
        <v>2</v>
      </c>
      <c r="G27" s="17">
        <v>2</v>
      </c>
      <c r="H27" s="16">
        <v>1</v>
      </c>
      <c r="I27" s="16">
        <v>0</v>
      </c>
      <c r="J27" s="16">
        <v>0</v>
      </c>
      <c r="K27" s="16">
        <v>0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7">
        <v>0</v>
      </c>
      <c r="R27" s="17">
        <v>0</v>
      </c>
      <c r="S27" s="17">
        <v>0</v>
      </c>
      <c r="T27" s="17">
        <v>1</v>
      </c>
      <c r="U27" s="17">
        <v>1</v>
      </c>
      <c r="V27" s="17">
        <v>1</v>
      </c>
      <c r="W27" s="17">
        <v>1</v>
      </c>
      <c r="X27" s="16">
        <v>1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1</v>
      </c>
      <c r="AE27" s="16">
        <v>1</v>
      </c>
      <c r="AF27" s="17">
        <f t="shared" si="0"/>
        <v>0.5</v>
      </c>
      <c r="AG27" s="17">
        <f t="shared" si="1"/>
        <v>0</v>
      </c>
      <c r="AH27" s="17">
        <f t="shared" si="2"/>
        <v>1</v>
      </c>
      <c r="AI27" s="17">
        <f t="shared" si="3"/>
        <v>1</v>
      </c>
      <c r="AJ27" s="17">
        <v>0</v>
      </c>
      <c r="AK27" s="17">
        <v>0</v>
      </c>
      <c r="AL27" s="17">
        <v>0</v>
      </c>
      <c r="AM27" s="17">
        <v>2</v>
      </c>
      <c r="AN27" s="17">
        <v>21</v>
      </c>
      <c r="AO27" s="17">
        <v>1</v>
      </c>
      <c r="AP27" s="17">
        <v>1</v>
      </c>
    </row>
    <row r="28" spans="1:42" ht="14.25" customHeight="1" x14ac:dyDescent="0.35">
      <c r="A28" s="16">
        <v>13426</v>
      </c>
      <c r="B28" s="18" t="s">
        <v>61</v>
      </c>
      <c r="C28" s="19" t="s">
        <v>69</v>
      </c>
      <c r="D28" s="19" t="s">
        <v>62</v>
      </c>
      <c r="E28" s="17">
        <v>2</v>
      </c>
      <c r="F28" s="17">
        <v>3</v>
      </c>
      <c r="G28" s="17">
        <v>2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7">
        <f t="shared" si="0"/>
        <v>1</v>
      </c>
      <c r="AG28" s="17">
        <f t="shared" si="1"/>
        <v>1</v>
      </c>
      <c r="AH28" s="17">
        <f t="shared" si="2"/>
        <v>1</v>
      </c>
      <c r="AI28" s="17">
        <f t="shared" si="3"/>
        <v>1</v>
      </c>
      <c r="AJ28" s="17">
        <v>0</v>
      </c>
      <c r="AK28" s="17">
        <v>0</v>
      </c>
      <c r="AL28" s="17">
        <v>0</v>
      </c>
      <c r="AM28" s="17">
        <v>1</v>
      </c>
      <c r="AN28" s="17">
        <v>18</v>
      </c>
      <c r="AO28" s="17">
        <v>1</v>
      </c>
      <c r="AP28" s="17">
        <v>1</v>
      </c>
    </row>
    <row r="29" spans="1:42" ht="14.25" customHeight="1" x14ac:dyDescent="0.35">
      <c r="A29" s="16">
        <v>13588</v>
      </c>
      <c r="B29" s="18" t="s">
        <v>61</v>
      </c>
      <c r="C29" s="19" t="s">
        <v>69</v>
      </c>
      <c r="D29" s="19" t="s">
        <v>62</v>
      </c>
      <c r="E29" s="17">
        <v>1</v>
      </c>
      <c r="F29" s="17">
        <v>1</v>
      </c>
      <c r="G29" s="17">
        <v>1</v>
      </c>
      <c r="H29" s="16">
        <v>0</v>
      </c>
      <c r="I29" s="16">
        <v>0</v>
      </c>
      <c r="J29" s="16">
        <v>0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7">
        <v>0</v>
      </c>
      <c r="R29" s="17">
        <v>0</v>
      </c>
      <c r="S29" s="17">
        <v>0</v>
      </c>
      <c r="T29" s="17">
        <v>1</v>
      </c>
      <c r="U29" s="17">
        <v>1</v>
      </c>
      <c r="V29" s="17">
        <v>1</v>
      </c>
      <c r="W29" s="17">
        <v>1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1</v>
      </c>
      <c r="AD29" s="16">
        <v>1</v>
      </c>
      <c r="AE29" s="16">
        <v>1</v>
      </c>
      <c r="AF29" s="17">
        <f t="shared" si="0"/>
        <v>0</v>
      </c>
      <c r="AG29" s="17">
        <f t="shared" si="1"/>
        <v>0</v>
      </c>
      <c r="AH29" s="17">
        <f t="shared" si="2"/>
        <v>1</v>
      </c>
      <c r="AI29" s="17">
        <f t="shared" si="3"/>
        <v>1</v>
      </c>
      <c r="AJ29" s="17">
        <v>0</v>
      </c>
      <c r="AK29" s="17">
        <v>0</v>
      </c>
      <c r="AL29" s="17">
        <v>0</v>
      </c>
      <c r="AM29" s="17">
        <v>2</v>
      </c>
      <c r="AN29" s="17">
        <v>19</v>
      </c>
      <c r="AO29" s="17">
        <v>1</v>
      </c>
      <c r="AP29" s="17">
        <v>1</v>
      </c>
    </row>
    <row r="30" spans="1:42" ht="14.25" customHeight="1" x14ac:dyDescent="0.35">
      <c r="A30" s="16">
        <v>14275</v>
      </c>
      <c r="B30" s="18" t="s">
        <v>61</v>
      </c>
      <c r="C30" s="19" t="s">
        <v>69</v>
      </c>
      <c r="D30" s="19" t="s">
        <v>62</v>
      </c>
      <c r="E30" s="17">
        <v>1</v>
      </c>
      <c r="F30" s="17">
        <v>2</v>
      </c>
      <c r="G30" s="17">
        <v>1</v>
      </c>
      <c r="H30" s="16">
        <v>0</v>
      </c>
      <c r="I30" s="16">
        <v>0</v>
      </c>
      <c r="J30" s="16">
        <v>0</v>
      </c>
      <c r="K30" s="17" t="s">
        <v>67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7">
        <v>0</v>
      </c>
      <c r="R30" s="17">
        <v>0</v>
      </c>
      <c r="S30" s="17" t="s">
        <v>67</v>
      </c>
      <c r="T30" s="17">
        <v>1</v>
      </c>
      <c r="U30" s="17">
        <v>1</v>
      </c>
      <c r="V30" s="17">
        <v>1</v>
      </c>
      <c r="W30" s="17">
        <v>1</v>
      </c>
      <c r="X30" s="16">
        <v>0</v>
      </c>
      <c r="Y30" s="16">
        <v>0</v>
      </c>
      <c r="Z30" s="16">
        <v>0</v>
      </c>
      <c r="AA30" s="16" t="s">
        <v>67</v>
      </c>
      <c r="AB30" s="16">
        <v>1</v>
      </c>
      <c r="AC30" s="16">
        <v>1</v>
      </c>
      <c r="AD30" s="16">
        <v>1</v>
      </c>
      <c r="AE30" s="16">
        <v>1</v>
      </c>
      <c r="AF30" s="17">
        <f t="shared" si="0"/>
        <v>0</v>
      </c>
      <c r="AG30" s="17">
        <f t="shared" si="1"/>
        <v>0</v>
      </c>
      <c r="AH30" s="17">
        <f t="shared" si="2"/>
        <v>1</v>
      </c>
      <c r="AI30" s="17">
        <f t="shared" si="3"/>
        <v>1</v>
      </c>
      <c r="AJ30" s="17">
        <v>0</v>
      </c>
      <c r="AK30" s="17">
        <v>0</v>
      </c>
      <c r="AL30" s="17">
        <v>0</v>
      </c>
      <c r="AM30" s="17">
        <v>2</v>
      </c>
      <c r="AN30" s="17">
        <v>18</v>
      </c>
      <c r="AO30" s="17">
        <v>1</v>
      </c>
      <c r="AP30" s="17">
        <v>1</v>
      </c>
    </row>
    <row r="31" spans="1:42" ht="14.25" customHeight="1" x14ac:dyDescent="0.35">
      <c r="A31" s="16">
        <v>16459</v>
      </c>
      <c r="B31" s="18" t="s">
        <v>61</v>
      </c>
      <c r="C31" s="19" t="s">
        <v>69</v>
      </c>
      <c r="D31" s="19" t="s">
        <v>62</v>
      </c>
      <c r="E31" s="17">
        <v>2</v>
      </c>
      <c r="F31" s="17">
        <v>2</v>
      </c>
      <c r="G31" s="17">
        <v>2</v>
      </c>
      <c r="H31" s="16">
        <v>0</v>
      </c>
      <c r="I31" s="16">
        <v>0</v>
      </c>
      <c r="J31" s="16">
        <v>0</v>
      </c>
      <c r="K31" s="16">
        <v>0</v>
      </c>
      <c r="L31" s="16">
        <v>1</v>
      </c>
      <c r="M31" s="16">
        <v>1</v>
      </c>
      <c r="N31" s="16">
        <v>1</v>
      </c>
      <c r="O31" s="16">
        <v>1</v>
      </c>
      <c r="P31" s="16">
        <v>0</v>
      </c>
      <c r="Q31" s="17">
        <v>0</v>
      </c>
      <c r="R31" s="17">
        <v>0</v>
      </c>
      <c r="S31" s="17">
        <v>0</v>
      </c>
      <c r="T31" s="17">
        <v>1</v>
      </c>
      <c r="U31" s="17">
        <v>1</v>
      </c>
      <c r="V31" s="17">
        <v>1</v>
      </c>
      <c r="W31" s="17">
        <v>1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1</v>
      </c>
      <c r="AE31" s="16">
        <v>1</v>
      </c>
      <c r="AF31" s="17">
        <f t="shared" si="0"/>
        <v>0</v>
      </c>
      <c r="AG31" s="17">
        <f t="shared" si="1"/>
        <v>0</v>
      </c>
      <c r="AH31" s="17">
        <f t="shared" si="2"/>
        <v>1</v>
      </c>
      <c r="AI31" s="17">
        <f t="shared" si="3"/>
        <v>1</v>
      </c>
      <c r="AJ31" s="17">
        <v>0</v>
      </c>
      <c r="AK31" s="17">
        <v>0</v>
      </c>
      <c r="AL31" s="17">
        <v>0</v>
      </c>
      <c r="AM31" s="17">
        <v>1</v>
      </c>
      <c r="AN31" s="17">
        <v>19</v>
      </c>
      <c r="AO31" s="17">
        <v>1</v>
      </c>
      <c r="AP31" s="17">
        <v>1</v>
      </c>
    </row>
    <row r="32" spans="1:42" ht="14.25" customHeight="1" x14ac:dyDescent="0.35">
      <c r="A32" s="16">
        <v>15382</v>
      </c>
      <c r="B32" s="18" t="s">
        <v>61</v>
      </c>
      <c r="C32" s="19" t="s">
        <v>69</v>
      </c>
      <c r="D32" s="19" t="s">
        <v>62</v>
      </c>
      <c r="E32" s="17">
        <v>2</v>
      </c>
      <c r="F32" s="17">
        <v>1</v>
      </c>
      <c r="G32" s="17">
        <v>2</v>
      </c>
      <c r="H32" s="16">
        <v>0</v>
      </c>
      <c r="I32" s="16">
        <v>0</v>
      </c>
      <c r="J32" s="16" t="s">
        <v>67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0</v>
      </c>
      <c r="Q32" s="17">
        <v>0</v>
      </c>
      <c r="R32" s="17" t="s">
        <v>67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0</v>
      </c>
      <c r="Y32" s="17">
        <v>0</v>
      </c>
      <c r="Z32" s="17" t="s">
        <v>67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f t="shared" si="0"/>
        <v>0</v>
      </c>
      <c r="AG32" s="17">
        <f t="shared" si="1"/>
        <v>1</v>
      </c>
      <c r="AH32" s="17">
        <f t="shared" si="2"/>
        <v>1</v>
      </c>
      <c r="AI32" s="17">
        <f t="shared" si="3"/>
        <v>1</v>
      </c>
      <c r="AJ32" s="17">
        <v>0</v>
      </c>
      <c r="AK32" s="17">
        <v>0</v>
      </c>
      <c r="AL32" s="17">
        <v>0</v>
      </c>
      <c r="AM32" s="17">
        <v>1</v>
      </c>
      <c r="AN32" s="17">
        <v>18</v>
      </c>
      <c r="AO32" s="17">
        <v>1</v>
      </c>
      <c r="AP32" s="17">
        <v>1</v>
      </c>
    </row>
    <row r="33" spans="1:42" ht="14.25" customHeight="1" x14ac:dyDescent="0.35">
      <c r="A33" s="16">
        <v>14800</v>
      </c>
      <c r="B33" s="18" t="s">
        <v>61</v>
      </c>
      <c r="C33" s="19" t="s">
        <v>69</v>
      </c>
      <c r="D33" s="19" t="s">
        <v>62</v>
      </c>
      <c r="E33" s="17">
        <v>1</v>
      </c>
      <c r="F33" s="17">
        <v>3</v>
      </c>
      <c r="G33" s="17">
        <v>1</v>
      </c>
      <c r="H33" s="16">
        <v>0</v>
      </c>
      <c r="I33" s="16">
        <v>1</v>
      </c>
      <c r="J33" s="16">
        <v>1</v>
      </c>
      <c r="K33" s="16">
        <v>0</v>
      </c>
      <c r="L33" s="16">
        <v>1</v>
      </c>
      <c r="M33" s="16">
        <v>1</v>
      </c>
      <c r="N33" s="16">
        <v>1</v>
      </c>
      <c r="O33" s="16">
        <v>1</v>
      </c>
      <c r="P33" s="16">
        <v>0</v>
      </c>
      <c r="Q33" s="17">
        <v>1</v>
      </c>
      <c r="R33" s="17">
        <v>1</v>
      </c>
      <c r="S33" s="17">
        <v>0</v>
      </c>
      <c r="T33" s="17">
        <v>1</v>
      </c>
      <c r="U33" s="17">
        <v>1</v>
      </c>
      <c r="V33" s="17">
        <v>1</v>
      </c>
      <c r="W33" s="17">
        <v>1</v>
      </c>
      <c r="X33" s="16">
        <v>0</v>
      </c>
      <c r="Y33" s="16">
        <v>1</v>
      </c>
      <c r="Z33" s="16">
        <v>1</v>
      </c>
      <c r="AA33" s="16">
        <v>0</v>
      </c>
      <c r="AB33" s="16">
        <v>1</v>
      </c>
      <c r="AC33" s="16">
        <v>1</v>
      </c>
      <c r="AD33" s="16">
        <v>1</v>
      </c>
      <c r="AE33" s="16">
        <v>1</v>
      </c>
      <c r="AF33" s="17">
        <f t="shared" si="0"/>
        <v>0.5</v>
      </c>
      <c r="AG33" s="17">
        <f t="shared" si="1"/>
        <v>0.5</v>
      </c>
      <c r="AH33" s="17">
        <f t="shared" si="2"/>
        <v>1</v>
      </c>
      <c r="AI33" s="17">
        <f t="shared" si="3"/>
        <v>1</v>
      </c>
      <c r="AJ33" s="17">
        <v>0</v>
      </c>
      <c r="AK33" s="17">
        <v>0</v>
      </c>
      <c r="AL33" s="17">
        <v>0</v>
      </c>
      <c r="AM33" s="17">
        <v>2</v>
      </c>
      <c r="AN33" s="17">
        <v>18</v>
      </c>
      <c r="AO33" s="17">
        <v>1</v>
      </c>
      <c r="AP33" s="17">
        <v>1</v>
      </c>
    </row>
    <row r="34" spans="1:42" ht="14.25" customHeight="1" x14ac:dyDescent="0.35">
      <c r="A34" s="16">
        <v>16399</v>
      </c>
      <c r="B34" s="18" t="s">
        <v>61</v>
      </c>
      <c r="C34" s="19" t="s">
        <v>69</v>
      </c>
      <c r="D34" s="19" t="s">
        <v>62</v>
      </c>
      <c r="E34" s="17">
        <v>1</v>
      </c>
      <c r="F34" s="17">
        <v>1</v>
      </c>
      <c r="G34" s="17">
        <v>2</v>
      </c>
      <c r="H34" s="16">
        <v>0</v>
      </c>
      <c r="I34" s="16">
        <v>0</v>
      </c>
      <c r="J34" s="16">
        <v>1</v>
      </c>
      <c r="K34" s="16">
        <v>0</v>
      </c>
      <c r="L34" s="16">
        <v>1</v>
      </c>
      <c r="M34" s="16">
        <v>1</v>
      </c>
      <c r="N34" s="16">
        <v>1</v>
      </c>
      <c r="O34" s="16">
        <v>1</v>
      </c>
      <c r="P34" s="16">
        <v>0</v>
      </c>
      <c r="Q34" s="17">
        <v>0</v>
      </c>
      <c r="R34" s="17">
        <v>1</v>
      </c>
      <c r="S34" s="17">
        <v>0</v>
      </c>
      <c r="T34" s="17">
        <v>1</v>
      </c>
      <c r="U34" s="17">
        <v>1</v>
      </c>
      <c r="V34" s="17">
        <v>1</v>
      </c>
      <c r="W34" s="17">
        <v>1</v>
      </c>
      <c r="X34" s="16">
        <v>0</v>
      </c>
      <c r="Y34" s="16">
        <v>0</v>
      </c>
      <c r="Z34" s="16">
        <v>1</v>
      </c>
      <c r="AA34" s="16">
        <v>0</v>
      </c>
      <c r="AB34" s="16">
        <v>1</v>
      </c>
      <c r="AC34" s="16">
        <v>1</v>
      </c>
      <c r="AD34" s="16">
        <v>1</v>
      </c>
      <c r="AE34" s="16">
        <v>1</v>
      </c>
      <c r="AF34" s="17">
        <f t="shared" si="0"/>
        <v>0</v>
      </c>
      <c r="AG34" s="17">
        <f t="shared" si="1"/>
        <v>0.5</v>
      </c>
      <c r="AH34" s="17">
        <f t="shared" si="2"/>
        <v>1</v>
      </c>
      <c r="AI34" s="17">
        <f t="shared" si="3"/>
        <v>1</v>
      </c>
      <c r="AJ34" s="17">
        <v>0</v>
      </c>
      <c r="AK34" s="17">
        <v>0</v>
      </c>
      <c r="AL34" s="17">
        <v>0</v>
      </c>
      <c r="AM34" s="17">
        <v>2</v>
      </c>
      <c r="AN34" s="17">
        <v>20</v>
      </c>
      <c r="AO34" s="17">
        <v>1</v>
      </c>
      <c r="AP34" s="17">
        <v>1</v>
      </c>
    </row>
    <row r="35" spans="1:42" ht="14.25" customHeight="1" x14ac:dyDescent="0.35">
      <c r="A35" s="16">
        <v>16417</v>
      </c>
      <c r="B35" s="18" t="s">
        <v>61</v>
      </c>
      <c r="C35" s="19" t="s">
        <v>69</v>
      </c>
      <c r="D35" s="19" t="s">
        <v>62</v>
      </c>
      <c r="E35" s="17">
        <v>2</v>
      </c>
      <c r="F35" s="17">
        <v>2</v>
      </c>
      <c r="G35" s="17">
        <v>2</v>
      </c>
      <c r="H35" s="16">
        <v>0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0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6">
        <v>0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7">
        <f t="shared" si="0"/>
        <v>0.5</v>
      </c>
      <c r="AG35" s="17">
        <f t="shared" si="1"/>
        <v>1</v>
      </c>
      <c r="AH35" s="17">
        <f t="shared" si="2"/>
        <v>1</v>
      </c>
      <c r="AI35" s="17">
        <f t="shared" si="3"/>
        <v>1</v>
      </c>
      <c r="AJ35" s="17">
        <v>0</v>
      </c>
      <c r="AK35" s="17">
        <v>0</v>
      </c>
      <c r="AL35" s="17">
        <v>0</v>
      </c>
      <c r="AM35" s="17" t="s">
        <v>67</v>
      </c>
      <c r="AN35" s="17" t="s">
        <v>67</v>
      </c>
      <c r="AO35" s="17" t="s">
        <v>67</v>
      </c>
      <c r="AP35" s="17">
        <v>1</v>
      </c>
    </row>
    <row r="36" spans="1:42" ht="14.25" customHeight="1" x14ac:dyDescent="0.35">
      <c r="A36" s="16">
        <v>15895</v>
      </c>
      <c r="B36" s="18" t="s">
        <v>61</v>
      </c>
      <c r="C36" s="19" t="s">
        <v>69</v>
      </c>
      <c r="D36" s="19" t="s">
        <v>62</v>
      </c>
      <c r="E36" s="17">
        <v>1</v>
      </c>
      <c r="F36" s="17">
        <v>3</v>
      </c>
      <c r="G36" s="17">
        <v>1</v>
      </c>
      <c r="H36" s="16">
        <v>0</v>
      </c>
      <c r="I36" s="16">
        <v>0</v>
      </c>
      <c r="J36" s="16">
        <v>0</v>
      </c>
      <c r="K36" s="16">
        <v>0</v>
      </c>
      <c r="L36" s="16">
        <v>1</v>
      </c>
      <c r="M36" s="16">
        <v>1</v>
      </c>
      <c r="N36" s="16">
        <v>1</v>
      </c>
      <c r="O36" s="16">
        <v>1</v>
      </c>
      <c r="P36" s="16">
        <v>0</v>
      </c>
      <c r="Q36" s="17">
        <v>0</v>
      </c>
      <c r="R36" s="17">
        <v>0</v>
      </c>
      <c r="S36" s="17">
        <v>0</v>
      </c>
      <c r="T36" s="17">
        <v>1</v>
      </c>
      <c r="U36" s="17">
        <v>1</v>
      </c>
      <c r="V36" s="17">
        <v>1</v>
      </c>
      <c r="W36" s="17">
        <v>1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1</v>
      </c>
      <c r="AD36" s="16">
        <v>1</v>
      </c>
      <c r="AE36" s="16">
        <v>1</v>
      </c>
      <c r="AF36" s="17">
        <f t="shared" si="0"/>
        <v>0</v>
      </c>
      <c r="AG36" s="17">
        <f t="shared" si="1"/>
        <v>0</v>
      </c>
      <c r="AH36" s="17">
        <f t="shared" si="2"/>
        <v>1</v>
      </c>
      <c r="AI36" s="17">
        <f t="shared" si="3"/>
        <v>1</v>
      </c>
      <c r="AJ36" s="17">
        <v>0</v>
      </c>
      <c r="AK36" s="17">
        <v>0</v>
      </c>
      <c r="AL36" s="17">
        <v>0</v>
      </c>
      <c r="AM36" s="17" t="s">
        <v>67</v>
      </c>
      <c r="AN36" s="17" t="s">
        <v>67</v>
      </c>
      <c r="AO36" s="17" t="s">
        <v>67</v>
      </c>
      <c r="AP36" s="17">
        <v>1</v>
      </c>
    </row>
    <row r="37" spans="1:42" ht="14.25" customHeight="1" x14ac:dyDescent="0.35">
      <c r="A37" s="16">
        <v>15664</v>
      </c>
      <c r="B37" s="18" t="s">
        <v>61</v>
      </c>
      <c r="C37" s="19" t="s">
        <v>69</v>
      </c>
      <c r="D37" s="19" t="s">
        <v>62</v>
      </c>
      <c r="E37" s="17">
        <v>1</v>
      </c>
      <c r="F37" s="17">
        <v>3</v>
      </c>
      <c r="G37" s="17">
        <v>1</v>
      </c>
      <c r="H37" s="17">
        <v>0</v>
      </c>
      <c r="I37" s="17">
        <v>0</v>
      </c>
      <c r="J37" s="17">
        <v>0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6">
        <v>0</v>
      </c>
      <c r="Q37" s="17">
        <v>0</v>
      </c>
      <c r="R37" s="17">
        <v>0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0</v>
      </c>
      <c r="Y37" s="17">
        <v>0</v>
      </c>
      <c r="Z37" s="17">
        <v>0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f t="shared" si="0"/>
        <v>0</v>
      </c>
      <c r="AG37" s="17">
        <f t="shared" si="1"/>
        <v>0.5</v>
      </c>
      <c r="AH37" s="17">
        <f t="shared" si="2"/>
        <v>1</v>
      </c>
      <c r="AI37" s="17">
        <f t="shared" si="3"/>
        <v>1</v>
      </c>
      <c r="AJ37" s="17">
        <v>0</v>
      </c>
      <c r="AK37" s="17">
        <v>0</v>
      </c>
      <c r="AL37" s="17">
        <v>0</v>
      </c>
      <c r="AM37" s="17">
        <v>2</v>
      </c>
      <c r="AN37" s="17">
        <v>19</v>
      </c>
      <c r="AO37" s="17">
        <v>2</v>
      </c>
      <c r="AP37" s="17">
        <v>1</v>
      </c>
    </row>
    <row r="38" spans="1:42" ht="14.25" customHeight="1" x14ac:dyDescent="0.35">
      <c r="A38" s="17">
        <v>15511</v>
      </c>
      <c r="B38" s="18" t="s">
        <v>61</v>
      </c>
      <c r="C38" s="19" t="s">
        <v>69</v>
      </c>
      <c r="D38" s="19" t="s">
        <v>62</v>
      </c>
      <c r="E38" s="17">
        <v>2</v>
      </c>
      <c r="F38" s="17">
        <v>1</v>
      </c>
      <c r="G38" s="17">
        <v>1</v>
      </c>
      <c r="H38" s="16">
        <v>0</v>
      </c>
      <c r="I38" s="16">
        <v>1</v>
      </c>
      <c r="J38" s="16">
        <v>0</v>
      </c>
      <c r="K38" s="16">
        <v>0</v>
      </c>
      <c r="L38" s="16">
        <v>1</v>
      </c>
      <c r="M38" s="16">
        <v>1</v>
      </c>
      <c r="N38" s="16">
        <v>1</v>
      </c>
      <c r="O38" s="16">
        <v>1</v>
      </c>
      <c r="P38" s="16">
        <v>0</v>
      </c>
      <c r="Q38" s="17">
        <v>1</v>
      </c>
      <c r="R38" s="17">
        <v>0</v>
      </c>
      <c r="S38" s="17">
        <v>0</v>
      </c>
      <c r="T38" s="17">
        <v>1</v>
      </c>
      <c r="U38" s="17">
        <v>1</v>
      </c>
      <c r="V38" s="17">
        <v>1</v>
      </c>
      <c r="W38" s="17">
        <v>1</v>
      </c>
      <c r="X38" s="16">
        <v>0</v>
      </c>
      <c r="Y38" s="16">
        <v>1</v>
      </c>
      <c r="Z38" s="16">
        <v>0</v>
      </c>
      <c r="AA38" s="16">
        <v>0</v>
      </c>
      <c r="AB38" s="16">
        <v>1</v>
      </c>
      <c r="AC38" s="16">
        <v>1</v>
      </c>
      <c r="AD38" s="16">
        <v>1</v>
      </c>
      <c r="AE38" s="16">
        <v>1</v>
      </c>
      <c r="AF38" s="17">
        <f t="shared" si="0"/>
        <v>0.5</v>
      </c>
      <c r="AG38" s="17">
        <f t="shared" si="1"/>
        <v>0</v>
      </c>
      <c r="AH38" s="17">
        <f t="shared" si="2"/>
        <v>1</v>
      </c>
      <c r="AI38" s="17">
        <f t="shared" si="3"/>
        <v>1</v>
      </c>
      <c r="AJ38" s="17">
        <v>0</v>
      </c>
      <c r="AK38" s="17">
        <v>0</v>
      </c>
      <c r="AL38" s="17">
        <v>0</v>
      </c>
      <c r="AM38" s="17">
        <v>1</v>
      </c>
      <c r="AN38" s="17">
        <v>18</v>
      </c>
      <c r="AO38" s="17">
        <v>1</v>
      </c>
      <c r="AP38" s="17">
        <v>1</v>
      </c>
    </row>
    <row r="39" spans="1:42" ht="14.25" customHeight="1" x14ac:dyDescent="0.35">
      <c r="A39" s="17">
        <v>15736</v>
      </c>
      <c r="B39" s="18" t="s">
        <v>61</v>
      </c>
      <c r="C39" s="19" t="s">
        <v>69</v>
      </c>
      <c r="D39" s="19" t="s">
        <v>62</v>
      </c>
      <c r="E39" s="17">
        <v>1</v>
      </c>
      <c r="F39" s="17">
        <v>3</v>
      </c>
      <c r="G39" s="17">
        <v>2</v>
      </c>
      <c r="H39" s="16">
        <v>0</v>
      </c>
      <c r="I39" s="16">
        <v>0</v>
      </c>
      <c r="J39" s="16">
        <v>0</v>
      </c>
      <c r="K39" s="16">
        <v>0</v>
      </c>
      <c r="L39" s="16">
        <v>1</v>
      </c>
      <c r="M39" s="16">
        <v>1</v>
      </c>
      <c r="N39" s="16">
        <v>1</v>
      </c>
      <c r="O39" s="16">
        <v>1</v>
      </c>
      <c r="P39" s="16">
        <v>0</v>
      </c>
      <c r="Q39" s="17">
        <v>0</v>
      </c>
      <c r="R39" s="17">
        <v>0</v>
      </c>
      <c r="S39" s="17">
        <v>0</v>
      </c>
      <c r="T39" s="17">
        <v>1</v>
      </c>
      <c r="U39" s="17">
        <v>1</v>
      </c>
      <c r="V39" s="17">
        <v>1</v>
      </c>
      <c r="W39" s="17">
        <v>1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1</v>
      </c>
      <c r="AE39" s="16">
        <v>1</v>
      </c>
      <c r="AF39" s="17">
        <f t="shared" si="0"/>
        <v>0</v>
      </c>
      <c r="AG39" s="17">
        <f t="shared" si="1"/>
        <v>0</v>
      </c>
      <c r="AH39" s="17">
        <f t="shared" si="2"/>
        <v>1</v>
      </c>
      <c r="AI39" s="17">
        <f t="shared" si="3"/>
        <v>1</v>
      </c>
      <c r="AJ39" s="17">
        <v>0</v>
      </c>
      <c r="AK39" s="17">
        <v>0</v>
      </c>
      <c r="AL39" s="17">
        <v>0</v>
      </c>
      <c r="AM39" s="17">
        <v>2</v>
      </c>
      <c r="AN39" s="17">
        <v>18</v>
      </c>
      <c r="AO39" s="17">
        <v>2</v>
      </c>
      <c r="AP39" s="17">
        <v>1</v>
      </c>
    </row>
    <row r="40" spans="1:42" ht="14.25" customHeight="1" x14ac:dyDescent="0.35">
      <c r="A40" s="17">
        <v>16114</v>
      </c>
      <c r="B40" s="18" t="s">
        <v>61</v>
      </c>
      <c r="C40" s="19" t="s">
        <v>69</v>
      </c>
      <c r="D40" s="19" t="s">
        <v>62</v>
      </c>
      <c r="E40" s="17">
        <v>1</v>
      </c>
      <c r="F40" s="17">
        <v>3</v>
      </c>
      <c r="G40" s="17">
        <v>1</v>
      </c>
      <c r="H40" s="16">
        <v>1</v>
      </c>
      <c r="I40" s="16">
        <v>0</v>
      </c>
      <c r="J40" s="16">
        <v>0</v>
      </c>
      <c r="K40" s="16">
        <v>0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7">
        <v>0</v>
      </c>
      <c r="R40" s="17">
        <v>0</v>
      </c>
      <c r="S40" s="17">
        <v>0</v>
      </c>
      <c r="T40" s="17">
        <v>1</v>
      </c>
      <c r="U40" s="17">
        <v>1</v>
      </c>
      <c r="V40" s="17">
        <v>1</v>
      </c>
      <c r="W40" s="17">
        <v>1</v>
      </c>
      <c r="X40" s="16">
        <v>1</v>
      </c>
      <c r="Y40" s="16">
        <v>0</v>
      </c>
      <c r="Z40" s="16">
        <v>0</v>
      </c>
      <c r="AA40" s="16">
        <v>0</v>
      </c>
      <c r="AB40" s="16">
        <v>1</v>
      </c>
      <c r="AC40" s="16">
        <v>1</v>
      </c>
      <c r="AD40" s="16">
        <v>1</v>
      </c>
      <c r="AE40" s="16">
        <v>1</v>
      </c>
      <c r="AF40" s="17">
        <f t="shared" si="0"/>
        <v>0.5</v>
      </c>
      <c r="AG40" s="17">
        <f t="shared" si="1"/>
        <v>0</v>
      </c>
      <c r="AH40" s="17">
        <f t="shared" si="2"/>
        <v>1</v>
      </c>
      <c r="AI40" s="17">
        <f t="shared" si="3"/>
        <v>1</v>
      </c>
      <c r="AJ40" s="17">
        <v>0</v>
      </c>
      <c r="AK40" s="17">
        <v>0</v>
      </c>
      <c r="AL40" s="17">
        <v>0</v>
      </c>
      <c r="AM40" s="17">
        <v>2</v>
      </c>
      <c r="AN40" s="17">
        <v>27</v>
      </c>
      <c r="AO40" s="17">
        <v>1</v>
      </c>
      <c r="AP40" s="17">
        <v>1</v>
      </c>
    </row>
    <row r="41" spans="1:42" ht="14.25" customHeight="1" x14ac:dyDescent="0.35">
      <c r="A41" s="17">
        <v>15718</v>
      </c>
      <c r="B41" s="18" t="s">
        <v>61</v>
      </c>
      <c r="C41" s="19" t="s">
        <v>69</v>
      </c>
      <c r="D41" s="19" t="s">
        <v>62</v>
      </c>
      <c r="E41" s="17">
        <v>1</v>
      </c>
      <c r="F41" s="17">
        <v>3</v>
      </c>
      <c r="G41" s="17">
        <v>1</v>
      </c>
      <c r="H41" s="16">
        <v>0</v>
      </c>
      <c r="I41" s="16">
        <v>0</v>
      </c>
      <c r="J41" s="16">
        <v>0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0</v>
      </c>
      <c r="Q41" s="17">
        <v>0</v>
      </c>
      <c r="R41" s="17">
        <v>0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6">
        <v>0</v>
      </c>
      <c r="Y41" s="16">
        <v>0</v>
      </c>
      <c r="Z41" s="16">
        <v>0</v>
      </c>
      <c r="AA41" s="16">
        <v>1</v>
      </c>
      <c r="AB41" s="16">
        <v>1</v>
      </c>
      <c r="AC41" s="16">
        <v>1</v>
      </c>
      <c r="AD41" s="16">
        <v>1</v>
      </c>
      <c r="AE41" s="16">
        <v>1</v>
      </c>
      <c r="AF41" s="17">
        <f t="shared" si="0"/>
        <v>0</v>
      </c>
      <c r="AG41" s="17">
        <f t="shared" si="1"/>
        <v>0.5</v>
      </c>
      <c r="AH41" s="17">
        <f t="shared" si="2"/>
        <v>1</v>
      </c>
      <c r="AI41" s="17">
        <f t="shared" si="3"/>
        <v>1</v>
      </c>
      <c r="AJ41" s="17">
        <v>0</v>
      </c>
      <c r="AK41" s="17">
        <v>0</v>
      </c>
      <c r="AL41" s="17">
        <v>0</v>
      </c>
      <c r="AM41" s="17">
        <v>2</v>
      </c>
      <c r="AN41" s="17">
        <v>18</v>
      </c>
      <c r="AO41" s="17">
        <v>1</v>
      </c>
      <c r="AP41" s="17">
        <v>1</v>
      </c>
    </row>
    <row r="42" spans="1:42" ht="14.25" customHeight="1" x14ac:dyDescent="0.35">
      <c r="A42" s="17">
        <v>15934</v>
      </c>
      <c r="B42" s="18" t="s">
        <v>61</v>
      </c>
      <c r="C42" s="19" t="s">
        <v>69</v>
      </c>
      <c r="D42" s="19" t="s">
        <v>62</v>
      </c>
      <c r="E42" s="17">
        <v>2</v>
      </c>
      <c r="F42" s="17">
        <v>3</v>
      </c>
      <c r="G42" s="17">
        <v>2</v>
      </c>
      <c r="H42" s="16">
        <v>1</v>
      </c>
      <c r="I42" s="16">
        <v>0</v>
      </c>
      <c r="J42" s="17" t="s">
        <v>67</v>
      </c>
      <c r="K42" s="16">
        <v>0</v>
      </c>
      <c r="L42" s="16">
        <v>1</v>
      </c>
      <c r="M42" s="16">
        <v>1</v>
      </c>
      <c r="N42" s="16">
        <v>1</v>
      </c>
      <c r="O42" s="17" t="s">
        <v>67</v>
      </c>
      <c r="P42" s="16">
        <v>1</v>
      </c>
      <c r="Q42" s="17">
        <v>0</v>
      </c>
      <c r="R42" s="17" t="s">
        <v>67</v>
      </c>
      <c r="S42" s="17">
        <v>0</v>
      </c>
      <c r="T42" s="17">
        <v>1</v>
      </c>
      <c r="U42" s="17">
        <v>1</v>
      </c>
      <c r="V42" s="17">
        <v>1</v>
      </c>
      <c r="W42" s="17" t="s">
        <v>67</v>
      </c>
      <c r="X42" s="16">
        <v>1</v>
      </c>
      <c r="Y42" s="16">
        <v>0</v>
      </c>
      <c r="Z42" s="16" t="s">
        <v>67</v>
      </c>
      <c r="AA42" s="16">
        <v>0</v>
      </c>
      <c r="AB42" s="16">
        <v>1</v>
      </c>
      <c r="AC42" s="16">
        <v>1</v>
      </c>
      <c r="AD42" s="16">
        <v>1</v>
      </c>
      <c r="AE42" s="16" t="s">
        <v>67</v>
      </c>
      <c r="AF42" s="17">
        <f t="shared" si="0"/>
        <v>0.5</v>
      </c>
      <c r="AG42" s="17">
        <f t="shared" si="1"/>
        <v>0</v>
      </c>
      <c r="AH42" s="17">
        <f t="shared" si="2"/>
        <v>1</v>
      </c>
      <c r="AI42" s="17">
        <f t="shared" si="3"/>
        <v>1</v>
      </c>
      <c r="AJ42" s="17">
        <v>0</v>
      </c>
      <c r="AK42" s="17">
        <v>0</v>
      </c>
      <c r="AL42" s="17">
        <v>0</v>
      </c>
      <c r="AM42" s="17">
        <v>1</v>
      </c>
      <c r="AN42" s="17">
        <v>21</v>
      </c>
      <c r="AO42" s="17">
        <v>1</v>
      </c>
      <c r="AP42" s="17">
        <v>1</v>
      </c>
    </row>
    <row r="43" spans="1:42" ht="14.25" customHeight="1" x14ac:dyDescent="0.35">
      <c r="A43" s="17">
        <v>14965</v>
      </c>
      <c r="B43" s="18" t="s">
        <v>61</v>
      </c>
      <c r="C43" s="19" t="s">
        <v>69</v>
      </c>
      <c r="D43" s="19" t="s">
        <v>62</v>
      </c>
      <c r="E43" s="17">
        <v>2</v>
      </c>
      <c r="F43" s="17">
        <v>2</v>
      </c>
      <c r="G43" s="17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6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7">
        <f t="shared" si="0"/>
        <v>1</v>
      </c>
      <c r="AG43" s="17">
        <f t="shared" si="1"/>
        <v>1</v>
      </c>
      <c r="AH43" s="17">
        <f t="shared" si="2"/>
        <v>1</v>
      </c>
      <c r="AI43" s="17">
        <f t="shared" si="3"/>
        <v>1</v>
      </c>
      <c r="AJ43" s="17">
        <v>0</v>
      </c>
      <c r="AK43" s="17">
        <v>0</v>
      </c>
      <c r="AL43" s="17">
        <v>0</v>
      </c>
      <c r="AM43" s="17">
        <v>1</v>
      </c>
      <c r="AN43" s="17">
        <v>18</v>
      </c>
      <c r="AO43" s="17">
        <v>1</v>
      </c>
      <c r="AP43" s="17">
        <v>1</v>
      </c>
    </row>
    <row r="44" spans="1:42" ht="14.25" customHeight="1" x14ac:dyDescent="0.35">
      <c r="A44" s="17">
        <v>16381</v>
      </c>
      <c r="B44" s="18" t="s">
        <v>61</v>
      </c>
      <c r="C44" s="19" t="s">
        <v>69</v>
      </c>
      <c r="D44" s="19" t="s">
        <v>62</v>
      </c>
      <c r="E44" s="17">
        <v>2</v>
      </c>
      <c r="F44" s="17">
        <v>1</v>
      </c>
      <c r="G44" s="17">
        <v>2</v>
      </c>
      <c r="H44" s="16">
        <v>0</v>
      </c>
      <c r="I44" s="16">
        <v>1</v>
      </c>
      <c r="J44" s="16">
        <v>1</v>
      </c>
      <c r="K44" s="16">
        <v>0</v>
      </c>
      <c r="L44" s="16">
        <v>1</v>
      </c>
      <c r="M44" s="16">
        <v>1</v>
      </c>
      <c r="N44" s="16">
        <v>1</v>
      </c>
      <c r="O44" s="16">
        <v>1</v>
      </c>
      <c r="P44" s="16">
        <v>0</v>
      </c>
      <c r="Q44" s="17">
        <v>1</v>
      </c>
      <c r="R44" s="17">
        <v>1</v>
      </c>
      <c r="S44" s="17">
        <v>0</v>
      </c>
      <c r="T44" s="17">
        <v>1</v>
      </c>
      <c r="U44" s="17">
        <v>1</v>
      </c>
      <c r="V44" s="17">
        <v>1</v>
      </c>
      <c r="W44" s="17">
        <v>1</v>
      </c>
      <c r="X44" s="16">
        <v>0</v>
      </c>
      <c r="Y44" s="16">
        <v>1</v>
      </c>
      <c r="Z44" s="16">
        <v>1</v>
      </c>
      <c r="AA44" s="16">
        <v>0</v>
      </c>
      <c r="AB44" s="16">
        <v>1</v>
      </c>
      <c r="AC44" s="16">
        <v>1</v>
      </c>
      <c r="AD44" s="16">
        <v>1</v>
      </c>
      <c r="AE44" s="16">
        <v>1</v>
      </c>
      <c r="AF44" s="17">
        <f t="shared" si="0"/>
        <v>0.5</v>
      </c>
      <c r="AG44" s="17">
        <f t="shared" si="1"/>
        <v>0.5</v>
      </c>
      <c r="AH44" s="17">
        <f t="shared" si="2"/>
        <v>1</v>
      </c>
      <c r="AI44" s="17">
        <f t="shared" si="3"/>
        <v>1</v>
      </c>
      <c r="AJ44" s="17">
        <v>0</v>
      </c>
      <c r="AK44" s="17">
        <v>0</v>
      </c>
      <c r="AL44" s="17">
        <v>0</v>
      </c>
      <c r="AM44" s="17">
        <v>1</v>
      </c>
      <c r="AN44" s="17">
        <v>20</v>
      </c>
      <c r="AO44" s="17">
        <v>1</v>
      </c>
      <c r="AP44" s="17">
        <v>1</v>
      </c>
    </row>
    <row r="45" spans="1:42" ht="14.25" customHeight="1" x14ac:dyDescent="0.35">
      <c r="A45" s="17">
        <v>14632</v>
      </c>
      <c r="B45" s="18" t="s">
        <v>61</v>
      </c>
      <c r="C45" s="19" t="s">
        <v>69</v>
      </c>
      <c r="D45" s="19" t="s">
        <v>62</v>
      </c>
      <c r="E45" s="17">
        <v>2</v>
      </c>
      <c r="F45" s="17">
        <v>1</v>
      </c>
      <c r="G45" s="17">
        <v>1</v>
      </c>
      <c r="H45" s="16">
        <v>0</v>
      </c>
      <c r="I45" s="16">
        <v>1</v>
      </c>
      <c r="J45" s="16">
        <v>0</v>
      </c>
      <c r="K45" s="16">
        <v>0</v>
      </c>
      <c r="L45" s="16">
        <v>1</v>
      </c>
      <c r="M45" s="16">
        <v>1</v>
      </c>
      <c r="N45" s="16">
        <v>1</v>
      </c>
      <c r="O45" s="16">
        <v>1</v>
      </c>
      <c r="P45" s="16">
        <v>0</v>
      </c>
      <c r="Q45" s="17">
        <v>1</v>
      </c>
      <c r="R45" s="17">
        <v>0</v>
      </c>
      <c r="S45" s="17">
        <v>0</v>
      </c>
      <c r="T45" s="17">
        <v>1</v>
      </c>
      <c r="U45" s="17">
        <v>1</v>
      </c>
      <c r="V45" s="17">
        <v>1</v>
      </c>
      <c r="W45" s="17">
        <v>1</v>
      </c>
      <c r="X45" s="17">
        <v>0</v>
      </c>
      <c r="Y45" s="17">
        <v>1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1</v>
      </c>
      <c r="AF45" s="17">
        <f t="shared" si="0"/>
        <v>0.5</v>
      </c>
      <c r="AG45" s="17">
        <f t="shared" si="1"/>
        <v>0</v>
      </c>
      <c r="AH45" s="17">
        <f t="shared" si="2"/>
        <v>1</v>
      </c>
      <c r="AI45" s="17">
        <f t="shared" si="3"/>
        <v>1</v>
      </c>
      <c r="AJ45" s="17">
        <v>0</v>
      </c>
      <c r="AK45" s="17">
        <v>0</v>
      </c>
      <c r="AL45" s="17">
        <v>0</v>
      </c>
      <c r="AM45" s="17">
        <v>1</v>
      </c>
      <c r="AN45" s="17">
        <v>18</v>
      </c>
      <c r="AO45" s="17">
        <v>1</v>
      </c>
      <c r="AP45" s="17">
        <v>1</v>
      </c>
    </row>
    <row r="46" spans="1:42" ht="14.25" customHeight="1" x14ac:dyDescent="0.35">
      <c r="A46" s="17">
        <v>15151</v>
      </c>
      <c r="B46" s="18" t="s">
        <v>61</v>
      </c>
      <c r="C46" s="19" t="s">
        <v>69</v>
      </c>
      <c r="D46" s="19" t="s">
        <v>62</v>
      </c>
      <c r="E46" s="17">
        <v>1</v>
      </c>
      <c r="F46" s="17">
        <v>4</v>
      </c>
      <c r="G46" s="17">
        <v>2</v>
      </c>
      <c r="H46" s="16">
        <v>0</v>
      </c>
      <c r="I46" s="16">
        <v>1</v>
      </c>
      <c r="J46" s="16">
        <v>1</v>
      </c>
      <c r="K46" s="16">
        <v>0</v>
      </c>
      <c r="L46" s="16">
        <v>1</v>
      </c>
      <c r="M46" s="16">
        <v>1</v>
      </c>
      <c r="N46" s="16">
        <v>1</v>
      </c>
      <c r="O46" s="16">
        <v>1</v>
      </c>
      <c r="P46" s="16">
        <v>0</v>
      </c>
      <c r="Q46" s="17">
        <v>1</v>
      </c>
      <c r="R46" s="17">
        <v>1</v>
      </c>
      <c r="S46" s="17">
        <v>0</v>
      </c>
      <c r="T46" s="17">
        <v>1</v>
      </c>
      <c r="U46" s="17">
        <v>1</v>
      </c>
      <c r="V46" s="17">
        <v>1</v>
      </c>
      <c r="W46" s="17">
        <v>1</v>
      </c>
      <c r="X46" s="16">
        <v>0</v>
      </c>
      <c r="Y46" s="16">
        <v>1</v>
      </c>
      <c r="Z46" s="16">
        <v>1</v>
      </c>
      <c r="AA46" s="16">
        <v>0</v>
      </c>
      <c r="AB46" s="16">
        <v>1</v>
      </c>
      <c r="AC46" s="16">
        <v>1</v>
      </c>
      <c r="AD46" s="16">
        <v>1</v>
      </c>
      <c r="AE46" s="16">
        <v>1</v>
      </c>
      <c r="AF46" s="17">
        <f t="shared" si="0"/>
        <v>0.5</v>
      </c>
      <c r="AG46" s="17">
        <f t="shared" si="1"/>
        <v>0.5</v>
      </c>
      <c r="AH46" s="17">
        <f t="shared" si="2"/>
        <v>1</v>
      </c>
      <c r="AI46" s="17">
        <f t="shared" si="3"/>
        <v>1</v>
      </c>
      <c r="AJ46" s="17">
        <v>0</v>
      </c>
      <c r="AK46" s="17">
        <v>0</v>
      </c>
      <c r="AL46" s="17">
        <v>0</v>
      </c>
      <c r="AM46" s="17">
        <v>1</v>
      </c>
      <c r="AN46" s="17">
        <v>18</v>
      </c>
      <c r="AO46" s="17">
        <v>1</v>
      </c>
      <c r="AP46" s="17">
        <v>1</v>
      </c>
    </row>
    <row r="47" spans="1:42" ht="13.5" customHeight="1" x14ac:dyDescent="0.35">
      <c r="A47" s="17">
        <v>16108</v>
      </c>
      <c r="B47" s="18" t="s">
        <v>61</v>
      </c>
      <c r="C47" s="19" t="s">
        <v>69</v>
      </c>
      <c r="D47" s="19" t="s">
        <v>62</v>
      </c>
      <c r="E47" s="17">
        <v>1</v>
      </c>
      <c r="F47" s="17">
        <v>1</v>
      </c>
      <c r="G47" s="17">
        <v>1</v>
      </c>
      <c r="H47" s="16">
        <v>1</v>
      </c>
      <c r="I47" s="16">
        <v>0</v>
      </c>
      <c r="J47" s="16">
        <v>0</v>
      </c>
      <c r="K47" s="16">
        <v>0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7">
        <v>0</v>
      </c>
      <c r="R47" s="17">
        <v>0</v>
      </c>
      <c r="S47" s="17">
        <v>0</v>
      </c>
      <c r="T47" s="17">
        <v>1</v>
      </c>
      <c r="U47" s="17">
        <v>1</v>
      </c>
      <c r="V47" s="17">
        <v>1</v>
      </c>
      <c r="W47" s="17">
        <v>1</v>
      </c>
      <c r="X47" s="16">
        <v>1</v>
      </c>
      <c r="Y47" s="16">
        <v>0</v>
      </c>
      <c r="Z47" s="16">
        <v>0</v>
      </c>
      <c r="AA47" s="16">
        <v>0</v>
      </c>
      <c r="AB47" s="16">
        <v>1</v>
      </c>
      <c r="AC47" s="16">
        <v>1</v>
      </c>
      <c r="AD47" s="16">
        <v>1</v>
      </c>
      <c r="AE47" s="16">
        <v>1</v>
      </c>
      <c r="AF47" s="17">
        <f t="shared" si="0"/>
        <v>0.5</v>
      </c>
      <c r="AG47" s="17">
        <f t="shared" si="1"/>
        <v>0</v>
      </c>
      <c r="AH47" s="17">
        <f t="shared" si="2"/>
        <v>1</v>
      </c>
      <c r="AI47" s="17">
        <f t="shared" si="3"/>
        <v>1</v>
      </c>
      <c r="AJ47" s="17">
        <v>0</v>
      </c>
      <c r="AK47" s="17">
        <v>0</v>
      </c>
      <c r="AL47" s="17">
        <v>0</v>
      </c>
      <c r="AM47" s="17">
        <v>2</v>
      </c>
      <c r="AN47" s="17">
        <v>19</v>
      </c>
      <c r="AO47" s="17">
        <v>1</v>
      </c>
      <c r="AP47" s="17">
        <v>1</v>
      </c>
    </row>
    <row r="48" spans="1:42" ht="14.25" customHeight="1" x14ac:dyDescent="0.35">
      <c r="A48" s="17">
        <v>15688</v>
      </c>
      <c r="B48" s="18" t="s">
        <v>61</v>
      </c>
      <c r="C48" s="19" t="s">
        <v>69</v>
      </c>
      <c r="D48" s="19" t="s">
        <v>62</v>
      </c>
      <c r="E48" s="17">
        <v>1</v>
      </c>
      <c r="F48" s="17">
        <v>2</v>
      </c>
      <c r="G48" s="17">
        <v>1</v>
      </c>
      <c r="H48" s="16">
        <v>0</v>
      </c>
      <c r="I48" s="16">
        <v>0</v>
      </c>
      <c r="J48" s="16">
        <v>0</v>
      </c>
      <c r="K48" s="16">
        <v>0</v>
      </c>
      <c r="L48" s="16">
        <v>1</v>
      </c>
      <c r="M48" s="16">
        <v>1</v>
      </c>
      <c r="N48" s="16">
        <v>1</v>
      </c>
      <c r="O48" s="16">
        <v>1</v>
      </c>
      <c r="P48" s="16">
        <v>0</v>
      </c>
      <c r="Q48" s="17">
        <v>0</v>
      </c>
      <c r="R48" s="17">
        <v>0</v>
      </c>
      <c r="S48" s="17">
        <v>0</v>
      </c>
      <c r="T48" s="17">
        <v>1</v>
      </c>
      <c r="U48" s="17">
        <v>1</v>
      </c>
      <c r="V48" s="17">
        <v>1</v>
      </c>
      <c r="W48" s="17">
        <v>1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1</v>
      </c>
      <c r="AD48" s="16">
        <v>1</v>
      </c>
      <c r="AE48" s="16">
        <v>1</v>
      </c>
      <c r="AF48" s="17">
        <f t="shared" si="0"/>
        <v>0</v>
      </c>
      <c r="AG48" s="17">
        <f t="shared" si="1"/>
        <v>0</v>
      </c>
      <c r="AH48" s="17">
        <f t="shared" si="2"/>
        <v>1</v>
      </c>
      <c r="AI48" s="17">
        <f t="shared" si="3"/>
        <v>1</v>
      </c>
      <c r="AJ48" s="17">
        <v>0</v>
      </c>
      <c r="AK48" s="17">
        <v>0</v>
      </c>
      <c r="AL48" s="17">
        <v>0</v>
      </c>
      <c r="AM48" s="17">
        <v>2</v>
      </c>
      <c r="AN48" s="17">
        <v>18</v>
      </c>
      <c r="AO48" s="17">
        <v>1</v>
      </c>
      <c r="AP48" s="17">
        <v>1</v>
      </c>
    </row>
    <row r="49" spans="1:42" ht="14.25" customHeight="1" x14ac:dyDescent="0.35">
      <c r="A49" s="17">
        <v>16213</v>
      </c>
      <c r="B49" s="18" t="s">
        <v>61</v>
      </c>
      <c r="C49" s="19" t="s">
        <v>69</v>
      </c>
      <c r="D49" s="19" t="s">
        <v>62</v>
      </c>
      <c r="E49" s="17">
        <v>2</v>
      </c>
      <c r="F49" s="17">
        <v>1</v>
      </c>
      <c r="G49" s="17">
        <v>2</v>
      </c>
      <c r="H49" s="16">
        <v>1</v>
      </c>
      <c r="I49" s="16">
        <v>1</v>
      </c>
      <c r="J49" s="16">
        <v>0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7">
        <v>1</v>
      </c>
      <c r="R49" s="17">
        <v>0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0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f t="shared" si="0"/>
        <v>1</v>
      </c>
      <c r="AG49" s="17">
        <f t="shared" si="1"/>
        <v>0.5</v>
      </c>
      <c r="AH49" s="17">
        <f t="shared" si="2"/>
        <v>1</v>
      </c>
      <c r="AI49" s="17">
        <f t="shared" si="3"/>
        <v>1</v>
      </c>
      <c r="AJ49" s="17">
        <v>0</v>
      </c>
      <c r="AK49" s="17">
        <v>0</v>
      </c>
      <c r="AL49" s="17">
        <v>0</v>
      </c>
      <c r="AM49" s="17">
        <v>1</v>
      </c>
      <c r="AN49" s="17">
        <v>19</v>
      </c>
      <c r="AO49" s="17">
        <v>2</v>
      </c>
      <c r="AP49" s="17">
        <v>1</v>
      </c>
    </row>
    <row r="50" spans="1:42" ht="14.25" customHeight="1" x14ac:dyDescent="0.35">
      <c r="A50" s="17">
        <v>15154</v>
      </c>
      <c r="B50" s="18" t="s">
        <v>61</v>
      </c>
      <c r="C50" s="19" t="s">
        <v>69</v>
      </c>
      <c r="D50" s="19" t="s">
        <v>62</v>
      </c>
      <c r="E50" s="17">
        <v>1</v>
      </c>
      <c r="F50" s="17">
        <v>3</v>
      </c>
      <c r="G50" s="17">
        <v>1</v>
      </c>
      <c r="H50" s="16">
        <v>0</v>
      </c>
      <c r="I50" s="16">
        <v>0</v>
      </c>
      <c r="J50" s="16">
        <v>1</v>
      </c>
      <c r="K50" s="16">
        <v>0</v>
      </c>
      <c r="L50" s="16">
        <v>1</v>
      </c>
      <c r="M50" s="16">
        <v>1</v>
      </c>
      <c r="N50" s="16">
        <v>1</v>
      </c>
      <c r="O50" s="16">
        <v>1</v>
      </c>
      <c r="P50" s="16">
        <v>0</v>
      </c>
      <c r="Q50" s="17">
        <v>0</v>
      </c>
      <c r="R50" s="17">
        <v>1</v>
      </c>
      <c r="S50" s="17">
        <v>0</v>
      </c>
      <c r="T50" s="17">
        <v>1</v>
      </c>
      <c r="U50" s="17">
        <v>1</v>
      </c>
      <c r="V50" s="17">
        <v>1</v>
      </c>
      <c r="W50" s="17">
        <v>1</v>
      </c>
      <c r="X50" s="16">
        <v>0</v>
      </c>
      <c r="Y50" s="16">
        <v>0</v>
      </c>
      <c r="Z50" s="16">
        <v>1</v>
      </c>
      <c r="AA50" s="16">
        <v>0</v>
      </c>
      <c r="AB50" s="16">
        <v>1</v>
      </c>
      <c r="AC50" s="16">
        <v>1</v>
      </c>
      <c r="AD50" s="16">
        <v>1</v>
      </c>
      <c r="AE50" s="16">
        <v>1</v>
      </c>
      <c r="AF50" s="17">
        <f t="shared" si="0"/>
        <v>0</v>
      </c>
      <c r="AG50" s="17">
        <f t="shared" si="1"/>
        <v>0.5</v>
      </c>
      <c r="AH50" s="17">
        <f t="shared" si="2"/>
        <v>1</v>
      </c>
      <c r="AI50" s="17">
        <f t="shared" si="3"/>
        <v>1</v>
      </c>
      <c r="AJ50" s="17">
        <v>0</v>
      </c>
      <c r="AK50" s="17">
        <v>0</v>
      </c>
      <c r="AL50" s="17">
        <v>0</v>
      </c>
      <c r="AM50" s="17">
        <v>2</v>
      </c>
      <c r="AN50" s="17">
        <v>22</v>
      </c>
      <c r="AO50" s="17">
        <v>1</v>
      </c>
      <c r="AP50" s="17">
        <v>1</v>
      </c>
    </row>
    <row r="51" spans="1:42" ht="14.25" customHeight="1" x14ac:dyDescent="0.35">
      <c r="A51" s="17">
        <v>15652</v>
      </c>
      <c r="B51" s="18" t="s">
        <v>61</v>
      </c>
      <c r="C51" s="19" t="s">
        <v>69</v>
      </c>
      <c r="D51" s="19" t="s">
        <v>62</v>
      </c>
      <c r="E51" s="17">
        <v>1</v>
      </c>
      <c r="F51" s="17">
        <v>2</v>
      </c>
      <c r="G51" s="17">
        <v>2</v>
      </c>
      <c r="H51" s="16">
        <v>1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7">
        <v>0</v>
      </c>
      <c r="R51" s="17">
        <v>1</v>
      </c>
      <c r="S51" s="17">
        <v>0</v>
      </c>
      <c r="T51" s="17">
        <v>1</v>
      </c>
      <c r="U51" s="17">
        <v>1</v>
      </c>
      <c r="V51" s="17">
        <v>1</v>
      </c>
      <c r="W51" s="17">
        <v>1</v>
      </c>
      <c r="X51" s="16">
        <v>1</v>
      </c>
      <c r="Y51" s="16">
        <v>0</v>
      </c>
      <c r="Z51" s="16">
        <v>1</v>
      </c>
      <c r="AA51" s="16">
        <v>0</v>
      </c>
      <c r="AB51" s="16">
        <v>1</v>
      </c>
      <c r="AC51" s="16">
        <v>1</v>
      </c>
      <c r="AD51" s="16">
        <v>1</v>
      </c>
      <c r="AE51" s="16">
        <v>1</v>
      </c>
      <c r="AF51" s="17">
        <f t="shared" si="0"/>
        <v>0.5</v>
      </c>
      <c r="AG51" s="17">
        <f t="shared" si="1"/>
        <v>0.5</v>
      </c>
      <c r="AH51" s="17">
        <f t="shared" si="2"/>
        <v>1</v>
      </c>
      <c r="AI51" s="17">
        <f t="shared" si="3"/>
        <v>1</v>
      </c>
      <c r="AJ51" s="17">
        <v>0</v>
      </c>
      <c r="AK51" s="17">
        <v>0</v>
      </c>
      <c r="AL51" s="17">
        <v>0</v>
      </c>
      <c r="AM51" s="17">
        <v>2</v>
      </c>
      <c r="AN51" s="17">
        <v>18</v>
      </c>
      <c r="AO51" s="17">
        <v>1</v>
      </c>
      <c r="AP51" s="17">
        <v>1</v>
      </c>
    </row>
    <row r="52" spans="1:42" ht="14.25" customHeight="1" x14ac:dyDescent="0.35">
      <c r="A52" s="17">
        <v>14728</v>
      </c>
      <c r="B52" s="18" t="s">
        <v>61</v>
      </c>
      <c r="C52" s="19" t="s">
        <v>69</v>
      </c>
      <c r="D52" s="19" t="s">
        <v>62</v>
      </c>
      <c r="E52" s="17">
        <v>1</v>
      </c>
      <c r="F52" s="17">
        <v>2</v>
      </c>
      <c r="G52" s="17">
        <v>1</v>
      </c>
      <c r="H52" s="16">
        <v>0</v>
      </c>
      <c r="I52" s="16">
        <v>0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0</v>
      </c>
      <c r="Q52" s="17">
        <v>0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6">
        <v>0</v>
      </c>
      <c r="Y52" s="16">
        <v>0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7">
        <f t="shared" si="0"/>
        <v>0</v>
      </c>
      <c r="AG52" s="17">
        <f t="shared" si="1"/>
        <v>1</v>
      </c>
      <c r="AH52" s="17">
        <f t="shared" si="2"/>
        <v>1</v>
      </c>
      <c r="AI52" s="17">
        <f t="shared" si="3"/>
        <v>1</v>
      </c>
      <c r="AJ52" s="17">
        <v>0</v>
      </c>
      <c r="AK52" s="17">
        <v>0</v>
      </c>
      <c r="AL52" s="17">
        <v>0</v>
      </c>
      <c r="AM52" s="17">
        <v>2</v>
      </c>
      <c r="AN52" s="17">
        <v>20</v>
      </c>
      <c r="AO52" s="17">
        <v>1</v>
      </c>
      <c r="AP52" s="17">
        <v>1</v>
      </c>
    </row>
    <row r="53" spans="1:42" ht="14.25" customHeight="1" x14ac:dyDescent="0.35">
      <c r="A53" s="17">
        <v>15979</v>
      </c>
      <c r="B53" s="18" t="s">
        <v>61</v>
      </c>
      <c r="C53" s="19" t="s">
        <v>69</v>
      </c>
      <c r="D53" s="19" t="s">
        <v>62</v>
      </c>
      <c r="E53" s="17">
        <v>1</v>
      </c>
      <c r="F53" s="17">
        <v>1</v>
      </c>
      <c r="G53" s="17">
        <v>2</v>
      </c>
      <c r="H53" s="16">
        <v>0</v>
      </c>
      <c r="I53" s="16">
        <v>0</v>
      </c>
      <c r="J53" s="17">
        <v>0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0</v>
      </c>
      <c r="Q53" s="17">
        <v>0</v>
      </c>
      <c r="R53" s="17">
        <v>0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0</v>
      </c>
      <c r="Y53" s="17">
        <v>0</v>
      </c>
      <c r="Z53" s="17">
        <v>0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f t="shared" si="0"/>
        <v>0</v>
      </c>
      <c r="AG53" s="17">
        <f t="shared" si="1"/>
        <v>0.5</v>
      </c>
      <c r="AH53" s="17">
        <f t="shared" si="2"/>
        <v>1</v>
      </c>
      <c r="AI53" s="17">
        <f t="shared" si="3"/>
        <v>1</v>
      </c>
      <c r="AJ53" s="17">
        <v>0</v>
      </c>
      <c r="AK53" s="17">
        <v>0</v>
      </c>
      <c r="AL53" s="17">
        <v>0</v>
      </c>
      <c r="AM53" s="17">
        <v>2</v>
      </c>
      <c r="AN53" s="17">
        <v>19</v>
      </c>
      <c r="AO53" s="17">
        <v>2</v>
      </c>
      <c r="AP53" s="17">
        <v>1</v>
      </c>
    </row>
    <row r="54" spans="1:42" ht="14.25" customHeight="1" x14ac:dyDescent="0.35">
      <c r="A54" s="17">
        <v>15202</v>
      </c>
      <c r="B54" s="18" t="s">
        <v>61</v>
      </c>
      <c r="C54" s="19" t="s">
        <v>69</v>
      </c>
      <c r="D54" s="19" t="s">
        <v>62</v>
      </c>
      <c r="E54" s="17">
        <v>1</v>
      </c>
      <c r="F54" s="17">
        <v>1</v>
      </c>
      <c r="G54" s="17">
        <v>1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1</v>
      </c>
      <c r="N54" s="16">
        <v>1</v>
      </c>
      <c r="O54" s="16">
        <v>1</v>
      </c>
      <c r="P54" s="16">
        <v>0</v>
      </c>
      <c r="Q54" s="17">
        <v>0</v>
      </c>
      <c r="R54" s="17">
        <v>0</v>
      </c>
      <c r="S54" s="17">
        <v>0</v>
      </c>
      <c r="T54" s="17">
        <v>1</v>
      </c>
      <c r="U54" s="17">
        <v>1</v>
      </c>
      <c r="V54" s="17">
        <v>1</v>
      </c>
      <c r="W54" s="17">
        <v>1</v>
      </c>
      <c r="X54" s="16">
        <v>0</v>
      </c>
      <c r="Y54" s="16">
        <v>0</v>
      </c>
      <c r="Z54" s="16">
        <v>0</v>
      </c>
      <c r="AA54" s="16">
        <v>0</v>
      </c>
      <c r="AB54" s="16">
        <v>1</v>
      </c>
      <c r="AC54" s="16">
        <v>1</v>
      </c>
      <c r="AD54" s="16">
        <v>1</v>
      </c>
      <c r="AE54" s="16">
        <v>1</v>
      </c>
      <c r="AF54" s="17">
        <f t="shared" si="0"/>
        <v>0</v>
      </c>
      <c r="AG54" s="17">
        <f t="shared" si="1"/>
        <v>0</v>
      </c>
      <c r="AH54" s="17">
        <f t="shared" si="2"/>
        <v>1</v>
      </c>
      <c r="AI54" s="17">
        <f t="shared" si="3"/>
        <v>1</v>
      </c>
      <c r="AJ54" s="17">
        <v>0</v>
      </c>
      <c r="AK54" s="17">
        <v>0</v>
      </c>
      <c r="AL54" s="17">
        <v>0</v>
      </c>
      <c r="AM54" s="17">
        <v>2</v>
      </c>
      <c r="AN54" s="17">
        <v>19</v>
      </c>
      <c r="AO54" s="17">
        <v>1</v>
      </c>
      <c r="AP54" s="17">
        <v>1</v>
      </c>
    </row>
    <row r="55" spans="1:42" ht="14.25" customHeight="1" x14ac:dyDescent="0.35">
      <c r="A55" s="17">
        <v>16348</v>
      </c>
      <c r="B55" s="18" t="s">
        <v>61</v>
      </c>
      <c r="C55" s="19" t="s">
        <v>69</v>
      </c>
      <c r="D55" s="19" t="s">
        <v>62</v>
      </c>
      <c r="E55" s="17">
        <v>2</v>
      </c>
      <c r="F55" s="17">
        <v>2</v>
      </c>
      <c r="G55" s="17">
        <v>1</v>
      </c>
      <c r="H55" s="16">
        <v>0</v>
      </c>
      <c r="I55" s="16">
        <v>0</v>
      </c>
      <c r="J55" s="16">
        <v>1</v>
      </c>
      <c r="K55" s="16">
        <v>0</v>
      </c>
      <c r="L55" s="16">
        <v>1</v>
      </c>
      <c r="M55" s="16">
        <v>1</v>
      </c>
      <c r="N55" s="16">
        <v>1</v>
      </c>
      <c r="O55" s="16">
        <v>1</v>
      </c>
      <c r="P55" s="16">
        <v>0</v>
      </c>
      <c r="Q55" s="17">
        <v>0</v>
      </c>
      <c r="R55" s="17">
        <v>1</v>
      </c>
      <c r="S55" s="17">
        <v>0</v>
      </c>
      <c r="T55" s="17">
        <v>1</v>
      </c>
      <c r="U55" s="17">
        <v>1</v>
      </c>
      <c r="V55" s="17">
        <v>1</v>
      </c>
      <c r="W55" s="17">
        <v>1</v>
      </c>
      <c r="X55" s="16">
        <v>0</v>
      </c>
      <c r="Y55" s="16">
        <v>0</v>
      </c>
      <c r="Z55" s="16">
        <v>1</v>
      </c>
      <c r="AA55" s="16">
        <v>0</v>
      </c>
      <c r="AB55" s="16">
        <v>1</v>
      </c>
      <c r="AC55" s="16">
        <v>1</v>
      </c>
      <c r="AD55" s="16">
        <v>1</v>
      </c>
      <c r="AE55" s="16">
        <v>1</v>
      </c>
      <c r="AF55" s="17">
        <f t="shared" si="0"/>
        <v>0</v>
      </c>
      <c r="AG55" s="17">
        <f t="shared" si="1"/>
        <v>0.5</v>
      </c>
      <c r="AH55" s="17">
        <f t="shared" si="2"/>
        <v>1</v>
      </c>
      <c r="AI55" s="17">
        <f t="shared" si="3"/>
        <v>1</v>
      </c>
      <c r="AJ55" s="17">
        <v>0</v>
      </c>
      <c r="AK55" s="17">
        <v>0</v>
      </c>
      <c r="AL55" s="17">
        <v>0</v>
      </c>
      <c r="AM55" s="17">
        <v>1</v>
      </c>
      <c r="AN55" s="17">
        <v>20</v>
      </c>
      <c r="AO55" s="17">
        <v>1</v>
      </c>
      <c r="AP55" s="17">
        <v>1</v>
      </c>
    </row>
    <row r="56" spans="1:42" ht="14.25" customHeight="1" x14ac:dyDescent="0.35">
      <c r="A56" s="17">
        <v>15052</v>
      </c>
      <c r="B56" s="18" t="s">
        <v>61</v>
      </c>
      <c r="C56" s="19" t="s">
        <v>69</v>
      </c>
      <c r="D56" s="19" t="s">
        <v>62</v>
      </c>
      <c r="E56" s="17">
        <v>2</v>
      </c>
      <c r="F56" s="17">
        <v>2</v>
      </c>
      <c r="G56" s="17">
        <v>1</v>
      </c>
      <c r="H56" s="16">
        <v>0</v>
      </c>
      <c r="I56" s="16">
        <v>1</v>
      </c>
      <c r="J56" s="16">
        <v>0</v>
      </c>
      <c r="K56" s="16">
        <v>0</v>
      </c>
      <c r="L56" s="16">
        <v>1</v>
      </c>
      <c r="M56" s="16">
        <v>1</v>
      </c>
      <c r="N56" s="16">
        <v>1</v>
      </c>
      <c r="O56" s="16">
        <v>1</v>
      </c>
      <c r="P56" s="16">
        <v>0</v>
      </c>
      <c r="Q56" s="17">
        <v>1</v>
      </c>
      <c r="R56" s="17">
        <v>0</v>
      </c>
      <c r="S56" s="17">
        <v>0</v>
      </c>
      <c r="T56" s="17">
        <v>1</v>
      </c>
      <c r="U56" s="17">
        <v>1</v>
      </c>
      <c r="V56" s="17">
        <v>1</v>
      </c>
      <c r="W56" s="17">
        <v>1</v>
      </c>
      <c r="X56" s="16">
        <v>0</v>
      </c>
      <c r="Y56" s="16">
        <v>1</v>
      </c>
      <c r="Z56" s="16">
        <v>0</v>
      </c>
      <c r="AA56" s="16">
        <v>0</v>
      </c>
      <c r="AB56" s="16">
        <v>1</v>
      </c>
      <c r="AC56" s="16">
        <v>1</v>
      </c>
      <c r="AD56" s="16">
        <v>1</v>
      </c>
      <c r="AE56" s="16">
        <v>1</v>
      </c>
      <c r="AF56" s="17">
        <f t="shared" si="0"/>
        <v>0.5</v>
      </c>
      <c r="AG56" s="17">
        <f t="shared" si="1"/>
        <v>0</v>
      </c>
      <c r="AH56" s="17">
        <f t="shared" si="2"/>
        <v>1</v>
      </c>
      <c r="AI56" s="17">
        <f t="shared" si="3"/>
        <v>1</v>
      </c>
      <c r="AJ56" s="17">
        <v>0</v>
      </c>
      <c r="AK56" s="17">
        <v>0</v>
      </c>
      <c r="AL56" s="17">
        <v>0</v>
      </c>
      <c r="AM56" s="17">
        <v>1</v>
      </c>
      <c r="AN56" s="17">
        <v>18</v>
      </c>
      <c r="AO56" s="17">
        <v>1</v>
      </c>
      <c r="AP56" s="17">
        <v>1</v>
      </c>
    </row>
    <row r="57" spans="1:42" ht="14.25" customHeight="1" x14ac:dyDescent="0.35">
      <c r="A57" s="17">
        <v>15706</v>
      </c>
      <c r="B57" s="18" t="s">
        <v>61</v>
      </c>
      <c r="C57" s="19" t="s">
        <v>69</v>
      </c>
      <c r="D57" s="19" t="s">
        <v>62</v>
      </c>
      <c r="E57" s="17">
        <v>1</v>
      </c>
      <c r="F57" s="17">
        <v>4</v>
      </c>
      <c r="G57" s="17">
        <v>2</v>
      </c>
      <c r="H57" s="16">
        <v>0</v>
      </c>
      <c r="I57" s="16">
        <v>0</v>
      </c>
      <c r="J57" s="16">
        <v>1</v>
      </c>
      <c r="K57" s="16">
        <v>0</v>
      </c>
      <c r="L57" s="16">
        <v>1</v>
      </c>
      <c r="M57" s="16">
        <v>1</v>
      </c>
      <c r="N57" s="16">
        <v>1</v>
      </c>
      <c r="O57" s="16">
        <v>1</v>
      </c>
      <c r="P57" s="16">
        <v>0</v>
      </c>
      <c r="Q57" s="17">
        <v>0</v>
      </c>
      <c r="R57" s="17">
        <v>1</v>
      </c>
      <c r="S57" s="17">
        <v>0</v>
      </c>
      <c r="T57" s="17">
        <v>1</v>
      </c>
      <c r="U57" s="17">
        <v>1</v>
      </c>
      <c r="V57" s="17">
        <v>1</v>
      </c>
      <c r="W57" s="17">
        <v>1</v>
      </c>
      <c r="X57" s="16">
        <v>0</v>
      </c>
      <c r="Y57" s="16">
        <v>0</v>
      </c>
      <c r="Z57" s="16">
        <v>1</v>
      </c>
      <c r="AA57" s="16">
        <v>0</v>
      </c>
      <c r="AB57" s="16">
        <v>1</v>
      </c>
      <c r="AC57" s="16">
        <v>1</v>
      </c>
      <c r="AD57" s="16">
        <v>1</v>
      </c>
      <c r="AE57" s="16">
        <v>1</v>
      </c>
      <c r="AF57" s="17">
        <f t="shared" si="0"/>
        <v>0</v>
      </c>
      <c r="AG57" s="17">
        <f t="shared" si="1"/>
        <v>0.5</v>
      </c>
      <c r="AH57" s="17">
        <f t="shared" si="2"/>
        <v>1</v>
      </c>
      <c r="AI57" s="17">
        <f t="shared" si="3"/>
        <v>1</v>
      </c>
      <c r="AJ57" s="17">
        <v>0</v>
      </c>
      <c r="AK57" s="17">
        <v>0</v>
      </c>
      <c r="AL57" s="17">
        <v>0</v>
      </c>
      <c r="AM57" s="17">
        <v>2</v>
      </c>
      <c r="AN57" s="17">
        <v>18</v>
      </c>
      <c r="AO57" s="17">
        <v>1</v>
      </c>
      <c r="AP57" s="17">
        <v>1</v>
      </c>
    </row>
    <row r="58" spans="1:42" ht="14.25" customHeight="1" x14ac:dyDescent="0.35">
      <c r="A58" s="17">
        <v>15070</v>
      </c>
      <c r="B58" s="18" t="s">
        <v>61</v>
      </c>
      <c r="C58" s="19" t="s">
        <v>69</v>
      </c>
      <c r="D58" s="19" t="s">
        <v>62</v>
      </c>
      <c r="E58" s="17">
        <v>1</v>
      </c>
      <c r="F58" s="17">
        <v>3</v>
      </c>
      <c r="G58" s="17">
        <v>1</v>
      </c>
      <c r="H58" s="16">
        <v>0</v>
      </c>
      <c r="I58" s="16">
        <v>1</v>
      </c>
      <c r="J58" s="16">
        <v>0</v>
      </c>
      <c r="K58" s="16">
        <v>0</v>
      </c>
      <c r="L58" s="16">
        <v>1</v>
      </c>
      <c r="M58" s="16">
        <v>1</v>
      </c>
      <c r="N58" s="16">
        <v>1</v>
      </c>
      <c r="O58" s="16">
        <v>1</v>
      </c>
      <c r="P58" s="16">
        <v>0</v>
      </c>
      <c r="Q58" s="17">
        <v>1</v>
      </c>
      <c r="R58" s="17">
        <v>0</v>
      </c>
      <c r="S58" s="17">
        <v>0</v>
      </c>
      <c r="T58" s="17">
        <v>1</v>
      </c>
      <c r="U58" s="17">
        <v>1</v>
      </c>
      <c r="V58" s="17">
        <v>1</v>
      </c>
      <c r="W58" s="17">
        <v>1</v>
      </c>
      <c r="X58" s="16">
        <v>0</v>
      </c>
      <c r="Y58" s="16">
        <v>1</v>
      </c>
      <c r="Z58" s="16">
        <v>0</v>
      </c>
      <c r="AA58" s="16">
        <v>0</v>
      </c>
      <c r="AB58" s="16">
        <v>1</v>
      </c>
      <c r="AC58" s="16">
        <v>1</v>
      </c>
      <c r="AD58" s="16">
        <v>1</v>
      </c>
      <c r="AE58" s="16">
        <v>1</v>
      </c>
      <c r="AF58" s="17">
        <f t="shared" si="0"/>
        <v>0.5</v>
      </c>
      <c r="AG58" s="17">
        <f t="shared" si="1"/>
        <v>0</v>
      </c>
      <c r="AH58" s="17">
        <f t="shared" si="2"/>
        <v>1</v>
      </c>
      <c r="AI58" s="17">
        <f t="shared" si="3"/>
        <v>1</v>
      </c>
      <c r="AJ58" s="17">
        <v>0</v>
      </c>
      <c r="AK58" s="17">
        <v>0</v>
      </c>
      <c r="AL58" s="17">
        <v>0</v>
      </c>
      <c r="AM58" s="17">
        <v>2</v>
      </c>
      <c r="AN58" s="17">
        <v>18</v>
      </c>
      <c r="AO58" s="17">
        <v>1</v>
      </c>
      <c r="AP58" s="17">
        <v>1</v>
      </c>
    </row>
    <row r="59" spans="1:42" ht="14.25" customHeight="1" x14ac:dyDescent="0.35">
      <c r="A59" s="17">
        <v>15655</v>
      </c>
      <c r="B59" s="18" t="s">
        <v>61</v>
      </c>
      <c r="C59" s="19" t="s">
        <v>69</v>
      </c>
      <c r="D59" s="19" t="s">
        <v>62</v>
      </c>
      <c r="E59" s="17">
        <v>2</v>
      </c>
      <c r="F59" s="17">
        <v>4</v>
      </c>
      <c r="G59" s="17">
        <v>2</v>
      </c>
      <c r="H59" s="16">
        <v>0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0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6">
        <v>0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7">
        <f t="shared" si="0"/>
        <v>0.5</v>
      </c>
      <c r="AG59" s="17">
        <f t="shared" si="1"/>
        <v>1</v>
      </c>
      <c r="AH59" s="17">
        <f t="shared" si="2"/>
        <v>1</v>
      </c>
      <c r="AI59" s="17">
        <f t="shared" si="3"/>
        <v>1</v>
      </c>
      <c r="AJ59" s="17">
        <v>0</v>
      </c>
      <c r="AK59" s="17">
        <v>0</v>
      </c>
      <c r="AL59" s="17">
        <v>0</v>
      </c>
      <c r="AM59" s="17">
        <v>1</v>
      </c>
      <c r="AN59" s="17">
        <v>20</v>
      </c>
      <c r="AO59" s="17">
        <v>1</v>
      </c>
      <c r="AP59" s="17">
        <v>1</v>
      </c>
    </row>
    <row r="60" spans="1:42" ht="14.25" customHeight="1" x14ac:dyDescent="0.35">
      <c r="A60" s="17">
        <v>15007</v>
      </c>
      <c r="B60" s="18" t="s">
        <v>61</v>
      </c>
      <c r="C60" s="19" t="s">
        <v>69</v>
      </c>
      <c r="D60" s="19" t="s">
        <v>62</v>
      </c>
      <c r="E60" s="17">
        <v>2</v>
      </c>
      <c r="F60" s="17">
        <v>4</v>
      </c>
      <c r="G60" s="17">
        <v>1</v>
      </c>
      <c r="H60" s="16">
        <v>0</v>
      </c>
      <c r="I60" s="16">
        <v>0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0</v>
      </c>
      <c r="Q60" s="17">
        <v>0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6">
        <v>0</v>
      </c>
      <c r="Y60" s="16">
        <v>0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7">
        <f t="shared" si="0"/>
        <v>0</v>
      </c>
      <c r="AG60" s="17">
        <f t="shared" si="1"/>
        <v>1</v>
      </c>
      <c r="AH60" s="17">
        <f t="shared" si="2"/>
        <v>1</v>
      </c>
      <c r="AI60" s="17">
        <f t="shared" si="3"/>
        <v>1</v>
      </c>
      <c r="AJ60" s="17">
        <v>0</v>
      </c>
      <c r="AK60" s="17">
        <v>0</v>
      </c>
      <c r="AL60" s="17">
        <v>0</v>
      </c>
      <c r="AM60" s="17">
        <v>1</v>
      </c>
      <c r="AN60" s="17">
        <v>18</v>
      </c>
      <c r="AO60" s="17">
        <v>1</v>
      </c>
      <c r="AP60" s="17">
        <v>1</v>
      </c>
    </row>
    <row r="61" spans="1:42" ht="14.25" customHeight="1" x14ac:dyDescent="0.35">
      <c r="A61" s="17">
        <v>16207</v>
      </c>
      <c r="B61" s="18" t="s">
        <v>61</v>
      </c>
      <c r="C61" s="19" t="s">
        <v>69</v>
      </c>
      <c r="D61" s="19" t="s">
        <v>62</v>
      </c>
      <c r="E61" s="17">
        <v>2</v>
      </c>
      <c r="F61" s="17">
        <v>4</v>
      </c>
      <c r="G61" s="17">
        <v>1</v>
      </c>
      <c r="H61" s="16">
        <v>0</v>
      </c>
      <c r="I61" s="16">
        <v>0</v>
      </c>
      <c r="J61" s="16">
        <v>0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0</v>
      </c>
      <c r="Q61" s="17">
        <v>0</v>
      </c>
      <c r="R61" s="17">
        <v>0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7">
        <f t="shared" si="0"/>
        <v>0</v>
      </c>
      <c r="AG61" s="17">
        <f t="shared" si="1"/>
        <v>0.5</v>
      </c>
      <c r="AH61" s="17">
        <f t="shared" si="2"/>
        <v>1</v>
      </c>
      <c r="AI61" s="17">
        <f t="shared" si="3"/>
        <v>1</v>
      </c>
      <c r="AJ61" s="17">
        <v>0</v>
      </c>
      <c r="AK61" s="17">
        <v>0</v>
      </c>
      <c r="AL61" s="17">
        <v>0</v>
      </c>
      <c r="AM61" s="17">
        <v>1</v>
      </c>
      <c r="AN61" s="17">
        <v>20</v>
      </c>
      <c r="AO61" s="17">
        <v>1</v>
      </c>
      <c r="AP61" s="17">
        <v>1</v>
      </c>
    </row>
    <row r="62" spans="1:42" ht="14.25" customHeight="1" x14ac:dyDescent="0.35">
      <c r="A62" s="17">
        <v>16222</v>
      </c>
      <c r="B62" s="18" t="s">
        <v>61</v>
      </c>
      <c r="C62" s="19" t="s">
        <v>69</v>
      </c>
      <c r="D62" s="19" t="s">
        <v>62</v>
      </c>
      <c r="E62" s="17">
        <v>1</v>
      </c>
      <c r="F62" s="17">
        <v>4</v>
      </c>
      <c r="G62" s="17">
        <v>2</v>
      </c>
      <c r="H62" s="16">
        <v>0</v>
      </c>
      <c r="I62" s="16">
        <v>1</v>
      </c>
      <c r="J62" s="16">
        <v>0</v>
      </c>
      <c r="K62" s="16">
        <v>0</v>
      </c>
      <c r="L62" s="16">
        <v>1</v>
      </c>
      <c r="M62" s="16">
        <v>1</v>
      </c>
      <c r="N62" s="16">
        <v>1</v>
      </c>
      <c r="O62" s="16">
        <v>1</v>
      </c>
      <c r="P62" s="16">
        <v>0</v>
      </c>
      <c r="Q62" s="17">
        <v>1</v>
      </c>
      <c r="R62" s="17">
        <v>0</v>
      </c>
      <c r="S62" s="17">
        <v>0</v>
      </c>
      <c r="T62" s="17">
        <v>1</v>
      </c>
      <c r="U62" s="17">
        <v>1</v>
      </c>
      <c r="V62" s="17">
        <v>1</v>
      </c>
      <c r="W62" s="17">
        <v>1</v>
      </c>
      <c r="X62" s="16">
        <v>0</v>
      </c>
      <c r="Y62" s="16">
        <v>1</v>
      </c>
      <c r="Z62" s="16">
        <v>0</v>
      </c>
      <c r="AA62" s="16">
        <v>0</v>
      </c>
      <c r="AB62" s="16">
        <v>1</v>
      </c>
      <c r="AC62" s="16">
        <v>1</v>
      </c>
      <c r="AD62" s="16">
        <v>1</v>
      </c>
      <c r="AE62" s="16">
        <v>1</v>
      </c>
      <c r="AF62" s="17">
        <f t="shared" si="0"/>
        <v>0.5</v>
      </c>
      <c r="AG62" s="17">
        <f t="shared" si="1"/>
        <v>0</v>
      </c>
      <c r="AH62" s="17">
        <f t="shared" si="2"/>
        <v>1</v>
      </c>
      <c r="AI62" s="17">
        <f t="shared" si="3"/>
        <v>1</v>
      </c>
      <c r="AJ62" s="17">
        <v>0</v>
      </c>
      <c r="AK62" s="17">
        <v>0</v>
      </c>
      <c r="AL62" s="17">
        <v>0</v>
      </c>
      <c r="AM62" s="17">
        <v>1</v>
      </c>
      <c r="AN62" s="17">
        <v>20</v>
      </c>
      <c r="AO62" s="17">
        <v>1</v>
      </c>
      <c r="AP62" s="17">
        <v>1</v>
      </c>
    </row>
    <row r="63" spans="1:42" ht="14.25" customHeight="1" x14ac:dyDescent="0.35">
      <c r="A63" s="17">
        <v>15355</v>
      </c>
      <c r="B63" s="18" t="s">
        <v>61</v>
      </c>
      <c r="C63" s="19" t="s">
        <v>69</v>
      </c>
      <c r="D63" s="19" t="s">
        <v>62</v>
      </c>
      <c r="E63" s="17">
        <v>1</v>
      </c>
      <c r="F63" s="17">
        <v>1</v>
      </c>
      <c r="G63" s="17">
        <v>1</v>
      </c>
      <c r="H63" s="16">
        <v>0</v>
      </c>
      <c r="I63" s="16">
        <v>0</v>
      </c>
      <c r="J63" s="16">
        <v>1</v>
      </c>
      <c r="K63" s="16">
        <v>0</v>
      </c>
      <c r="L63" s="16">
        <v>1</v>
      </c>
      <c r="M63" s="16">
        <v>1</v>
      </c>
      <c r="N63" s="16">
        <v>1</v>
      </c>
      <c r="O63" s="16">
        <v>1</v>
      </c>
      <c r="P63" s="16">
        <v>0</v>
      </c>
      <c r="Q63" s="17">
        <v>0</v>
      </c>
      <c r="R63" s="17">
        <v>1</v>
      </c>
      <c r="S63" s="17">
        <v>0</v>
      </c>
      <c r="T63" s="17">
        <v>1</v>
      </c>
      <c r="U63" s="17">
        <v>1</v>
      </c>
      <c r="V63" s="17">
        <v>1</v>
      </c>
      <c r="W63" s="17">
        <v>1</v>
      </c>
      <c r="X63" s="16">
        <v>0</v>
      </c>
      <c r="Y63" s="16">
        <v>0</v>
      </c>
      <c r="Z63" s="16">
        <v>1</v>
      </c>
      <c r="AA63" s="16">
        <v>0</v>
      </c>
      <c r="AB63" s="16">
        <v>1</v>
      </c>
      <c r="AC63" s="16">
        <v>1</v>
      </c>
      <c r="AD63" s="16">
        <v>1</v>
      </c>
      <c r="AE63" s="16">
        <v>1</v>
      </c>
      <c r="AF63" s="17">
        <f t="shared" si="0"/>
        <v>0</v>
      </c>
      <c r="AG63" s="17">
        <f t="shared" si="1"/>
        <v>0.5</v>
      </c>
      <c r="AH63" s="17">
        <f t="shared" si="2"/>
        <v>1</v>
      </c>
      <c r="AI63" s="17">
        <f t="shared" si="3"/>
        <v>1</v>
      </c>
      <c r="AJ63" s="17">
        <v>0</v>
      </c>
      <c r="AK63" s="17">
        <v>0</v>
      </c>
      <c r="AL63" s="17">
        <v>0</v>
      </c>
      <c r="AM63" s="17">
        <v>2</v>
      </c>
      <c r="AN63" s="17">
        <v>22</v>
      </c>
      <c r="AO63" s="17">
        <v>1</v>
      </c>
      <c r="AP63" s="17">
        <v>1</v>
      </c>
    </row>
    <row r="64" spans="1:42" ht="14.25" customHeight="1" x14ac:dyDescent="0.35">
      <c r="A64" s="17">
        <v>15742</v>
      </c>
      <c r="B64" s="18" t="s">
        <v>61</v>
      </c>
      <c r="C64" s="19" t="s">
        <v>69</v>
      </c>
      <c r="D64" s="19" t="s">
        <v>62</v>
      </c>
      <c r="E64" s="17">
        <v>2</v>
      </c>
      <c r="F64" s="17">
        <v>4</v>
      </c>
      <c r="G64" s="17">
        <v>2</v>
      </c>
      <c r="H64" s="16">
        <v>0</v>
      </c>
      <c r="I64" s="16">
        <v>0</v>
      </c>
      <c r="J64" s="16">
        <v>0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0</v>
      </c>
      <c r="Q64" s="17">
        <v>0</v>
      </c>
      <c r="R64" s="17">
        <v>0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6">
        <v>0</v>
      </c>
      <c r="Y64" s="16">
        <v>0</v>
      </c>
      <c r="Z64" s="16">
        <v>0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7">
        <f t="shared" si="0"/>
        <v>0</v>
      </c>
      <c r="AG64" s="17">
        <f t="shared" si="1"/>
        <v>0.5</v>
      </c>
      <c r="AH64" s="17">
        <f t="shared" si="2"/>
        <v>1</v>
      </c>
      <c r="AI64" s="17">
        <f t="shared" si="3"/>
        <v>1</v>
      </c>
      <c r="AJ64" s="17">
        <v>0</v>
      </c>
      <c r="AK64" s="17">
        <v>0</v>
      </c>
      <c r="AL64" s="17">
        <v>0</v>
      </c>
      <c r="AM64" s="17">
        <v>1</v>
      </c>
      <c r="AN64" s="17">
        <v>18</v>
      </c>
      <c r="AO64" s="17">
        <v>1</v>
      </c>
      <c r="AP64" s="17">
        <v>1</v>
      </c>
    </row>
    <row r="65" spans="1:42" ht="14.25" customHeight="1" x14ac:dyDescent="0.35">
      <c r="A65" s="17">
        <v>15667</v>
      </c>
      <c r="B65" s="18" t="s">
        <v>61</v>
      </c>
      <c r="C65" s="19" t="s">
        <v>69</v>
      </c>
      <c r="D65" s="19" t="s">
        <v>62</v>
      </c>
      <c r="E65" s="17">
        <v>1</v>
      </c>
      <c r="F65" s="17">
        <v>2</v>
      </c>
      <c r="G65" s="17">
        <v>1</v>
      </c>
      <c r="H65" s="16">
        <v>1</v>
      </c>
      <c r="I65" s="16">
        <v>0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7">
        <v>0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6">
        <v>1</v>
      </c>
      <c r="Y65" s="16">
        <v>0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7">
        <f t="shared" si="0"/>
        <v>0.5</v>
      </c>
      <c r="AG65" s="17">
        <f t="shared" si="1"/>
        <v>1</v>
      </c>
      <c r="AH65" s="17">
        <f t="shared" si="2"/>
        <v>1</v>
      </c>
      <c r="AI65" s="17">
        <f t="shared" si="3"/>
        <v>1</v>
      </c>
      <c r="AJ65" s="17">
        <v>0</v>
      </c>
      <c r="AK65" s="17">
        <v>0</v>
      </c>
      <c r="AL65" s="17">
        <v>0</v>
      </c>
      <c r="AM65" s="17">
        <v>2</v>
      </c>
      <c r="AN65" s="17">
        <v>19</v>
      </c>
      <c r="AO65" s="17">
        <v>1</v>
      </c>
      <c r="AP65" s="17">
        <v>1</v>
      </c>
    </row>
    <row r="66" spans="1:42" ht="14.25" customHeight="1" x14ac:dyDescent="0.35">
      <c r="A66" s="17">
        <v>15937</v>
      </c>
      <c r="B66" s="18" t="s">
        <v>61</v>
      </c>
      <c r="C66" s="19" t="s">
        <v>69</v>
      </c>
      <c r="D66" s="19" t="s">
        <v>62</v>
      </c>
      <c r="E66" s="17">
        <v>1</v>
      </c>
      <c r="F66" s="17">
        <v>4</v>
      </c>
      <c r="G66" s="17">
        <v>2</v>
      </c>
      <c r="H66" s="16">
        <v>1</v>
      </c>
      <c r="I66" s="16">
        <v>0</v>
      </c>
      <c r="J66" s="16">
        <v>0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7">
        <v>0</v>
      </c>
      <c r="R66" s="17">
        <v>0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6">
        <v>1</v>
      </c>
      <c r="Y66" s="16">
        <v>0</v>
      </c>
      <c r="Z66" s="16">
        <v>0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7">
        <f t="shared" si="0"/>
        <v>0.5</v>
      </c>
      <c r="AG66" s="17">
        <f t="shared" si="1"/>
        <v>0.5</v>
      </c>
      <c r="AH66" s="17">
        <f t="shared" si="2"/>
        <v>1</v>
      </c>
      <c r="AI66" s="17">
        <f t="shared" si="3"/>
        <v>1</v>
      </c>
      <c r="AJ66" s="17">
        <v>0</v>
      </c>
      <c r="AK66" s="17">
        <v>0</v>
      </c>
      <c r="AL66" s="17">
        <v>0</v>
      </c>
      <c r="AM66" s="17">
        <v>2</v>
      </c>
      <c r="AN66" s="17">
        <v>18</v>
      </c>
      <c r="AO66" s="17">
        <v>1</v>
      </c>
      <c r="AP66" s="17">
        <v>1</v>
      </c>
    </row>
    <row r="67" spans="1:42" ht="14.25" customHeight="1" x14ac:dyDescent="0.35">
      <c r="A67" s="17">
        <v>15793</v>
      </c>
      <c r="B67" s="18" t="s">
        <v>61</v>
      </c>
      <c r="C67" s="19" t="s">
        <v>69</v>
      </c>
      <c r="D67" s="19" t="s">
        <v>62</v>
      </c>
      <c r="E67" s="17">
        <v>2</v>
      </c>
      <c r="F67" s="17">
        <v>2</v>
      </c>
      <c r="G67" s="17">
        <v>1</v>
      </c>
      <c r="H67" s="16">
        <v>0</v>
      </c>
      <c r="I67" s="16">
        <v>0</v>
      </c>
      <c r="J67" s="16">
        <v>0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0</v>
      </c>
      <c r="Q67" s="17">
        <v>0</v>
      </c>
      <c r="R67" s="17">
        <v>0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6">
        <v>0</v>
      </c>
      <c r="Y67" s="16">
        <v>0</v>
      </c>
      <c r="Z67" s="16">
        <v>0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7">
        <f t="shared" si="0"/>
        <v>0</v>
      </c>
      <c r="AG67" s="17">
        <f t="shared" si="1"/>
        <v>0.5</v>
      </c>
      <c r="AH67" s="17">
        <f t="shared" si="2"/>
        <v>1</v>
      </c>
      <c r="AI67" s="17">
        <f t="shared" si="3"/>
        <v>1</v>
      </c>
      <c r="AJ67" s="17">
        <v>0</v>
      </c>
      <c r="AK67" s="17">
        <v>0</v>
      </c>
      <c r="AL67" s="17">
        <v>0</v>
      </c>
      <c r="AM67" s="17">
        <v>1</v>
      </c>
      <c r="AN67" s="17">
        <v>18</v>
      </c>
      <c r="AO67" s="17">
        <v>1</v>
      </c>
      <c r="AP67" s="17">
        <v>1</v>
      </c>
    </row>
    <row r="68" spans="1:42" ht="14.25" customHeight="1" x14ac:dyDescent="0.35">
      <c r="A68" s="17">
        <v>16279</v>
      </c>
      <c r="B68" s="18" t="s">
        <v>61</v>
      </c>
      <c r="C68" s="19" t="s">
        <v>69</v>
      </c>
      <c r="D68" s="19" t="s">
        <v>62</v>
      </c>
      <c r="E68" s="17">
        <v>2</v>
      </c>
      <c r="F68" s="17">
        <v>4</v>
      </c>
      <c r="G68" s="17">
        <v>2</v>
      </c>
      <c r="H68" s="16">
        <v>0</v>
      </c>
      <c r="I68" s="16">
        <v>0</v>
      </c>
      <c r="J68" s="16">
        <v>0</v>
      </c>
      <c r="K68" s="16">
        <v>0</v>
      </c>
      <c r="L68" s="16">
        <v>1</v>
      </c>
      <c r="M68" s="16">
        <v>1</v>
      </c>
      <c r="N68" s="16">
        <v>1</v>
      </c>
      <c r="O68" s="16">
        <v>1</v>
      </c>
      <c r="P68" s="16">
        <v>0</v>
      </c>
      <c r="Q68" s="17">
        <v>0</v>
      </c>
      <c r="R68" s="17">
        <v>0</v>
      </c>
      <c r="S68" s="17">
        <v>0</v>
      </c>
      <c r="T68" s="17">
        <v>1</v>
      </c>
      <c r="U68" s="17">
        <v>1</v>
      </c>
      <c r="V68" s="17">
        <v>1</v>
      </c>
      <c r="W68" s="17">
        <v>1</v>
      </c>
      <c r="X68" s="16">
        <v>0</v>
      </c>
      <c r="Y68" s="16">
        <v>0</v>
      </c>
      <c r="Z68" s="16">
        <v>0</v>
      </c>
      <c r="AA68" s="16">
        <v>0</v>
      </c>
      <c r="AB68" s="16">
        <v>1</v>
      </c>
      <c r="AC68" s="16">
        <v>1</v>
      </c>
      <c r="AD68" s="16">
        <v>1</v>
      </c>
      <c r="AE68" s="16">
        <v>1</v>
      </c>
      <c r="AF68" s="17">
        <f t="shared" si="0"/>
        <v>0</v>
      </c>
      <c r="AG68" s="17">
        <f t="shared" si="1"/>
        <v>0</v>
      </c>
      <c r="AH68" s="17">
        <f t="shared" si="2"/>
        <v>1</v>
      </c>
      <c r="AI68" s="17">
        <f t="shared" si="3"/>
        <v>1</v>
      </c>
      <c r="AJ68" s="17">
        <v>0</v>
      </c>
      <c r="AK68" s="17">
        <v>0</v>
      </c>
      <c r="AL68" s="17">
        <v>0</v>
      </c>
      <c r="AM68" s="17">
        <v>1</v>
      </c>
      <c r="AN68" s="17">
        <v>19</v>
      </c>
      <c r="AO68" s="17">
        <v>2</v>
      </c>
      <c r="AP68" s="17">
        <v>1</v>
      </c>
    </row>
    <row r="69" spans="1:42" ht="14.25" customHeight="1" x14ac:dyDescent="0.35">
      <c r="A69" s="17">
        <v>15658</v>
      </c>
      <c r="B69" s="18" t="s">
        <v>61</v>
      </c>
      <c r="C69" s="19" t="s">
        <v>69</v>
      </c>
      <c r="D69" s="19" t="s">
        <v>62</v>
      </c>
      <c r="E69" s="17">
        <v>1</v>
      </c>
      <c r="F69" s="17">
        <v>3</v>
      </c>
      <c r="G69" s="17">
        <v>1</v>
      </c>
      <c r="H69" s="16">
        <v>1</v>
      </c>
      <c r="I69" s="16">
        <v>0</v>
      </c>
      <c r="J69" s="16">
        <v>1</v>
      </c>
      <c r="K69" s="16">
        <v>0</v>
      </c>
      <c r="L69" s="16">
        <v>1</v>
      </c>
      <c r="M69" s="16">
        <v>1</v>
      </c>
      <c r="N69" s="17" t="s">
        <v>67</v>
      </c>
      <c r="O69" s="16">
        <v>1</v>
      </c>
      <c r="P69" s="16">
        <v>1</v>
      </c>
      <c r="Q69" s="17">
        <v>0</v>
      </c>
      <c r="R69" s="17">
        <v>1</v>
      </c>
      <c r="S69" s="17">
        <v>0</v>
      </c>
      <c r="T69" s="17">
        <v>1</v>
      </c>
      <c r="U69" s="17">
        <v>1</v>
      </c>
      <c r="V69" s="17" t="s">
        <v>67</v>
      </c>
      <c r="W69" s="17">
        <v>1</v>
      </c>
      <c r="X69" s="17">
        <v>1</v>
      </c>
      <c r="Y69" s="17">
        <v>0</v>
      </c>
      <c r="Z69" s="17">
        <v>1</v>
      </c>
      <c r="AA69" s="17">
        <v>0</v>
      </c>
      <c r="AB69" s="17">
        <v>1</v>
      </c>
      <c r="AC69" s="17">
        <v>1</v>
      </c>
      <c r="AD69" s="17" t="s">
        <v>67</v>
      </c>
      <c r="AE69" s="17">
        <v>1</v>
      </c>
      <c r="AF69" s="17">
        <f t="shared" si="0"/>
        <v>0.5</v>
      </c>
      <c r="AG69" s="17">
        <f t="shared" si="1"/>
        <v>0.5</v>
      </c>
      <c r="AH69" s="17">
        <f t="shared" si="2"/>
        <v>1</v>
      </c>
      <c r="AI69" s="17">
        <f t="shared" si="3"/>
        <v>1</v>
      </c>
      <c r="AJ69" s="17">
        <v>0</v>
      </c>
      <c r="AK69" s="17">
        <v>0</v>
      </c>
      <c r="AL69" s="17">
        <v>0</v>
      </c>
      <c r="AM69" s="17">
        <v>2</v>
      </c>
      <c r="AN69" s="17">
        <v>19</v>
      </c>
      <c r="AO69" s="17">
        <v>1</v>
      </c>
      <c r="AP69" s="17">
        <v>1</v>
      </c>
    </row>
    <row r="70" spans="1:42" ht="14.25" customHeight="1" x14ac:dyDescent="0.35">
      <c r="A70" s="17">
        <v>15796</v>
      </c>
      <c r="B70" s="18" t="s">
        <v>61</v>
      </c>
      <c r="C70" s="19" t="s">
        <v>69</v>
      </c>
      <c r="D70" s="19" t="s">
        <v>62</v>
      </c>
      <c r="E70" s="17">
        <v>1</v>
      </c>
      <c r="F70" s="17">
        <v>4</v>
      </c>
      <c r="G70" s="17">
        <v>2</v>
      </c>
      <c r="H70" s="16">
        <v>1</v>
      </c>
      <c r="I70" s="16">
        <v>0</v>
      </c>
      <c r="J70" s="17" t="s">
        <v>67</v>
      </c>
      <c r="K70" s="16">
        <v>0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7">
        <v>0</v>
      </c>
      <c r="R70" s="17" t="s">
        <v>67</v>
      </c>
      <c r="S70" s="17">
        <v>0</v>
      </c>
      <c r="T70" s="17">
        <v>1</v>
      </c>
      <c r="U70" s="17">
        <v>1</v>
      </c>
      <c r="V70" s="17">
        <v>1</v>
      </c>
      <c r="W70" s="17">
        <v>1</v>
      </c>
      <c r="X70" s="16">
        <v>1</v>
      </c>
      <c r="Y70" s="16">
        <v>0</v>
      </c>
      <c r="Z70" s="16" t="s">
        <v>67</v>
      </c>
      <c r="AA70" s="16">
        <v>0</v>
      </c>
      <c r="AB70" s="16">
        <v>1</v>
      </c>
      <c r="AC70" s="16">
        <v>1</v>
      </c>
      <c r="AD70" s="16">
        <v>1</v>
      </c>
      <c r="AE70" s="16">
        <v>1</v>
      </c>
      <c r="AF70" s="17">
        <f t="shared" si="0"/>
        <v>0.5</v>
      </c>
      <c r="AG70" s="17">
        <f t="shared" si="1"/>
        <v>0</v>
      </c>
      <c r="AH70" s="17">
        <f t="shared" si="2"/>
        <v>1</v>
      </c>
      <c r="AI70" s="17">
        <f t="shared" si="3"/>
        <v>1</v>
      </c>
      <c r="AJ70" s="17">
        <v>0</v>
      </c>
      <c r="AK70" s="17">
        <v>0</v>
      </c>
      <c r="AL70" s="17">
        <v>0</v>
      </c>
      <c r="AM70" s="17">
        <v>2</v>
      </c>
      <c r="AN70" s="17">
        <v>18</v>
      </c>
      <c r="AO70" s="17">
        <v>1</v>
      </c>
      <c r="AP70" s="17">
        <v>1</v>
      </c>
    </row>
    <row r="71" spans="1:42" ht="14.25" customHeight="1" x14ac:dyDescent="0.35">
      <c r="A71" s="17">
        <v>14995</v>
      </c>
      <c r="B71" s="18" t="s">
        <v>61</v>
      </c>
      <c r="C71" s="19" t="s">
        <v>69</v>
      </c>
      <c r="D71" s="19" t="s">
        <v>62</v>
      </c>
      <c r="E71" s="17">
        <v>1</v>
      </c>
      <c r="F71" s="17">
        <v>1</v>
      </c>
      <c r="G71" s="17">
        <v>1</v>
      </c>
      <c r="H71" s="16">
        <v>0</v>
      </c>
      <c r="I71" s="16">
        <v>0</v>
      </c>
      <c r="J71" s="16">
        <v>1</v>
      </c>
      <c r="K71" s="16">
        <v>0</v>
      </c>
      <c r="L71" s="16">
        <v>1</v>
      </c>
      <c r="M71" s="16">
        <v>1</v>
      </c>
      <c r="N71" s="16">
        <v>1</v>
      </c>
      <c r="O71" s="16">
        <v>1</v>
      </c>
      <c r="P71" s="16">
        <v>0</v>
      </c>
      <c r="Q71" s="17">
        <v>0</v>
      </c>
      <c r="R71" s="17">
        <v>1</v>
      </c>
      <c r="S71" s="17">
        <v>0</v>
      </c>
      <c r="T71" s="17">
        <v>1</v>
      </c>
      <c r="U71" s="17">
        <v>1</v>
      </c>
      <c r="V71" s="17">
        <v>1</v>
      </c>
      <c r="W71" s="17">
        <v>1</v>
      </c>
      <c r="X71" s="16">
        <v>0</v>
      </c>
      <c r="Y71" s="16">
        <v>0</v>
      </c>
      <c r="Z71" s="16">
        <v>1</v>
      </c>
      <c r="AA71" s="16">
        <v>0</v>
      </c>
      <c r="AB71" s="16">
        <v>1</v>
      </c>
      <c r="AC71" s="16">
        <v>1</v>
      </c>
      <c r="AD71" s="16">
        <v>1</v>
      </c>
      <c r="AE71" s="16">
        <v>1</v>
      </c>
      <c r="AF71" s="17">
        <f t="shared" si="0"/>
        <v>0</v>
      </c>
      <c r="AG71" s="17">
        <f t="shared" si="1"/>
        <v>0.5</v>
      </c>
      <c r="AH71" s="17">
        <f t="shared" si="2"/>
        <v>1</v>
      </c>
      <c r="AI71" s="17">
        <f t="shared" si="3"/>
        <v>1</v>
      </c>
      <c r="AJ71" s="17">
        <v>0</v>
      </c>
      <c r="AK71" s="17">
        <v>0</v>
      </c>
      <c r="AL71" s="17">
        <v>0</v>
      </c>
      <c r="AM71" s="17">
        <v>1</v>
      </c>
      <c r="AN71" s="17">
        <v>18</v>
      </c>
      <c r="AO71" s="17">
        <v>1</v>
      </c>
      <c r="AP71" s="17">
        <v>1</v>
      </c>
    </row>
    <row r="72" spans="1:42" ht="14.25" customHeight="1" x14ac:dyDescent="0.35">
      <c r="A72" s="17">
        <v>15019</v>
      </c>
      <c r="B72" s="18" t="s">
        <v>61</v>
      </c>
      <c r="C72" s="19" t="s">
        <v>69</v>
      </c>
      <c r="D72" s="19" t="s">
        <v>62</v>
      </c>
      <c r="E72" s="17">
        <v>2</v>
      </c>
      <c r="F72" s="17">
        <v>2</v>
      </c>
      <c r="G72" s="17">
        <v>2</v>
      </c>
      <c r="H72" s="16">
        <v>0</v>
      </c>
      <c r="I72" s="16">
        <v>0</v>
      </c>
      <c r="J72" s="16">
        <v>0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0</v>
      </c>
      <c r="Q72" s="17">
        <v>0</v>
      </c>
      <c r="R72" s="17">
        <v>0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0</v>
      </c>
      <c r="Y72" s="17">
        <v>0</v>
      </c>
      <c r="Z72" s="17">
        <v>0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f t="shared" si="0"/>
        <v>0</v>
      </c>
      <c r="AG72" s="17">
        <f t="shared" si="1"/>
        <v>0.5</v>
      </c>
      <c r="AH72" s="17">
        <f t="shared" si="2"/>
        <v>1</v>
      </c>
      <c r="AI72" s="17">
        <f t="shared" si="3"/>
        <v>1</v>
      </c>
      <c r="AJ72" s="17">
        <v>0</v>
      </c>
      <c r="AK72" s="17">
        <v>0</v>
      </c>
      <c r="AL72" s="17">
        <v>0</v>
      </c>
      <c r="AM72" s="17">
        <v>1</v>
      </c>
      <c r="AN72" s="17">
        <v>18</v>
      </c>
      <c r="AO72" s="17">
        <v>1</v>
      </c>
      <c r="AP72" s="17">
        <v>1</v>
      </c>
    </row>
    <row r="73" spans="1:42" ht="14.25" customHeight="1" x14ac:dyDescent="0.35">
      <c r="A73" s="17">
        <v>15976</v>
      </c>
      <c r="B73" s="18" t="s">
        <v>61</v>
      </c>
      <c r="C73" s="19" t="s">
        <v>69</v>
      </c>
      <c r="D73" s="19" t="s">
        <v>62</v>
      </c>
      <c r="E73" s="17">
        <v>1</v>
      </c>
      <c r="F73" s="17">
        <v>3</v>
      </c>
      <c r="G73" s="17">
        <v>1</v>
      </c>
      <c r="H73" s="16">
        <v>0</v>
      </c>
      <c r="I73" s="16">
        <v>0</v>
      </c>
      <c r="J73" s="16">
        <v>0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0</v>
      </c>
      <c r="Q73" s="17">
        <v>0</v>
      </c>
      <c r="R73" s="17">
        <v>0</v>
      </c>
      <c r="S73" s="17">
        <v>1</v>
      </c>
      <c r="T73" s="17">
        <v>1</v>
      </c>
      <c r="U73" s="17">
        <v>1</v>
      </c>
      <c r="V73" s="17" t="s">
        <v>67</v>
      </c>
      <c r="W73" s="17">
        <v>1</v>
      </c>
      <c r="X73" s="16">
        <v>0</v>
      </c>
      <c r="Y73" s="16">
        <v>0</v>
      </c>
      <c r="Z73" s="16">
        <v>0</v>
      </c>
      <c r="AA73" s="16">
        <v>1</v>
      </c>
      <c r="AB73" s="16">
        <v>1</v>
      </c>
      <c r="AC73" s="16">
        <v>1</v>
      </c>
      <c r="AD73" s="16">
        <v>1</v>
      </c>
      <c r="AE73" s="16">
        <v>1</v>
      </c>
      <c r="AF73" s="17">
        <f t="shared" si="0"/>
        <v>0</v>
      </c>
      <c r="AG73" s="17">
        <f t="shared" si="1"/>
        <v>0.5</v>
      </c>
      <c r="AH73" s="17">
        <f t="shared" si="2"/>
        <v>1</v>
      </c>
      <c r="AI73" s="17">
        <f t="shared" si="3"/>
        <v>1</v>
      </c>
      <c r="AJ73" s="17">
        <v>0</v>
      </c>
      <c r="AK73" s="17">
        <v>0</v>
      </c>
      <c r="AL73" s="17">
        <v>0</v>
      </c>
      <c r="AM73" s="17">
        <v>2</v>
      </c>
      <c r="AN73" s="17">
        <v>19</v>
      </c>
      <c r="AO73" s="17">
        <v>1</v>
      </c>
      <c r="AP73" s="17">
        <v>1</v>
      </c>
    </row>
    <row r="74" spans="1:42" ht="14.25" customHeight="1" x14ac:dyDescent="0.35">
      <c r="A74" s="17">
        <v>16468</v>
      </c>
      <c r="B74" s="18" t="s">
        <v>61</v>
      </c>
      <c r="C74" s="19" t="s">
        <v>69</v>
      </c>
      <c r="D74" s="19" t="s">
        <v>62</v>
      </c>
      <c r="E74" s="17">
        <v>2</v>
      </c>
      <c r="F74" s="17">
        <v>3</v>
      </c>
      <c r="G74" s="17">
        <v>2</v>
      </c>
      <c r="H74" s="16">
        <v>0</v>
      </c>
      <c r="I74" s="16">
        <v>1</v>
      </c>
      <c r="J74" s="16">
        <v>0</v>
      </c>
      <c r="K74" s="16">
        <v>0</v>
      </c>
      <c r="L74" s="16">
        <v>1</v>
      </c>
      <c r="M74" s="16">
        <v>1</v>
      </c>
      <c r="N74" s="16">
        <v>1</v>
      </c>
      <c r="O74" s="16">
        <v>1</v>
      </c>
      <c r="P74" s="16">
        <v>0</v>
      </c>
      <c r="Q74" s="17">
        <v>1</v>
      </c>
      <c r="R74" s="17">
        <v>0</v>
      </c>
      <c r="S74" s="17">
        <v>0</v>
      </c>
      <c r="T74" s="17">
        <v>1</v>
      </c>
      <c r="U74" s="17">
        <v>1</v>
      </c>
      <c r="V74" s="17">
        <v>1</v>
      </c>
      <c r="W74" s="17">
        <v>1</v>
      </c>
      <c r="X74" s="16">
        <v>0</v>
      </c>
      <c r="Y74" s="16">
        <v>1</v>
      </c>
      <c r="Z74" s="16">
        <v>0</v>
      </c>
      <c r="AA74" s="16">
        <v>0</v>
      </c>
      <c r="AB74" s="16">
        <v>1</v>
      </c>
      <c r="AC74" s="16">
        <v>1</v>
      </c>
      <c r="AD74" s="16">
        <v>1</v>
      </c>
      <c r="AE74" s="16">
        <v>1</v>
      </c>
      <c r="AF74" s="17">
        <f t="shared" si="0"/>
        <v>0.5</v>
      </c>
      <c r="AG74" s="17">
        <f t="shared" si="1"/>
        <v>0</v>
      </c>
      <c r="AH74" s="17">
        <f t="shared" si="2"/>
        <v>1</v>
      </c>
      <c r="AI74" s="17">
        <f t="shared" si="3"/>
        <v>1</v>
      </c>
      <c r="AJ74" s="17">
        <v>0</v>
      </c>
      <c r="AK74" s="17">
        <v>0</v>
      </c>
      <c r="AL74" s="17">
        <v>0</v>
      </c>
      <c r="AM74" s="17">
        <v>1</v>
      </c>
      <c r="AN74" s="17">
        <v>18</v>
      </c>
      <c r="AO74" s="17">
        <v>1</v>
      </c>
      <c r="AP74" s="17">
        <v>1</v>
      </c>
    </row>
    <row r="75" spans="1:42" ht="14.25" customHeight="1" x14ac:dyDescent="0.35">
      <c r="A75" s="17">
        <v>15766</v>
      </c>
      <c r="B75" s="18" t="s">
        <v>61</v>
      </c>
      <c r="C75" s="19" t="s">
        <v>69</v>
      </c>
      <c r="D75" s="19" t="s">
        <v>62</v>
      </c>
      <c r="E75" s="17">
        <v>1</v>
      </c>
      <c r="F75" s="17">
        <v>2</v>
      </c>
      <c r="G75" s="17">
        <v>1</v>
      </c>
      <c r="H75" s="16">
        <v>0</v>
      </c>
      <c r="I75" s="16">
        <v>1</v>
      </c>
      <c r="J75" s="16">
        <v>1</v>
      </c>
      <c r="K75" s="16">
        <v>0</v>
      </c>
      <c r="L75" s="16">
        <v>1</v>
      </c>
      <c r="M75" s="16">
        <v>1</v>
      </c>
      <c r="N75" s="16">
        <v>1</v>
      </c>
      <c r="O75" s="16">
        <v>1</v>
      </c>
      <c r="P75" s="16">
        <v>0</v>
      </c>
      <c r="Q75" s="17">
        <v>1</v>
      </c>
      <c r="R75" s="17">
        <v>1</v>
      </c>
      <c r="S75" s="17">
        <v>0</v>
      </c>
      <c r="T75" s="17">
        <v>1</v>
      </c>
      <c r="U75" s="17">
        <v>1</v>
      </c>
      <c r="V75" s="17">
        <v>1</v>
      </c>
      <c r="W75" s="17">
        <v>1</v>
      </c>
      <c r="X75" s="16">
        <v>0</v>
      </c>
      <c r="Y75" s="16">
        <v>1</v>
      </c>
      <c r="Z75" s="16">
        <v>1</v>
      </c>
      <c r="AA75" s="16">
        <v>0</v>
      </c>
      <c r="AB75" s="16">
        <v>1</v>
      </c>
      <c r="AC75" s="16">
        <v>1</v>
      </c>
      <c r="AD75" s="16">
        <v>1</v>
      </c>
      <c r="AE75" s="16">
        <v>1</v>
      </c>
      <c r="AF75" s="17">
        <f t="shared" si="0"/>
        <v>0.5</v>
      </c>
      <c r="AG75" s="17">
        <f t="shared" si="1"/>
        <v>0.5</v>
      </c>
      <c r="AH75" s="17">
        <f t="shared" si="2"/>
        <v>1</v>
      </c>
      <c r="AI75" s="17">
        <f t="shared" si="3"/>
        <v>1</v>
      </c>
      <c r="AJ75" s="17">
        <v>0</v>
      </c>
      <c r="AK75" s="17">
        <v>0</v>
      </c>
      <c r="AL75" s="17">
        <v>0</v>
      </c>
      <c r="AM75" s="17">
        <v>2</v>
      </c>
      <c r="AN75" s="17">
        <v>18</v>
      </c>
      <c r="AO75" s="17">
        <v>1</v>
      </c>
      <c r="AP75" s="17">
        <v>1</v>
      </c>
    </row>
    <row r="76" spans="1:42" ht="14.25" customHeight="1" x14ac:dyDescent="0.35">
      <c r="A76" s="17">
        <v>16015</v>
      </c>
      <c r="B76" s="18" t="s">
        <v>61</v>
      </c>
      <c r="C76" s="19" t="s">
        <v>69</v>
      </c>
      <c r="D76" s="19" t="s">
        <v>62</v>
      </c>
      <c r="E76" s="17">
        <v>1</v>
      </c>
      <c r="F76" s="17">
        <v>3</v>
      </c>
      <c r="G76" s="17">
        <v>2</v>
      </c>
      <c r="H76" s="16">
        <v>1</v>
      </c>
      <c r="I76" s="16">
        <v>0</v>
      </c>
      <c r="J76" s="16">
        <v>0</v>
      </c>
      <c r="K76" s="16">
        <v>0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7">
        <v>0</v>
      </c>
      <c r="R76" s="17">
        <v>0</v>
      </c>
      <c r="S76" s="17">
        <v>0</v>
      </c>
      <c r="T76" s="17">
        <v>1</v>
      </c>
      <c r="U76" s="17">
        <v>1</v>
      </c>
      <c r="V76" s="17">
        <v>1</v>
      </c>
      <c r="W76" s="17">
        <v>1</v>
      </c>
      <c r="X76" s="16">
        <v>1</v>
      </c>
      <c r="Y76" s="16">
        <v>0</v>
      </c>
      <c r="Z76" s="16">
        <v>0</v>
      </c>
      <c r="AA76" s="16">
        <v>0</v>
      </c>
      <c r="AB76" s="16">
        <v>1</v>
      </c>
      <c r="AC76" s="16">
        <v>1</v>
      </c>
      <c r="AD76" s="16">
        <v>1</v>
      </c>
      <c r="AE76" s="16">
        <v>1</v>
      </c>
      <c r="AF76" s="17">
        <f t="shared" si="0"/>
        <v>0.5</v>
      </c>
      <c r="AG76" s="17">
        <f t="shared" si="1"/>
        <v>0</v>
      </c>
      <c r="AH76" s="17">
        <f t="shared" si="2"/>
        <v>1</v>
      </c>
      <c r="AI76" s="17">
        <f t="shared" si="3"/>
        <v>1</v>
      </c>
      <c r="AJ76" s="17">
        <v>0</v>
      </c>
      <c r="AK76" s="17">
        <v>0</v>
      </c>
      <c r="AL76" s="17">
        <v>0</v>
      </c>
      <c r="AM76" s="17">
        <v>1</v>
      </c>
      <c r="AN76" s="17">
        <v>18</v>
      </c>
      <c r="AO76" s="17">
        <v>1</v>
      </c>
      <c r="AP76" s="17">
        <v>1</v>
      </c>
    </row>
    <row r="77" spans="1:42" ht="14.25" customHeight="1" x14ac:dyDescent="0.35">
      <c r="A77" s="17">
        <v>15505</v>
      </c>
      <c r="B77" s="18" t="s">
        <v>61</v>
      </c>
      <c r="C77" s="19" t="s">
        <v>69</v>
      </c>
      <c r="D77" s="19" t="s">
        <v>62</v>
      </c>
      <c r="E77" s="17">
        <v>2</v>
      </c>
      <c r="F77" s="17">
        <v>4</v>
      </c>
      <c r="G77" s="17">
        <v>1</v>
      </c>
      <c r="H77" s="16">
        <v>0</v>
      </c>
      <c r="I77" s="16">
        <v>0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0</v>
      </c>
      <c r="Q77" s="17">
        <v>0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6">
        <v>0</v>
      </c>
      <c r="Y77" s="16">
        <v>0</v>
      </c>
      <c r="Z77" s="16">
        <v>1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7">
        <f t="shared" si="0"/>
        <v>0</v>
      </c>
      <c r="AG77" s="17">
        <f t="shared" si="1"/>
        <v>1</v>
      </c>
      <c r="AH77" s="17">
        <f t="shared" si="2"/>
        <v>1</v>
      </c>
      <c r="AI77" s="17">
        <f t="shared" si="3"/>
        <v>1</v>
      </c>
      <c r="AJ77" s="17">
        <v>0</v>
      </c>
      <c r="AK77" s="17">
        <v>0</v>
      </c>
      <c r="AL77" s="17">
        <v>0</v>
      </c>
      <c r="AM77" s="17">
        <v>1</v>
      </c>
      <c r="AN77" s="17">
        <v>18</v>
      </c>
      <c r="AO77" s="17">
        <v>1</v>
      </c>
      <c r="AP77" s="17">
        <v>1</v>
      </c>
    </row>
    <row r="78" spans="1:42" ht="14.25" customHeight="1" x14ac:dyDescent="0.35">
      <c r="A78" s="17">
        <v>15817</v>
      </c>
      <c r="B78" s="18" t="s">
        <v>61</v>
      </c>
      <c r="C78" s="19" t="s">
        <v>69</v>
      </c>
      <c r="D78" s="19" t="s">
        <v>62</v>
      </c>
      <c r="E78" s="17">
        <v>2</v>
      </c>
      <c r="F78" s="17">
        <v>3</v>
      </c>
      <c r="G78" s="17">
        <v>2</v>
      </c>
      <c r="H78" s="16">
        <v>0</v>
      </c>
      <c r="I78" s="16">
        <v>1</v>
      </c>
      <c r="J78" s="16">
        <v>1</v>
      </c>
      <c r="K78" s="16">
        <v>0</v>
      </c>
      <c r="L78" s="16">
        <v>1</v>
      </c>
      <c r="M78" s="16">
        <v>1</v>
      </c>
      <c r="N78" s="16">
        <v>1</v>
      </c>
      <c r="O78" s="16">
        <v>1</v>
      </c>
      <c r="P78" s="16">
        <v>0</v>
      </c>
      <c r="Q78" s="17">
        <v>1</v>
      </c>
      <c r="R78" s="17">
        <v>1</v>
      </c>
      <c r="S78" s="17">
        <v>0</v>
      </c>
      <c r="T78" s="17">
        <v>1</v>
      </c>
      <c r="U78" s="17">
        <v>1</v>
      </c>
      <c r="V78" s="17">
        <v>1</v>
      </c>
      <c r="W78" s="17">
        <v>1</v>
      </c>
      <c r="X78" s="16">
        <v>0</v>
      </c>
      <c r="Y78" s="16">
        <v>1</v>
      </c>
      <c r="Z78" s="16">
        <v>1</v>
      </c>
      <c r="AA78" s="16">
        <v>0</v>
      </c>
      <c r="AB78" s="16">
        <v>1</v>
      </c>
      <c r="AC78" s="16">
        <v>1</v>
      </c>
      <c r="AD78" s="16">
        <v>1</v>
      </c>
      <c r="AE78" s="16">
        <v>1</v>
      </c>
      <c r="AF78" s="17">
        <f t="shared" si="0"/>
        <v>0.5</v>
      </c>
      <c r="AG78" s="17">
        <f t="shared" si="1"/>
        <v>0.5</v>
      </c>
      <c r="AH78" s="17">
        <f t="shared" si="2"/>
        <v>1</v>
      </c>
      <c r="AI78" s="17">
        <f t="shared" si="3"/>
        <v>1</v>
      </c>
      <c r="AJ78" s="17">
        <v>0</v>
      </c>
      <c r="AK78" s="17">
        <v>0</v>
      </c>
      <c r="AL78" s="17">
        <v>0</v>
      </c>
      <c r="AM78" s="17">
        <v>1</v>
      </c>
      <c r="AN78" s="17">
        <v>19</v>
      </c>
      <c r="AO78" s="17">
        <v>1</v>
      </c>
      <c r="AP78" s="17">
        <v>1</v>
      </c>
    </row>
    <row r="79" spans="1:42" ht="14.25" customHeight="1" x14ac:dyDescent="0.35">
      <c r="A79" s="17">
        <v>14689</v>
      </c>
      <c r="B79" s="18" t="s">
        <v>61</v>
      </c>
      <c r="C79" s="19" t="s">
        <v>69</v>
      </c>
      <c r="D79" s="19" t="s">
        <v>62</v>
      </c>
      <c r="E79" s="17">
        <v>2</v>
      </c>
      <c r="F79" s="17">
        <v>4</v>
      </c>
      <c r="G79" s="17">
        <v>1</v>
      </c>
      <c r="H79" s="16">
        <v>0</v>
      </c>
      <c r="I79" s="17" t="s">
        <v>67</v>
      </c>
      <c r="J79" s="16">
        <v>0</v>
      </c>
      <c r="K79" s="17" t="s">
        <v>67</v>
      </c>
      <c r="L79" s="16">
        <v>1</v>
      </c>
      <c r="M79" s="16">
        <v>1</v>
      </c>
      <c r="N79" s="16">
        <v>1</v>
      </c>
      <c r="O79" s="16">
        <v>1</v>
      </c>
      <c r="P79" s="16">
        <v>0</v>
      </c>
      <c r="Q79" s="17" t="s">
        <v>67</v>
      </c>
      <c r="R79" s="17">
        <v>0</v>
      </c>
      <c r="S79" s="17" t="s">
        <v>67</v>
      </c>
      <c r="T79" s="17">
        <v>1</v>
      </c>
      <c r="U79" s="17">
        <v>1</v>
      </c>
      <c r="V79" s="17">
        <v>1</v>
      </c>
      <c r="W79" s="17">
        <v>1</v>
      </c>
      <c r="X79" s="16">
        <v>0</v>
      </c>
      <c r="Y79" s="16" t="s">
        <v>67</v>
      </c>
      <c r="Z79" s="16">
        <v>0</v>
      </c>
      <c r="AA79" s="16" t="s">
        <v>67</v>
      </c>
      <c r="AB79" s="16">
        <v>1</v>
      </c>
      <c r="AC79" s="16">
        <v>1</v>
      </c>
      <c r="AD79" s="16">
        <v>1</v>
      </c>
      <c r="AE79" s="16">
        <v>1</v>
      </c>
      <c r="AF79" s="17">
        <f t="shared" si="0"/>
        <v>0</v>
      </c>
      <c r="AG79" s="17">
        <f t="shared" si="1"/>
        <v>0</v>
      </c>
      <c r="AH79" s="17">
        <f t="shared" si="2"/>
        <v>1</v>
      </c>
      <c r="AI79" s="17">
        <f t="shared" si="3"/>
        <v>1</v>
      </c>
      <c r="AJ79" s="17">
        <v>0</v>
      </c>
      <c r="AK79" s="17">
        <v>0</v>
      </c>
      <c r="AL79" s="17">
        <v>0</v>
      </c>
      <c r="AM79" s="17">
        <v>1</v>
      </c>
      <c r="AN79" s="17">
        <v>21</v>
      </c>
      <c r="AO79" s="17">
        <v>1</v>
      </c>
      <c r="AP79" s="17">
        <v>1</v>
      </c>
    </row>
    <row r="80" spans="1:42" ht="14.25" customHeight="1" x14ac:dyDescent="0.35">
      <c r="A80" s="17">
        <v>15163</v>
      </c>
      <c r="B80" s="18" t="s">
        <v>61</v>
      </c>
      <c r="C80" s="19" t="s">
        <v>69</v>
      </c>
      <c r="D80" s="19" t="s">
        <v>62</v>
      </c>
      <c r="E80" s="17">
        <v>1</v>
      </c>
      <c r="F80" s="17">
        <v>1</v>
      </c>
      <c r="G80" s="17">
        <v>2</v>
      </c>
      <c r="H80" s="16">
        <v>0</v>
      </c>
      <c r="I80" s="16">
        <v>0</v>
      </c>
      <c r="J80" s="16">
        <v>0</v>
      </c>
      <c r="K80" s="16">
        <v>0</v>
      </c>
      <c r="L80" s="16">
        <v>1</v>
      </c>
      <c r="M80" s="16">
        <v>1</v>
      </c>
      <c r="N80" s="16">
        <v>1</v>
      </c>
      <c r="O80" s="16">
        <v>1</v>
      </c>
      <c r="P80" s="16">
        <v>0</v>
      </c>
      <c r="Q80" s="17">
        <v>0</v>
      </c>
      <c r="R80" s="17">
        <v>0</v>
      </c>
      <c r="S80" s="17">
        <v>0</v>
      </c>
      <c r="T80" s="17">
        <v>1</v>
      </c>
      <c r="U80" s="17">
        <v>1</v>
      </c>
      <c r="V80" s="17">
        <v>1</v>
      </c>
      <c r="W80" s="17">
        <v>1</v>
      </c>
      <c r="X80" s="16">
        <v>0</v>
      </c>
      <c r="Y80" s="16">
        <v>0</v>
      </c>
      <c r="Z80" s="16">
        <v>0</v>
      </c>
      <c r="AA80" s="16">
        <v>0</v>
      </c>
      <c r="AB80" s="16">
        <v>1</v>
      </c>
      <c r="AC80" s="16">
        <v>1</v>
      </c>
      <c r="AD80" s="16">
        <v>1</v>
      </c>
      <c r="AE80" s="16">
        <v>1</v>
      </c>
      <c r="AF80" s="17">
        <f t="shared" si="0"/>
        <v>0</v>
      </c>
      <c r="AG80" s="17">
        <f t="shared" si="1"/>
        <v>0</v>
      </c>
      <c r="AH80" s="17">
        <f t="shared" si="2"/>
        <v>1</v>
      </c>
      <c r="AI80" s="17">
        <f t="shared" si="3"/>
        <v>1</v>
      </c>
      <c r="AJ80" s="17">
        <v>0</v>
      </c>
      <c r="AK80" s="17">
        <v>0</v>
      </c>
      <c r="AL80" s="17">
        <v>0</v>
      </c>
      <c r="AM80" s="17">
        <v>2</v>
      </c>
      <c r="AN80" s="17">
        <v>18</v>
      </c>
      <c r="AO80" s="17">
        <v>1</v>
      </c>
      <c r="AP80" s="17">
        <v>1</v>
      </c>
    </row>
    <row r="81" spans="1:42" ht="14.25" customHeight="1" x14ac:dyDescent="0.35">
      <c r="A81" s="17">
        <v>14752</v>
      </c>
      <c r="B81" s="18" t="s">
        <v>61</v>
      </c>
      <c r="C81" s="19" t="s">
        <v>69</v>
      </c>
      <c r="D81" s="19" t="s">
        <v>62</v>
      </c>
      <c r="E81" s="17">
        <v>2</v>
      </c>
      <c r="F81" s="17">
        <v>1</v>
      </c>
      <c r="G81" s="17">
        <v>1</v>
      </c>
      <c r="H81" s="16">
        <v>0</v>
      </c>
      <c r="I81" s="16">
        <v>0</v>
      </c>
      <c r="J81" s="16">
        <v>0</v>
      </c>
      <c r="K81" s="17" t="s">
        <v>67</v>
      </c>
      <c r="L81" s="16">
        <v>1</v>
      </c>
      <c r="M81" s="16">
        <v>1</v>
      </c>
      <c r="N81" s="16">
        <v>1</v>
      </c>
      <c r="O81" s="16">
        <v>1</v>
      </c>
      <c r="P81" s="16">
        <v>0</v>
      </c>
      <c r="Q81" s="17">
        <v>0</v>
      </c>
      <c r="R81" s="17">
        <v>0</v>
      </c>
      <c r="S81" s="17" t="s">
        <v>67</v>
      </c>
      <c r="T81" s="17">
        <v>1</v>
      </c>
      <c r="U81" s="17">
        <v>1</v>
      </c>
      <c r="V81" s="17">
        <v>1</v>
      </c>
      <c r="W81" s="17">
        <v>1</v>
      </c>
      <c r="X81" s="16">
        <v>0</v>
      </c>
      <c r="Y81" s="16">
        <v>0</v>
      </c>
      <c r="Z81" s="16">
        <v>0</v>
      </c>
      <c r="AA81" s="16" t="s">
        <v>67</v>
      </c>
      <c r="AB81" s="16">
        <v>1</v>
      </c>
      <c r="AC81" s="16">
        <v>1</v>
      </c>
      <c r="AD81" s="16">
        <v>1</v>
      </c>
      <c r="AE81" s="16">
        <v>1</v>
      </c>
      <c r="AF81" s="17">
        <f t="shared" si="0"/>
        <v>0</v>
      </c>
      <c r="AG81" s="17">
        <f t="shared" si="1"/>
        <v>0</v>
      </c>
      <c r="AH81" s="17">
        <f t="shared" si="2"/>
        <v>1</v>
      </c>
      <c r="AI81" s="17">
        <f t="shared" si="3"/>
        <v>1</v>
      </c>
      <c r="AJ81" s="17">
        <v>0</v>
      </c>
      <c r="AK81" s="17">
        <v>0</v>
      </c>
      <c r="AL81" s="17">
        <v>0</v>
      </c>
      <c r="AM81" s="17">
        <v>1</v>
      </c>
      <c r="AN81" s="17">
        <v>19</v>
      </c>
      <c r="AO81" s="17">
        <v>1</v>
      </c>
      <c r="AP81" s="17">
        <v>1</v>
      </c>
    </row>
    <row r="82" spans="1:42" ht="14.25" customHeight="1" x14ac:dyDescent="0.35">
      <c r="A82" s="17">
        <v>14755</v>
      </c>
      <c r="B82" s="18" t="s">
        <v>61</v>
      </c>
      <c r="C82" s="19" t="s">
        <v>69</v>
      </c>
      <c r="D82" s="19" t="s">
        <v>62</v>
      </c>
      <c r="E82" s="17">
        <v>1</v>
      </c>
      <c r="F82" s="17">
        <v>3</v>
      </c>
      <c r="G82" s="17">
        <v>2</v>
      </c>
      <c r="H82" s="16">
        <v>0</v>
      </c>
      <c r="I82" s="16">
        <v>0</v>
      </c>
      <c r="J82" s="16">
        <v>0</v>
      </c>
      <c r="K82" s="16">
        <v>0</v>
      </c>
      <c r="L82" s="16">
        <v>1</v>
      </c>
      <c r="M82" s="16">
        <v>1</v>
      </c>
      <c r="N82" s="16">
        <v>1</v>
      </c>
      <c r="O82" s="16">
        <v>1</v>
      </c>
      <c r="P82" s="16">
        <v>0</v>
      </c>
      <c r="Q82" s="17">
        <v>0</v>
      </c>
      <c r="R82" s="17">
        <v>0</v>
      </c>
      <c r="S82" s="17">
        <v>0</v>
      </c>
      <c r="T82" s="17">
        <v>1</v>
      </c>
      <c r="U82" s="17">
        <v>1</v>
      </c>
      <c r="V82" s="17">
        <v>1</v>
      </c>
      <c r="W82" s="17">
        <v>1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1</v>
      </c>
      <c r="AE82" s="16">
        <v>1</v>
      </c>
      <c r="AF82" s="17">
        <f t="shared" si="0"/>
        <v>0</v>
      </c>
      <c r="AG82" s="17">
        <f t="shared" si="1"/>
        <v>0</v>
      </c>
      <c r="AH82" s="17">
        <f t="shared" si="2"/>
        <v>1</v>
      </c>
      <c r="AI82" s="17">
        <f t="shared" si="3"/>
        <v>1</v>
      </c>
      <c r="AJ82" s="17">
        <v>0</v>
      </c>
      <c r="AK82" s="17">
        <v>0</v>
      </c>
      <c r="AL82" s="17">
        <v>0</v>
      </c>
      <c r="AM82" s="17">
        <v>2</v>
      </c>
      <c r="AN82" s="17">
        <v>18</v>
      </c>
      <c r="AO82" s="17">
        <v>1</v>
      </c>
      <c r="AP82" s="17">
        <v>1</v>
      </c>
    </row>
    <row r="83" spans="1:42" ht="14.25" customHeight="1" x14ac:dyDescent="0.35">
      <c r="A83" s="17">
        <v>15262</v>
      </c>
      <c r="B83" s="18" t="s">
        <v>61</v>
      </c>
      <c r="C83" s="19" t="s">
        <v>69</v>
      </c>
      <c r="D83" s="19" t="s">
        <v>62</v>
      </c>
      <c r="E83" s="17">
        <v>2</v>
      </c>
      <c r="F83" s="17">
        <v>1</v>
      </c>
      <c r="G83" s="17">
        <v>1</v>
      </c>
      <c r="H83" s="16">
        <v>0</v>
      </c>
      <c r="I83" s="16">
        <v>0</v>
      </c>
      <c r="J83" s="16">
        <v>1</v>
      </c>
      <c r="K83" s="16">
        <v>0</v>
      </c>
      <c r="L83" s="16">
        <v>1</v>
      </c>
      <c r="M83" s="16">
        <v>1</v>
      </c>
      <c r="N83" s="16">
        <v>1</v>
      </c>
      <c r="O83" s="16">
        <v>1</v>
      </c>
      <c r="P83" s="16">
        <v>0</v>
      </c>
      <c r="Q83" s="17">
        <v>0</v>
      </c>
      <c r="R83" s="17">
        <v>1</v>
      </c>
      <c r="S83" s="17">
        <v>0</v>
      </c>
      <c r="T83" s="17">
        <v>1</v>
      </c>
      <c r="U83" s="17">
        <v>1</v>
      </c>
      <c r="V83" s="17">
        <v>1</v>
      </c>
      <c r="W83" s="17">
        <v>1</v>
      </c>
      <c r="X83" s="16">
        <v>0</v>
      </c>
      <c r="Y83" s="16">
        <v>0</v>
      </c>
      <c r="Z83" s="16">
        <v>1</v>
      </c>
      <c r="AA83" s="16">
        <v>0</v>
      </c>
      <c r="AB83" s="16">
        <v>1</v>
      </c>
      <c r="AC83" s="16">
        <v>1</v>
      </c>
      <c r="AD83" s="16">
        <v>1</v>
      </c>
      <c r="AE83" s="16">
        <v>1</v>
      </c>
      <c r="AF83" s="17">
        <f t="shared" si="0"/>
        <v>0</v>
      </c>
      <c r="AG83" s="17">
        <f t="shared" si="1"/>
        <v>0.5</v>
      </c>
      <c r="AH83" s="17">
        <f t="shared" si="2"/>
        <v>1</v>
      </c>
      <c r="AI83" s="17">
        <f t="shared" si="3"/>
        <v>1</v>
      </c>
      <c r="AJ83" s="17">
        <v>0</v>
      </c>
      <c r="AK83" s="17">
        <v>0</v>
      </c>
      <c r="AL83" s="17">
        <v>0</v>
      </c>
      <c r="AM83" s="17">
        <v>1</v>
      </c>
      <c r="AN83" s="17">
        <v>18</v>
      </c>
      <c r="AO83" s="17">
        <v>1</v>
      </c>
      <c r="AP83" s="17">
        <v>1</v>
      </c>
    </row>
    <row r="84" spans="1:42" ht="14.25" customHeight="1" x14ac:dyDescent="0.35">
      <c r="A84" s="17">
        <v>14914</v>
      </c>
      <c r="B84" s="18" t="s">
        <v>61</v>
      </c>
      <c r="C84" s="19" t="s">
        <v>69</v>
      </c>
      <c r="D84" s="19" t="s">
        <v>62</v>
      </c>
      <c r="E84" s="17">
        <v>2</v>
      </c>
      <c r="F84" s="17">
        <v>4</v>
      </c>
      <c r="G84" s="17">
        <v>1</v>
      </c>
      <c r="H84" s="16">
        <v>0</v>
      </c>
      <c r="I84" s="16">
        <v>0</v>
      </c>
      <c r="J84" s="16">
        <v>0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0</v>
      </c>
      <c r="Q84" s="17">
        <v>0</v>
      </c>
      <c r="R84" s="17">
        <v>0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6">
        <v>0</v>
      </c>
      <c r="Y84" s="16">
        <v>0</v>
      </c>
      <c r="Z84" s="16">
        <v>0</v>
      </c>
      <c r="AA84" s="16">
        <v>1</v>
      </c>
      <c r="AB84" s="16">
        <v>1</v>
      </c>
      <c r="AC84" s="16">
        <v>1</v>
      </c>
      <c r="AD84" s="16">
        <v>1</v>
      </c>
      <c r="AE84" s="16">
        <v>1</v>
      </c>
      <c r="AF84" s="17">
        <f t="shared" si="0"/>
        <v>0</v>
      </c>
      <c r="AG84" s="17">
        <f t="shared" si="1"/>
        <v>0.5</v>
      </c>
      <c r="AH84" s="17">
        <f t="shared" si="2"/>
        <v>1</v>
      </c>
      <c r="AI84" s="17">
        <f t="shared" si="3"/>
        <v>1</v>
      </c>
      <c r="AJ84" s="17">
        <v>0</v>
      </c>
      <c r="AK84" s="17">
        <v>0</v>
      </c>
      <c r="AL84" s="17">
        <v>0</v>
      </c>
      <c r="AM84" s="17">
        <v>1</v>
      </c>
      <c r="AN84" s="17">
        <v>18</v>
      </c>
      <c r="AO84" s="17">
        <v>1</v>
      </c>
      <c r="AP84" s="17">
        <v>1</v>
      </c>
    </row>
    <row r="85" spans="1:42" ht="14.25" customHeight="1" x14ac:dyDescent="0.35">
      <c r="A85" s="17">
        <v>15730</v>
      </c>
      <c r="B85" s="18" t="s">
        <v>61</v>
      </c>
      <c r="C85" s="19" t="s">
        <v>69</v>
      </c>
      <c r="D85" s="19" t="s">
        <v>62</v>
      </c>
      <c r="E85" s="17">
        <v>1</v>
      </c>
      <c r="F85" s="17">
        <v>1</v>
      </c>
      <c r="G85" s="17">
        <v>2</v>
      </c>
      <c r="H85" s="16">
        <v>0</v>
      </c>
      <c r="I85" s="16">
        <v>0</v>
      </c>
      <c r="J85" s="16">
        <v>0</v>
      </c>
      <c r="K85" s="17" t="s">
        <v>67</v>
      </c>
      <c r="L85" s="16">
        <v>1</v>
      </c>
      <c r="M85" s="16">
        <v>1</v>
      </c>
      <c r="N85" s="16">
        <v>1</v>
      </c>
      <c r="O85" s="16">
        <v>1</v>
      </c>
      <c r="P85" s="16">
        <v>0</v>
      </c>
      <c r="Q85" s="17">
        <v>0</v>
      </c>
      <c r="R85" s="17">
        <v>0</v>
      </c>
      <c r="S85" s="17" t="s">
        <v>67</v>
      </c>
      <c r="T85" s="17">
        <v>1</v>
      </c>
      <c r="U85" s="17">
        <v>1</v>
      </c>
      <c r="V85" s="17">
        <v>1</v>
      </c>
      <c r="W85" s="17">
        <v>1</v>
      </c>
      <c r="X85" s="16">
        <v>0</v>
      </c>
      <c r="Y85" s="16">
        <v>0</v>
      </c>
      <c r="Z85" s="16">
        <v>0</v>
      </c>
      <c r="AA85" s="16" t="s">
        <v>67</v>
      </c>
      <c r="AB85" s="16">
        <v>1</v>
      </c>
      <c r="AC85" s="16">
        <v>1</v>
      </c>
      <c r="AD85" s="16">
        <v>1</v>
      </c>
      <c r="AE85" s="16">
        <v>1</v>
      </c>
      <c r="AF85" s="17">
        <f t="shared" si="0"/>
        <v>0</v>
      </c>
      <c r="AG85" s="17">
        <f t="shared" si="1"/>
        <v>0</v>
      </c>
      <c r="AH85" s="17">
        <f t="shared" si="2"/>
        <v>1</v>
      </c>
      <c r="AI85" s="17">
        <f t="shared" si="3"/>
        <v>1</v>
      </c>
      <c r="AJ85" s="17">
        <v>0</v>
      </c>
      <c r="AK85" s="17">
        <v>0</v>
      </c>
      <c r="AL85" s="17">
        <v>0</v>
      </c>
      <c r="AM85" s="17">
        <v>2</v>
      </c>
      <c r="AN85" s="17">
        <v>23</v>
      </c>
      <c r="AO85" s="17">
        <v>2</v>
      </c>
      <c r="AP85" s="17">
        <v>1</v>
      </c>
    </row>
    <row r="86" spans="1:42" ht="14.25" customHeight="1" x14ac:dyDescent="0.35">
      <c r="A86" s="17">
        <v>14932</v>
      </c>
      <c r="B86" s="18" t="s">
        <v>61</v>
      </c>
      <c r="C86" s="19" t="s">
        <v>69</v>
      </c>
      <c r="D86" s="19" t="s">
        <v>62</v>
      </c>
      <c r="E86" s="17">
        <v>1</v>
      </c>
      <c r="F86" s="17">
        <v>2</v>
      </c>
      <c r="G86" s="17">
        <v>1</v>
      </c>
      <c r="H86" s="16">
        <v>0</v>
      </c>
      <c r="I86" s="16">
        <v>0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0</v>
      </c>
      <c r="Q86" s="17">
        <v>0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6">
        <v>0</v>
      </c>
      <c r="Y86" s="16">
        <v>0</v>
      </c>
      <c r="Z86" s="16">
        <v>1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7">
        <f t="shared" si="0"/>
        <v>0</v>
      </c>
      <c r="AG86" s="17">
        <f t="shared" si="1"/>
        <v>1</v>
      </c>
      <c r="AH86" s="17">
        <f t="shared" si="2"/>
        <v>1</v>
      </c>
      <c r="AI86" s="17">
        <f t="shared" si="3"/>
        <v>1</v>
      </c>
      <c r="AJ86" s="17">
        <v>0</v>
      </c>
      <c r="AK86" s="17">
        <v>0</v>
      </c>
      <c r="AL86" s="17">
        <v>0</v>
      </c>
      <c r="AM86" s="17">
        <v>1</v>
      </c>
      <c r="AN86" s="17">
        <v>18</v>
      </c>
      <c r="AO86" s="17">
        <v>1</v>
      </c>
      <c r="AP86" s="17">
        <v>1</v>
      </c>
    </row>
    <row r="87" spans="1:42" ht="14.25" customHeight="1" x14ac:dyDescent="0.35">
      <c r="A87" s="17">
        <v>16216</v>
      </c>
      <c r="B87" s="18" t="s">
        <v>61</v>
      </c>
      <c r="C87" s="19" t="s">
        <v>69</v>
      </c>
      <c r="D87" s="19" t="s">
        <v>62</v>
      </c>
      <c r="E87" s="17">
        <v>2</v>
      </c>
      <c r="F87" s="17">
        <v>2</v>
      </c>
      <c r="G87" s="17">
        <v>2</v>
      </c>
      <c r="H87" s="16">
        <v>1</v>
      </c>
      <c r="I87" s="16">
        <v>0</v>
      </c>
      <c r="J87" s="16">
        <v>0</v>
      </c>
      <c r="K87" s="17" t="s">
        <v>67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7">
        <v>0</v>
      </c>
      <c r="R87" s="17">
        <v>0</v>
      </c>
      <c r="S87" s="17" t="s">
        <v>67</v>
      </c>
      <c r="T87" s="17">
        <v>1</v>
      </c>
      <c r="U87" s="17">
        <v>1</v>
      </c>
      <c r="V87" s="17">
        <v>1</v>
      </c>
      <c r="W87" s="17">
        <v>1</v>
      </c>
      <c r="X87" s="16">
        <v>1</v>
      </c>
      <c r="Y87" s="16">
        <v>0</v>
      </c>
      <c r="Z87" s="16">
        <v>0</v>
      </c>
      <c r="AA87" s="16" t="s">
        <v>67</v>
      </c>
      <c r="AB87" s="16">
        <v>1</v>
      </c>
      <c r="AC87" s="16">
        <v>1</v>
      </c>
      <c r="AD87" s="16">
        <v>1</v>
      </c>
      <c r="AE87" s="16">
        <v>1</v>
      </c>
      <c r="AF87" s="17">
        <f t="shared" si="0"/>
        <v>0.5</v>
      </c>
      <c r="AG87" s="17">
        <f t="shared" si="1"/>
        <v>0</v>
      </c>
      <c r="AH87" s="17">
        <f t="shared" si="2"/>
        <v>1</v>
      </c>
      <c r="AI87" s="17">
        <f t="shared" si="3"/>
        <v>1</v>
      </c>
      <c r="AJ87" s="17">
        <v>0</v>
      </c>
      <c r="AK87" s="17">
        <v>0</v>
      </c>
      <c r="AL87" s="17">
        <v>0</v>
      </c>
      <c r="AM87" s="17">
        <v>1</v>
      </c>
      <c r="AN87" s="17">
        <v>18</v>
      </c>
      <c r="AO87" s="17">
        <v>1</v>
      </c>
      <c r="AP87" s="17">
        <v>1</v>
      </c>
    </row>
    <row r="88" spans="1:42" ht="14.25" customHeight="1" x14ac:dyDescent="0.35">
      <c r="A88" s="17">
        <v>16492</v>
      </c>
      <c r="B88" s="18" t="s">
        <v>61</v>
      </c>
      <c r="C88" s="19" t="s">
        <v>69</v>
      </c>
      <c r="D88" s="19" t="s">
        <v>62</v>
      </c>
      <c r="E88" s="17">
        <v>2</v>
      </c>
      <c r="F88" s="17">
        <v>2</v>
      </c>
      <c r="G88" s="17">
        <v>2</v>
      </c>
      <c r="H88" s="16">
        <v>1</v>
      </c>
      <c r="I88" s="16">
        <v>0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7">
        <v>0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6">
        <v>1</v>
      </c>
      <c r="Y88" s="16">
        <v>0</v>
      </c>
      <c r="Z88" s="16">
        <v>1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7">
        <f t="shared" si="0"/>
        <v>0.5</v>
      </c>
      <c r="AG88" s="17">
        <f t="shared" si="1"/>
        <v>1</v>
      </c>
      <c r="AH88" s="17">
        <f t="shared" si="2"/>
        <v>1</v>
      </c>
      <c r="AI88" s="17">
        <f t="shared" si="3"/>
        <v>1</v>
      </c>
      <c r="AJ88" s="17">
        <v>0</v>
      </c>
      <c r="AK88" s="17">
        <v>0</v>
      </c>
      <c r="AL88" s="17">
        <v>0</v>
      </c>
      <c r="AM88" s="17">
        <v>1</v>
      </c>
      <c r="AN88" s="17">
        <v>18</v>
      </c>
      <c r="AO88" s="17">
        <v>1</v>
      </c>
      <c r="AP88" s="17">
        <v>1</v>
      </c>
    </row>
    <row r="89" spans="1:42" ht="14.25" customHeight="1" x14ac:dyDescent="0.35">
      <c r="A89" s="17">
        <v>15196</v>
      </c>
      <c r="B89" s="18" t="s">
        <v>61</v>
      </c>
      <c r="C89" s="19" t="s">
        <v>69</v>
      </c>
      <c r="D89" s="19" t="s">
        <v>62</v>
      </c>
      <c r="E89" s="17">
        <v>1</v>
      </c>
      <c r="F89" s="17">
        <v>3</v>
      </c>
      <c r="G89" s="17">
        <v>1</v>
      </c>
      <c r="H89" s="16">
        <v>0</v>
      </c>
      <c r="I89" s="16">
        <v>0</v>
      </c>
      <c r="J89" s="16">
        <v>0</v>
      </c>
      <c r="K89" s="16">
        <v>0</v>
      </c>
      <c r="L89" s="16">
        <v>1</v>
      </c>
      <c r="M89" s="16">
        <v>1</v>
      </c>
      <c r="N89" s="16">
        <v>1</v>
      </c>
      <c r="O89" s="16">
        <v>1</v>
      </c>
      <c r="P89" s="16">
        <v>0</v>
      </c>
      <c r="Q89" s="17">
        <v>0</v>
      </c>
      <c r="R89" s="17">
        <v>0</v>
      </c>
      <c r="S89" s="17">
        <v>0</v>
      </c>
      <c r="T89" s="17">
        <v>1</v>
      </c>
      <c r="U89" s="17">
        <v>1</v>
      </c>
      <c r="V89" s="17">
        <v>1</v>
      </c>
      <c r="W89" s="17">
        <v>1</v>
      </c>
      <c r="X89" s="16">
        <v>0</v>
      </c>
      <c r="Y89" s="16">
        <v>0</v>
      </c>
      <c r="Z89" s="16">
        <v>0</v>
      </c>
      <c r="AA89" s="16">
        <v>0</v>
      </c>
      <c r="AB89" s="16">
        <v>1</v>
      </c>
      <c r="AC89" s="16">
        <v>1</v>
      </c>
      <c r="AD89" s="16">
        <v>1</v>
      </c>
      <c r="AE89" s="16">
        <v>1</v>
      </c>
      <c r="AF89" s="17">
        <f t="shared" si="0"/>
        <v>0</v>
      </c>
      <c r="AG89" s="17">
        <f t="shared" si="1"/>
        <v>0</v>
      </c>
      <c r="AH89" s="17">
        <f t="shared" si="2"/>
        <v>1</v>
      </c>
      <c r="AI89" s="17">
        <f t="shared" si="3"/>
        <v>1</v>
      </c>
      <c r="AJ89" s="17">
        <v>0</v>
      </c>
      <c r="AK89" s="17">
        <v>0</v>
      </c>
      <c r="AL89" s="17">
        <v>0</v>
      </c>
      <c r="AM89" s="17">
        <v>2</v>
      </c>
      <c r="AN89" s="17">
        <v>18</v>
      </c>
      <c r="AO89" s="17">
        <v>1</v>
      </c>
      <c r="AP89" s="17">
        <v>1</v>
      </c>
    </row>
    <row r="90" spans="1:42" ht="14.25" customHeight="1" x14ac:dyDescent="0.35">
      <c r="A90" s="17">
        <v>16132</v>
      </c>
      <c r="B90" s="18" t="s">
        <v>61</v>
      </c>
      <c r="C90" s="19" t="s">
        <v>69</v>
      </c>
      <c r="D90" s="19" t="s">
        <v>62</v>
      </c>
      <c r="E90" s="17">
        <v>2</v>
      </c>
      <c r="F90" s="17">
        <v>2</v>
      </c>
      <c r="G90" s="17">
        <v>2</v>
      </c>
      <c r="H90" s="16">
        <v>1</v>
      </c>
      <c r="I90" s="16">
        <v>0</v>
      </c>
      <c r="J90" s="16">
        <v>0</v>
      </c>
      <c r="K90" s="16">
        <v>1</v>
      </c>
      <c r="L90" s="16">
        <v>1</v>
      </c>
      <c r="M90" s="16">
        <v>1</v>
      </c>
      <c r="N90" s="16">
        <v>1</v>
      </c>
      <c r="O90" s="17" t="s">
        <v>67</v>
      </c>
      <c r="P90" s="16">
        <v>1</v>
      </c>
      <c r="Q90" s="17">
        <v>0</v>
      </c>
      <c r="R90" s="17">
        <v>0</v>
      </c>
      <c r="S90" s="17">
        <v>1</v>
      </c>
      <c r="T90" s="17">
        <v>1</v>
      </c>
      <c r="U90" s="17">
        <v>1</v>
      </c>
      <c r="V90" s="17">
        <v>1</v>
      </c>
      <c r="W90" s="17" t="s">
        <v>67</v>
      </c>
      <c r="X90" s="16">
        <v>1</v>
      </c>
      <c r="Y90" s="16">
        <v>0</v>
      </c>
      <c r="Z90" s="16">
        <v>0</v>
      </c>
      <c r="AA90" s="16">
        <v>1</v>
      </c>
      <c r="AB90" s="16">
        <v>1</v>
      </c>
      <c r="AC90" s="16">
        <v>1</v>
      </c>
      <c r="AD90" s="16">
        <v>1</v>
      </c>
      <c r="AE90" s="16" t="s">
        <v>67</v>
      </c>
      <c r="AF90" s="17">
        <f t="shared" si="0"/>
        <v>0.5</v>
      </c>
      <c r="AG90" s="17">
        <f t="shared" si="1"/>
        <v>0.5</v>
      </c>
      <c r="AH90" s="17">
        <f t="shared" si="2"/>
        <v>1</v>
      </c>
      <c r="AI90" s="17">
        <f t="shared" si="3"/>
        <v>1</v>
      </c>
      <c r="AJ90" s="17">
        <v>0</v>
      </c>
      <c r="AK90" s="17">
        <v>0</v>
      </c>
      <c r="AL90" s="17">
        <v>0</v>
      </c>
      <c r="AM90" s="17">
        <v>1</v>
      </c>
      <c r="AN90" s="17">
        <v>19</v>
      </c>
      <c r="AO90" s="17">
        <v>1</v>
      </c>
      <c r="AP90" s="17">
        <v>1</v>
      </c>
    </row>
    <row r="91" spans="1:42" ht="14.25" customHeight="1" x14ac:dyDescent="0.35">
      <c r="A91" s="17">
        <v>15142</v>
      </c>
      <c r="B91" s="18" t="s">
        <v>61</v>
      </c>
      <c r="C91" s="19" t="s">
        <v>69</v>
      </c>
      <c r="D91" s="19" t="s">
        <v>62</v>
      </c>
      <c r="E91" s="17">
        <v>2</v>
      </c>
      <c r="F91" s="17">
        <v>3</v>
      </c>
      <c r="G91" s="17">
        <v>1</v>
      </c>
      <c r="H91" s="16">
        <v>1</v>
      </c>
      <c r="I91" s="16">
        <v>1</v>
      </c>
      <c r="J91" s="16">
        <v>0</v>
      </c>
      <c r="K91" s="16">
        <v>0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7">
        <v>1</v>
      </c>
      <c r="R91" s="17">
        <v>0</v>
      </c>
      <c r="S91" s="17">
        <v>0</v>
      </c>
      <c r="T91" s="17">
        <v>1</v>
      </c>
      <c r="U91" s="17">
        <v>1</v>
      </c>
      <c r="V91" s="17">
        <v>1</v>
      </c>
      <c r="W91" s="17">
        <v>1</v>
      </c>
      <c r="X91" s="16">
        <v>1</v>
      </c>
      <c r="Y91" s="16">
        <v>1</v>
      </c>
      <c r="Z91" s="16">
        <v>0</v>
      </c>
      <c r="AA91" s="16">
        <v>0</v>
      </c>
      <c r="AB91" s="16">
        <v>1</v>
      </c>
      <c r="AC91" s="16">
        <v>1</v>
      </c>
      <c r="AD91" s="16">
        <v>1</v>
      </c>
      <c r="AE91" s="16">
        <v>1</v>
      </c>
      <c r="AF91" s="17">
        <f t="shared" si="0"/>
        <v>1</v>
      </c>
      <c r="AG91" s="17">
        <f t="shared" si="1"/>
        <v>0</v>
      </c>
      <c r="AH91" s="17">
        <f t="shared" si="2"/>
        <v>1</v>
      </c>
      <c r="AI91" s="17">
        <f t="shared" si="3"/>
        <v>1</v>
      </c>
      <c r="AJ91" s="17">
        <v>0</v>
      </c>
      <c r="AK91" s="17">
        <v>0</v>
      </c>
      <c r="AL91" s="17">
        <v>0</v>
      </c>
      <c r="AM91" s="17">
        <v>1</v>
      </c>
      <c r="AN91" s="17">
        <v>19</v>
      </c>
      <c r="AO91" s="17">
        <v>1</v>
      </c>
      <c r="AP91" s="17">
        <v>1</v>
      </c>
    </row>
    <row r="92" spans="1:42" ht="14.25" customHeight="1" x14ac:dyDescent="0.35">
      <c r="A92" s="17">
        <v>16201</v>
      </c>
      <c r="B92" s="18" t="s">
        <v>61</v>
      </c>
      <c r="C92" s="19" t="s">
        <v>69</v>
      </c>
      <c r="D92" s="19" t="s">
        <v>62</v>
      </c>
      <c r="E92" s="17">
        <v>2</v>
      </c>
      <c r="F92" s="17">
        <v>1</v>
      </c>
      <c r="G92" s="17">
        <v>2</v>
      </c>
      <c r="H92" s="16">
        <v>0</v>
      </c>
      <c r="I92" s="16">
        <v>0</v>
      </c>
      <c r="J92" s="16">
        <v>0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0</v>
      </c>
      <c r="Q92" s="17">
        <v>0</v>
      </c>
      <c r="R92" s="17">
        <v>0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6">
        <v>0</v>
      </c>
      <c r="Y92" s="16">
        <v>0</v>
      </c>
      <c r="Z92" s="16">
        <v>0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7">
        <f t="shared" si="0"/>
        <v>0</v>
      </c>
      <c r="AG92" s="17">
        <f t="shared" si="1"/>
        <v>0.5</v>
      </c>
      <c r="AH92" s="17">
        <f t="shared" si="2"/>
        <v>1</v>
      </c>
      <c r="AI92" s="17">
        <f t="shared" si="3"/>
        <v>1</v>
      </c>
      <c r="AJ92" s="17">
        <v>0</v>
      </c>
      <c r="AK92" s="17">
        <v>0</v>
      </c>
      <c r="AL92" s="17">
        <v>0</v>
      </c>
      <c r="AM92" s="17">
        <v>1</v>
      </c>
      <c r="AN92" s="17">
        <v>21</v>
      </c>
      <c r="AO92" s="17">
        <v>1</v>
      </c>
      <c r="AP92" s="17">
        <v>1</v>
      </c>
    </row>
    <row r="93" spans="1:42" ht="14.25" customHeight="1" x14ac:dyDescent="0.35">
      <c r="A93" s="17">
        <v>15271</v>
      </c>
      <c r="B93" s="18" t="s">
        <v>61</v>
      </c>
      <c r="C93" s="19" t="s">
        <v>69</v>
      </c>
      <c r="D93" s="19" t="s">
        <v>62</v>
      </c>
      <c r="E93" s="17">
        <v>2</v>
      </c>
      <c r="F93" s="17">
        <v>2</v>
      </c>
      <c r="G93" s="17">
        <v>1</v>
      </c>
      <c r="H93" s="16">
        <v>0</v>
      </c>
      <c r="I93" s="16">
        <v>0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7" t="s">
        <v>67</v>
      </c>
      <c r="P93" s="16">
        <v>0</v>
      </c>
      <c r="Q93" s="17">
        <v>0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 t="s">
        <v>67</v>
      </c>
      <c r="X93" s="16">
        <v>0</v>
      </c>
      <c r="Y93" s="16">
        <v>0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 t="s">
        <v>67</v>
      </c>
      <c r="AF93" s="17">
        <f t="shared" si="0"/>
        <v>0</v>
      </c>
      <c r="AG93" s="17">
        <f t="shared" si="1"/>
        <v>1</v>
      </c>
      <c r="AH93" s="17">
        <f t="shared" si="2"/>
        <v>1</v>
      </c>
      <c r="AI93" s="17">
        <f t="shared" si="3"/>
        <v>1</v>
      </c>
      <c r="AJ93" s="17">
        <v>0</v>
      </c>
      <c r="AK93" s="17">
        <v>0</v>
      </c>
      <c r="AL93" s="17">
        <v>0</v>
      </c>
      <c r="AM93" s="17">
        <v>1</v>
      </c>
      <c r="AN93" s="17">
        <v>19</v>
      </c>
      <c r="AO93" s="17">
        <v>1</v>
      </c>
      <c r="AP93" s="17">
        <v>1</v>
      </c>
    </row>
    <row r="94" spans="1:42" ht="14.25" customHeight="1" x14ac:dyDescent="0.35">
      <c r="A94" s="17">
        <v>16291</v>
      </c>
      <c r="B94" s="18" t="s">
        <v>61</v>
      </c>
      <c r="C94" s="19" t="s">
        <v>69</v>
      </c>
      <c r="D94" s="19" t="s">
        <v>62</v>
      </c>
      <c r="E94" s="17">
        <v>1</v>
      </c>
      <c r="F94" s="17">
        <v>3</v>
      </c>
      <c r="G94" s="17">
        <v>2</v>
      </c>
      <c r="H94" s="16">
        <v>0</v>
      </c>
      <c r="I94" s="16">
        <v>0</v>
      </c>
      <c r="J94" s="16">
        <v>0</v>
      </c>
      <c r="K94" s="17" t="s">
        <v>67</v>
      </c>
      <c r="L94" s="16">
        <v>1</v>
      </c>
      <c r="M94" s="16">
        <v>1</v>
      </c>
      <c r="N94" s="16">
        <v>1</v>
      </c>
      <c r="O94" s="16">
        <v>1</v>
      </c>
      <c r="P94" s="16">
        <v>0</v>
      </c>
      <c r="Q94" s="17">
        <v>0</v>
      </c>
      <c r="R94" s="17">
        <v>0</v>
      </c>
      <c r="S94" s="17" t="s">
        <v>67</v>
      </c>
      <c r="T94" s="17">
        <v>1</v>
      </c>
      <c r="U94" s="17">
        <v>1</v>
      </c>
      <c r="V94" s="17">
        <v>1</v>
      </c>
      <c r="W94" s="17">
        <v>1</v>
      </c>
      <c r="X94" s="16">
        <v>0</v>
      </c>
      <c r="Y94" s="16">
        <v>0</v>
      </c>
      <c r="Z94" s="16">
        <v>0</v>
      </c>
      <c r="AA94" s="16" t="s">
        <v>67</v>
      </c>
      <c r="AB94" s="16">
        <v>1</v>
      </c>
      <c r="AC94" s="16">
        <v>1</v>
      </c>
      <c r="AD94" s="16">
        <v>1</v>
      </c>
      <c r="AE94" s="16">
        <v>1</v>
      </c>
      <c r="AF94" s="17">
        <f t="shared" si="0"/>
        <v>0</v>
      </c>
      <c r="AG94" s="17">
        <f t="shared" si="1"/>
        <v>0</v>
      </c>
      <c r="AH94" s="17">
        <f t="shared" si="2"/>
        <v>1</v>
      </c>
      <c r="AI94" s="17">
        <f t="shared" si="3"/>
        <v>1</v>
      </c>
      <c r="AJ94" s="17">
        <v>0</v>
      </c>
      <c r="AK94" s="17">
        <v>0</v>
      </c>
      <c r="AL94" s="17">
        <v>0</v>
      </c>
      <c r="AM94" s="17">
        <v>2</v>
      </c>
      <c r="AN94" s="17">
        <v>19</v>
      </c>
      <c r="AO94" s="17">
        <v>1</v>
      </c>
      <c r="AP94" s="17">
        <v>1</v>
      </c>
    </row>
    <row r="95" spans="1:42" ht="14.25" customHeight="1" x14ac:dyDescent="0.35">
      <c r="A95" s="17">
        <v>15106</v>
      </c>
      <c r="B95" s="18" t="s">
        <v>61</v>
      </c>
      <c r="C95" s="19" t="s">
        <v>69</v>
      </c>
      <c r="D95" s="19" t="s">
        <v>62</v>
      </c>
      <c r="E95" s="17">
        <v>2</v>
      </c>
      <c r="F95" s="17">
        <v>3</v>
      </c>
      <c r="G95" s="17">
        <v>1</v>
      </c>
      <c r="H95" s="16">
        <v>0</v>
      </c>
      <c r="I95" s="16">
        <v>1</v>
      </c>
      <c r="J95" s="16">
        <v>0</v>
      </c>
      <c r="K95" s="16">
        <v>0</v>
      </c>
      <c r="L95" s="16">
        <v>1</v>
      </c>
      <c r="M95" s="16">
        <v>1</v>
      </c>
      <c r="N95" s="16">
        <v>1</v>
      </c>
      <c r="O95" s="16">
        <v>1</v>
      </c>
      <c r="P95" s="16">
        <v>0</v>
      </c>
      <c r="Q95" s="17">
        <v>1</v>
      </c>
      <c r="R95" s="17">
        <v>0</v>
      </c>
      <c r="S95" s="17">
        <v>0</v>
      </c>
      <c r="T95" s="17">
        <v>1</v>
      </c>
      <c r="U95" s="17">
        <v>1</v>
      </c>
      <c r="V95" s="17">
        <v>1</v>
      </c>
      <c r="W95" s="17">
        <v>1</v>
      </c>
      <c r="X95" s="16">
        <v>0</v>
      </c>
      <c r="Y95" s="16">
        <v>1</v>
      </c>
      <c r="Z95" s="16">
        <v>0</v>
      </c>
      <c r="AA95" s="16">
        <v>0</v>
      </c>
      <c r="AB95" s="16">
        <v>1</v>
      </c>
      <c r="AC95" s="16">
        <v>1</v>
      </c>
      <c r="AD95" s="16">
        <v>1</v>
      </c>
      <c r="AE95" s="16">
        <v>1</v>
      </c>
      <c r="AF95" s="17">
        <f t="shared" si="0"/>
        <v>0.5</v>
      </c>
      <c r="AG95" s="17">
        <f t="shared" si="1"/>
        <v>0</v>
      </c>
      <c r="AH95" s="17">
        <f t="shared" si="2"/>
        <v>1</v>
      </c>
      <c r="AI95" s="17">
        <f t="shared" si="3"/>
        <v>1</v>
      </c>
      <c r="AJ95" s="17">
        <v>0</v>
      </c>
      <c r="AK95" s="17">
        <v>0</v>
      </c>
      <c r="AL95" s="17">
        <v>0</v>
      </c>
      <c r="AM95" s="17">
        <v>1</v>
      </c>
      <c r="AN95" s="17">
        <v>18</v>
      </c>
      <c r="AO95" s="17">
        <v>1</v>
      </c>
      <c r="AP95" s="17">
        <v>1</v>
      </c>
    </row>
    <row r="96" spans="1:42" ht="14.25" customHeight="1" x14ac:dyDescent="0.35">
      <c r="A96" s="17">
        <v>15430</v>
      </c>
      <c r="B96" s="18" t="s">
        <v>61</v>
      </c>
      <c r="C96" s="19" t="s">
        <v>69</v>
      </c>
      <c r="D96" s="19" t="s">
        <v>62</v>
      </c>
      <c r="E96" s="17">
        <v>2</v>
      </c>
      <c r="F96" s="17">
        <v>1</v>
      </c>
      <c r="G96" s="17">
        <v>2</v>
      </c>
      <c r="H96" s="16">
        <v>0</v>
      </c>
      <c r="I96" s="16">
        <v>1</v>
      </c>
      <c r="J96" s="16">
        <v>0</v>
      </c>
      <c r="K96" s="16">
        <v>0</v>
      </c>
      <c r="L96" s="16">
        <v>1</v>
      </c>
      <c r="M96" s="16">
        <v>1</v>
      </c>
      <c r="N96" s="16">
        <v>1</v>
      </c>
      <c r="O96" s="16">
        <v>1</v>
      </c>
      <c r="P96" s="16">
        <v>0</v>
      </c>
      <c r="Q96" s="17">
        <v>1</v>
      </c>
      <c r="R96" s="17">
        <v>0</v>
      </c>
      <c r="S96" s="17">
        <v>0</v>
      </c>
      <c r="T96" s="17">
        <v>1</v>
      </c>
      <c r="U96" s="17">
        <v>1</v>
      </c>
      <c r="V96" s="17">
        <v>1</v>
      </c>
      <c r="W96" s="17">
        <v>1</v>
      </c>
      <c r="X96" s="16">
        <v>0</v>
      </c>
      <c r="Y96" s="16">
        <v>1</v>
      </c>
      <c r="Z96" s="16">
        <v>0</v>
      </c>
      <c r="AA96" s="16">
        <v>0</v>
      </c>
      <c r="AB96" s="16">
        <v>1</v>
      </c>
      <c r="AC96" s="16">
        <v>1</v>
      </c>
      <c r="AD96" s="16">
        <v>1</v>
      </c>
      <c r="AE96" s="16">
        <v>1</v>
      </c>
      <c r="AF96" s="17">
        <f t="shared" si="0"/>
        <v>0.5</v>
      </c>
      <c r="AG96" s="17">
        <f t="shared" si="1"/>
        <v>0</v>
      </c>
      <c r="AH96" s="17">
        <f t="shared" si="2"/>
        <v>1</v>
      </c>
      <c r="AI96" s="17">
        <f t="shared" si="3"/>
        <v>1</v>
      </c>
      <c r="AJ96" s="17">
        <v>0</v>
      </c>
      <c r="AK96" s="17">
        <v>0</v>
      </c>
      <c r="AL96" s="17">
        <v>0</v>
      </c>
      <c r="AM96" s="17">
        <v>1</v>
      </c>
      <c r="AN96" s="17">
        <v>18</v>
      </c>
      <c r="AO96" s="17">
        <v>1</v>
      </c>
      <c r="AP96" s="17">
        <v>1</v>
      </c>
    </row>
    <row r="97" spans="1:42" ht="14.25" customHeight="1" x14ac:dyDescent="0.35">
      <c r="A97" s="17">
        <v>14896</v>
      </c>
      <c r="B97" s="18" t="s">
        <v>61</v>
      </c>
      <c r="C97" s="19" t="s">
        <v>69</v>
      </c>
      <c r="D97" s="19" t="s">
        <v>62</v>
      </c>
      <c r="E97" s="17">
        <v>2</v>
      </c>
      <c r="F97" s="17">
        <v>3</v>
      </c>
      <c r="G97" s="17">
        <v>1</v>
      </c>
      <c r="H97" s="16">
        <v>0</v>
      </c>
      <c r="I97" s="16">
        <v>0</v>
      </c>
      <c r="J97" s="16">
        <v>1</v>
      </c>
      <c r="K97" s="16">
        <v>0</v>
      </c>
      <c r="L97" s="16">
        <v>1</v>
      </c>
      <c r="M97" s="16">
        <v>1</v>
      </c>
      <c r="N97" s="16">
        <v>1</v>
      </c>
      <c r="O97" s="16">
        <v>1</v>
      </c>
      <c r="P97" s="16">
        <v>0</v>
      </c>
      <c r="Q97" s="17">
        <v>0</v>
      </c>
      <c r="R97" s="17">
        <v>1</v>
      </c>
      <c r="S97" s="17">
        <v>0</v>
      </c>
      <c r="T97" s="17">
        <v>1</v>
      </c>
      <c r="U97" s="17">
        <v>1</v>
      </c>
      <c r="V97" s="17">
        <v>1</v>
      </c>
      <c r="W97" s="17">
        <v>1</v>
      </c>
      <c r="X97" s="16">
        <v>0</v>
      </c>
      <c r="Y97" s="16">
        <v>0</v>
      </c>
      <c r="Z97" s="16">
        <v>1</v>
      </c>
      <c r="AA97" s="16">
        <v>0</v>
      </c>
      <c r="AB97" s="16">
        <v>1</v>
      </c>
      <c r="AC97" s="16">
        <v>1</v>
      </c>
      <c r="AD97" s="16">
        <v>1</v>
      </c>
      <c r="AE97" s="16">
        <v>1</v>
      </c>
      <c r="AF97" s="17">
        <f t="shared" si="0"/>
        <v>0</v>
      </c>
      <c r="AG97" s="17">
        <f t="shared" si="1"/>
        <v>0.5</v>
      </c>
      <c r="AH97" s="17">
        <f t="shared" si="2"/>
        <v>1</v>
      </c>
      <c r="AI97" s="17">
        <f t="shared" si="3"/>
        <v>1</v>
      </c>
      <c r="AJ97" s="17">
        <v>0</v>
      </c>
      <c r="AK97" s="17">
        <v>0</v>
      </c>
      <c r="AL97" s="17">
        <v>0</v>
      </c>
      <c r="AM97" s="17">
        <v>1</v>
      </c>
      <c r="AN97" s="17">
        <v>18</v>
      </c>
      <c r="AO97" s="17">
        <v>1</v>
      </c>
      <c r="AP97" s="17">
        <v>1</v>
      </c>
    </row>
    <row r="98" spans="1:42" ht="14.25" customHeight="1" x14ac:dyDescent="0.35">
      <c r="A98" s="16">
        <v>13129</v>
      </c>
      <c r="B98" s="18" t="s">
        <v>61</v>
      </c>
      <c r="C98" s="19" t="s">
        <v>69</v>
      </c>
      <c r="D98" s="19" t="s">
        <v>62</v>
      </c>
      <c r="E98" s="17">
        <v>1</v>
      </c>
      <c r="F98" s="17">
        <v>4</v>
      </c>
      <c r="G98" s="17">
        <v>1</v>
      </c>
      <c r="H98" s="16">
        <v>0</v>
      </c>
      <c r="I98" s="16">
        <v>0</v>
      </c>
      <c r="J98" s="16">
        <v>0</v>
      </c>
      <c r="K98" s="16">
        <v>0</v>
      </c>
      <c r="L98" s="16">
        <v>1</v>
      </c>
      <c r="M98" s="16">
        <v>1</v>
      </c>
      <c r="N98" s="16">
        <v>1</v>
      </c>
      <c r="O98" s="16">
        <v>1</v>
      </c>
      <c r="P98" s="16">
        <v>0</v>
      </c>
      <c r="Q98" s="17">
        <v>0</v>
      </c>
      <c r="R98" s="17">
        <v>0</v>
      </c>
      <c r="S98" s="17">
        <v>0</v>
      </c>
      <c r="T98" s="17">
        <v>1</v>
      </c>
      <c r="U98" s="17">
        <v>1</v>
      </c>
      <c r="V98" s="17">
        <v>1</v>
      </c>
      <c r="W98" s="17">
        <v>1</v>
      </c>
      <c r="X98" s="16">
        <v>0</v>
      </c>
      <c r="Y98" s="16">
        <v>0</v>
      </c>
      <c r="Z98" s="16">
        <v>0</v>
      </c>
      <c r="AA98" s="16">
        <v>0</v>
      </c>
      <c r="AB98" s="16">
        <v>1</v>
      </c>
      <c r="AC98" s="16">
        <v>1</v>
      </c>
      <c r="AD98" s="16">
        <v>1</v>
      </c>
      <c r="AE98" s="16">
        <v>1</v>
      </c>
      <c r="AF98" s="17">
        <f t="shared" si="0"/>
        <v>0</v>
      </c>
      <c r="AG98" s="17">
        <f t="shared" si="1"/>
        <v>0</v>
      </c>
      <c r="AH98" s="17">
        <f t="shared" si="2"/>
        <v>1</v>
      </c>
      <c r="AI98" s="17">
        <f t="shared" si="3"/>
        <v>1</v>
      </c>
      <c r="AJ98" s="17">
        <v>0</v>
      </c>
      <c r="AK98" s="17">
        <v>0</v>
      </c>
      <c r="AL98" s="17">
        <v>0</v>
      </c>
      <c r="AM98" s="17" t="s">
        <v>67</v>
      </c>
      <c r="AN98" s="17" t="s">
        <v>67</v>
      </c>
      <c r="AO98" s="17" t="s">
        <v>67</v>
      </c>
      <c r="AP98" s="17">
        <v>1</v>
      </c>
    </row>
    <row r="99" spans="1:42" ht="14.25" customHeight="1" x14ac:dyDescent="0.35">
      <c r="A99" s="16">
        <v>16228</v>
      </c>
      <c r="B99" s="18" t="s">
        <v>61</v>
      </c>
      <c r="C99" s="19" t="s">
        <v>69</v>
      </c>
      <c r="D99" s="19" t="s">
        <v>62</v>
      </c>
      <c r="E99" s="17">
        <v>1</v>
      </c>
      <c r="F99" s="17">
        <v>3</v>
      </c>
      <c r="G99" s="17">
        <v>1</v>
      </c>
      <c r="H99" s="16">
        <v>0</v>
      </c>
      <c r="I99" s="16">
        <v>0</v>
      </c>
      <c r="J99" s="16">
        <v>0</v>
      </c>
      <c r="K99" s="16">
        <v>0</v>
      </c>
      <c r="L99" s="16">
        <v>1</v>
      </c>
      <c r="M99" s="16">
        <v>1</v>
      </c>
      <c r="N99" s="16">
        <v>1</v>
      </c>
      <c r="O99" s="16">
        <v>1</v>
      </c>
      <c r="P99" s="16">
        <v>0</v>
      </c>
      <c r="Q99" s="17">
        <v>0</v>
      </c>
      <c r="R99" s="17">
        <v>0</v>
      </c>
      <c r="S99" s="17">
        <v>0</v>
      </c>
      <c r="T99" s="17">
        <v>1</v>
      </c>
      <c r="U99" s="17">
        <v>1</v>
      </c>
      <c r="V99" s="17">
        <v>1</v>
      </c>
      <c r="W99" s="17">
        <v>1</v>
      </c>
      <c r="X99" s="16">
        <v>0</v>
      </c>
      <c r="Y99" s="16">
        <v>0</v>
      </c>
      <c r="Z99" s="16">
        <v>0</v>
      </c>
      <c r="AA99" s="16">
        <v>0</v>
      </c>
      <c r="AB99" s="16">
        <v>1</v>
      </c>
      <c r="AC99" s="16">
        <v>1</v>
      </c>
      <c r="AD99" s="16">
        <v>1</v>
      </c>
      <c r="AE99" s="16">
        <v>1</v>
      </c>
      <c r="AF99" s="17">
        <f t="shared" si="0"/>
        <v>0</v>
      </c>
      <c r="AG99" s="17">
        <f t="shared" si="1"/>
        <v>0</v>
      </c>
      <c r="AH99" s="17">
        <f t="shared" si="2"/>
        <v>1</v>
      </c>
      <c r="AI99" s="17">
        <f t="shared" si="3"/>
        <v>1</v>
      </c>
      <c r="AJ99" s="17">
        <v>0</v>
      </c>
      <c r="AK99" s="17">
        <v>0</v>
      </c>
      <c r="AL99" s="17">
        <v>0</v>
      </c>
      <c r="AM99" s="17" t="s">
        <v>67</v>
      </c>
      <c r="AN99" s="17" t="s">
        <v>67</v>
      </c>
      <c r="AO99" s="17" t="s">
        <v>67</v>
      </c>
      <c r="AP99" s="17">
        <v>1</v>
      </c>
    </row>
    <row r="100" spans="1:42" ht="12.75" customHeight="1" x14ac:dyDescent="0.35">
      <c r="A100" s="16">
        <v>16012</v>
      </c>
      <c r="B100" s="18" t="s">
        <v>61</v>
      </c>
      <c r="C100" s="19" t="s">
        <v>69</v>
      </c>
      <c r="D100" s="19" t="s">
        <v>62</v>
      </c>
      <c r="E100" s="17">
        <v>2</v>
      </c>
      <c r="F100" s="17">
        <v>1</v>
      </c>
      <c r="G100" s="17">
        <v>1</v>
      </c>
      <c r="H100" s="16">
        <v>1</v>
      </c>
      <c r="I100" s="16">
        <v>0</v>
      </c>
      <c r="J100" s="16">
        <v>0</v>
      </c>
      <c r="K100" s="16">
        <v>0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7">
        <v>0</v>
      </c>
      <c r="R100" s="17">
        <v>0</v>
      </c>
      <c r="S100" s="17">
        <v>0</v>
      </c>
      <c r="T100" s="17">
        <v>1</v>
      </c>
      <c r="U100" s="17">
        <v>1</v>
      </c>
      <c r="V100" s="17">
        <v>1</v>
      </c>
      <c r="W100" s="17">
        <v>1</v>
      </c>
      <c r="X100" s="16">
        <v>1</v>
      </c>
      <c r="Y100" s="16">
        <v>0</v>
      </c>
      <c r="Z100" s="16">
        <v>0</v>
      </c>
      <c r="AA100" s="16">
        <v>0</v>
      </c>
      <c r="AB100" s="16">
        <v>1</v>
      </c>
      <c r="AC100" s="16">
        <v>1</v>
      </c>
      <c r="AD100" s="16">
        <v>1</v>
      </c>
      <c r="AE100" s="16">
        <v>1</v>
      </c>
      <c r="AF100" s="17">
        <f t="shared" si="0"/>
        <v>0.5</v>
      </c>
      <c r="AG100" s="17">
        <f t="shared" si="1"/>
        <v>0</v>
      </c>
      <c r="AH100" s="17">
        <f t="shared" si="2"/>
        <v>1</v>
      </c>
      <c r="AI100" s="17">
        <f t="shared" si="3"/>
        <v>1</v>
      </c>
      <c r="AJ100" s="17">
        <v>0</v>
      </c>
      <c r="AK100" s="17">
        <v>0</v>
      </c>
      <c r="AL100" s="17">
        <v>0</v>
      </c>
      <c r="AM100" s="17" t="s">
        <v>67</v>
      </c>
      <c r="AN100" s="17" t="s">
        <v>67</v>
      </c>
      <c r="AO100" s="17" t="s">
        <v>67</v>
      </c>
      <c r="AP100" s="17">
        <v>1</v>
      </c>
    </row>
    <row r="101" spans="1:42" ht="12.75" customHeight="1" x14ac:dyDescent="0.35">
      <c r="A101" s="16">
        <v>16159</v>
      </c>
      <c r="B101" s="18" t="s">
        <v>61</v>
      </c>
      <c r="C101" s="19" t="s">
        <v>69</v>
      </c>
      <c r="D101" s="19" t="s">
        <v>62</v>
      </c>
      <c r="E101" s="17">
        <v>1</v>
      </c>
      <c r="F101" s="17">
        <v>2</v>
      </c>
      <c r="G101" s="17">
        <v>2</v>
      </c>
      <c r="H101" s="16">
        <v>0</v>
      </c>
      <c r="I101" s="16">
        <v>0</v>
      </c>
      <c r="J101" s="16">
        <v>1</v>
      </c>
      <c r="K101" s="16">
        <v>0</v>
      </c>
      <c r="L101" s="16">
        <v>1</v>
      </c>
      <c r="M101" s="16">
        <v>1</v>
      </c>
      <c r="N101" s="16">
        <v>1</v>
      </c>
      <c r="O101" s="16">
        <v>1</v>
      </c>
      <c r="P101" s="16">
        <v>0</v>
      </c>
      <c r="Q101" s="17">
        <v>0</v>
      </c>
      <c r="R101" s="17">
        <v>1</v>
      </c>
      <c r="S101" s="17">
        <v>0</v>
      </c>
      <c r="T101" s="17">
        <v>1</v>
      </c>
      <c r="U101" s="17">
        <v>1</v>
      </c>
      <c r="V101" s="17">
        <v>1</v>
      </c>
      <c r="W101" s="17">
        <v>1</v>
      </c>
      <c r="X101" s="16">
        <v>0</v>
      </c>
      <c r="Y101" s="16">
        <v>0</v>
      </c>
      <c r="Z101" s="16">
        <v>1</v>
      </c>
      <c r="AA101" s="16">
        <v>0</v>
      </c>
      <c r="AB101" s="16">
        <v>1</v>
      </c>
      <c r="AC101" s="16">
        <v>1</v>
      </c>
      <c r="AD101" s="16">
        <v>1</v>
      </c>
      <c r="AE101" s="16">
        <v>1</v>
      </c>
      <c r="AF101" s="17">
        <f t="shared" si="0"/>
        <v>0</v>
      </c>
      <c r="AG101" s="17">
        <f t="shared" si="1"/>
        <v>0.5</v>
      </c>
      <c r="AH101" s="17">
        <f t="shared" si="2"/>
        <v>1</v>
      </c>
      <c r="AI101" s="17">
        <f t="shared" si="3"/>
        <v>1</v>
      </c>
      <c r="AJ101" s="17">
        <v>0</v>
      </c>
      <c r="AK101" s="17">
        <v>0</v>
      </c>
      <c r="AL101" s="17">
        <v>0</v>
      </c>
      <c r="AM101" s="17" t="s">
        <v>67</v>
      </c>
      <c r="AN101" s="17" t="s">
        <v>67</v>
      </c>
      <c r="AO101" s="17" t="s">
        <v>67</v>
      </c>
      <c r="AP101" s="17">
        <v>1</v>
      </c>
    </row>
    <row r="102" spans="1:42" ht="12.75" customHeight="1" x14ac:dyDescent="0.35">
      <c r="A102" s="16">
        <v>15898</v>
      </c>
      <c r="B102" s="18" t="s">
        <v>61</v>
      </c>
      <c r="C102" s="19" t="s">
        <v>69</v>
      </c>
      <c r="D102" s="19" t="s">
        <v>62</v>
      </c>
      <c r="E102" s="17">
        <v>2</v>
      </c>
      <c r="F102" s="17">
        <v>3</v>
      </c>
      <c r="G102" s="17">
        <v>2</v>
      </c>
      <c r="H102" s="16">
        <v>0</v>
      </c>
      <c r="I102" s="16">
        <v>0</v>
      </c>
      <c r="J102" s="16">
        <v>0</v>
      </c>
      <c r="K102" s="16">
        <v>0</v>
      </c>
      <c r="L102" s="16">
        <v>1</v>
      </c>
      <c r="M102" s="16">
        <v>1</v>
      </c>
      <c r="N102" s="16">
        <v>1</v>
      </c>
      <c r="O102" s="16">
        <v>1</v>
      </c>
      <c r="P102" s="16">
        <v>0</v>
      </c>
      <c r="Q102" s="17">
        <v>0</v>
      </c>
      <c r="R102" s="17">
        <v>0</v>
      </c>
      <c r="S102" s="17">
        <v>0</v>
      </c>
      <c r="T102" s="17">
        <v>1</v>
      </c>
      <c r="U102" s="17">
        <v>1</v>
      </c>
      <c r="V102" s="17">
        <v>1</v>
      </c>
      <c r="W102" s="17">
        <v>1</v>
      </c>
      <c r="X102" s="16">
        <v>0</v>
      </c>
      <c r="Y102" s="16">
        <v>0</v>
      </c>
      <c r="Z102" s="16">
        <v>0</v>
      </c>
      <c r="AA102" s="16">
        <v>0</v>
      </c>
      <c r="AB102" s="16">
        <v>1</v>
      </c>
      <c r="AC102" s="16">
        <v>1</v>
      </c>
      <c r="AD102" s="16">
        <v>1</v>
      </c>
      <c r="AE102" s="16">
        <v>1</v>
      </c>
      <c r="AF102" s="17">
        <f t="shared" si="0"/>
        <v>0</v>
      </c>
      <c r="AG102" s="17">
        <f t="shared" si="1"/>
        <v>0</v>
      </c>
      <c r="AH102" s="17">
        <f t="shared" si="2"/>
        <v>1</v>
      </c>
      <c r="AI102" s="17">
        <f t="shared" si="3"/>
        <v>1</v>
      </c>
      <c r="AJ102" s="17">
        <v>0</v>
      </c>
      <c r="AK102" s="17">
        <v>0</v>
      </c>
      <c r="AL102" s="17">
        <v>0</v>
      </c>
      <c r="AM102" s="17" t="s">
        <v>67</v>
      </c>
      <c r="AN102" s="17" t="s">
        <v>67</v>
      </c>
      <c r="AO102" s="17" t="s">
        <v>67</v>
      </c>
      <c r="AP102" s="17">
        <v>1</v>
      </c>
    </row>
    <row r="103" spans="1:42" ht="12.75" customHeight="1" x14ac:dyDescent="0.35">
      <c r="A103" s="16">
        <v>14779</v>
      </c>
      <c r="B103" s="18" t="s">
        <v>61</v>
      </c>
      <c r="C103" s="19" t="s">
        <v>69</v>
      </c>
      <c r="D103" s="19" t="s">
        <v>62</v>
      </c>
      <c r="E103" s="17">
        <v>1</v>
      </c>
      <c r="F103" s="17">
        <v>2</v>
      </c>
      <c r="G103" s="17">
        <v>1</v>
      </c>
      <c r="H103" s="16">
        <v>0</v>
      </c>
      <c r="I103" s="16">
        <v>0</v>
      </c>
      <c r="J103" s="16">
        <v>1</v>
      </c>
      <c r="K103" s="16">
        <v>0</v>
      </c>
      <c r="L103" s="16">
        <v>1</v>
      </c>
      <c r="M103" s="16">
        <v>1</v>
      </c>
      <c r="N103" s="16">
        <v>1</v>
      </c>
      <c r="O103" s="16">
        <v>1</v>
      </c>
      <c r="P103" s="16">
        <v>0</v>
      </c>
      <c r="Q103" s="17">
        <v>0</v>
      </c>
      <c r="R103" s="17">
        <v>1</v>
      </c>
      <c r="S103" s="17">
        <v>0</v>
      </c>
      <c r="T103" s="17">
        <v>1</v>
      </c>
      <c r="U103" s="17">
        <v>1</v>
      </c>
      <c r="V103" s="17">
        <v>1</v>
      </c>
      <c r="W103" s="17">
        <v>1</v>
      </c>
      <c r="X103" s="16">
        <v>0</v>
      </c>
      <c r="Y103" s="16">
        <v>0</v>
      </c>
      <c r="Z103" s="16">
        <v>1</v>
      </c>
      <c r="AA103" s="16">
        <v>0</v>
      </c>
      <c r="AB103" s="16">
        <v>1</v>
      </c>
      <c r="AC103" s="16">
        <v>1</v>
      </c>
      <c r="AD103" s="16">
        <v>1</v>
      </c>
      <c r="AE103" s="16">
        <v>1</v>
      </c>
      <c r="AF103" s="17">
        <f t="shared" si="0"/>
        <v>0</v>
      </c>
      <c r="AG103" s="17">
        <f t="shared" si="1"/>
        <v>0.5</v>
      </c>
      <c r="AH103" s="17">
        <f t="shared" si="2"/>
        <v>1</v>
      </c>
      <c r="AI103" s="17">
        <f t="shared" si="3"/>
        <v>1</v>
      </c>
      <c r="AJ103" s="17">
        <v>0</v>
      </c>
      <c r="AK103" s="17">
        <v>0</v>
      </c>
      <c r="AL103" s="17">
        <v>0</v>
      </c>
      <c r="AM103" s="17" t="s">
        <v>67</v>
      </c>
      <c r="AN103" s="17" t="s">
        <v>67</v>
      </c>
      <c r="AO103" s="17" t="s">
        <v>67</v>
      </c>
      <c r="AP103" s="17">
        <v>1</v>
      </c>
    </row>
    <row r="104" spans="1:42" ht="12.75" customHeight="1" x14ac:dyDescent="0.35">
      <c r="A104" s="16">
        <v>16414</v>
      </c>
      <c r="B104" s="18" t="s">
        <v>61</v>
      </c>
      <c r="C104" s="19" t="s">
        <v>69</v>
      </c>
      <c r="D104" s="19" t="s">
        <v>62</v>
      </c>
      <c r="E104" s="17">
        <v>2</v>
      </c>
      <c r="F104" s="17">
        <v>2</v>
      </c>
      <c r="G104" s="17">
        <v>2</v>
      </c>
      <c r="H104" s="16">
        <v>1</v>
      </c>
      <c r="I104" s="16">
        <v>0</v>
      </c>
      <c r="J104" s="16">
        <v>1</v>
      </c>
      <c r="K104" s="16">
        <v>0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7">
        <v>0</v>
      </c>
      <c r="R104" s="17">
        <v>1</v>
      </c>
      <c r="S104" s="17">
        <v>0</v>
      </c>
      <c r="T104" s="17">
        <v>1</v>
      </c>
      <c r="U104" s="17">
        <v>1</v>
      </c>
      <c r="V104" s="17">
        <v>1</v>
      </c>
      <c r="W104" s="17">
        <v>1</v>
      </c>
      <c r="X104" s="16">
        <v>1</v>
      </c>
      <c r="Y104" s="16">
        <v>0</v>
      </c>
      <c r="Z104" s="16">
        <v>1</v>
      </c>
      <c r="AA104" s="16">
        <v>0</v>
      </c>
      <c r="AB104" s="16">
        <v>1</v>
      </c>
      <c r="AC104" s="16">
        <v>1</v>
      </c>
      <c r="AD104" s="16">
        <v>1</v>
      </c>
      <c r="AE104" s="16">
        <v>1</v>
      </c>
      <c r="AF104" s="17">
        <f t="shared" si="0"/>
        <v>0.5</v>
      </c>
      <c r="AG104" s="17">
        <f t="shared" si="1"/>
        <v>0.5</v>
      </c>
      <c r="AH104" s="17">
        <f t="shared" si="2"/>
        <v>1</v>
      </c>
      <c r="AI104" s="17">
        <f t="shared" si="3"/>
        <v>1</v>
      </c>
      <c r="AJ104" s="17">
        <v>0</v>
      </c>
      <c r="AK104" s="17">
        <v>0</v>
      </c>
      <c r="AL104" s="17">
        <v>0</v>
      </c>
      <c r="AM104" s="17" t="s">
        <v>67</v>
      </c>
      <c r="AN104" s="17" t="s">
        <v>67</v>
      </c>
      <c r="AO104" s="17" t="s">
        <v>67</v>
      </c>
      <c r="AP104" s="17">
        <v>1</v>
      </c>
    </row>
    <row r="105" spans="1:42" ht="12.75" customHeight="1" x14ac:dyDescent="0.35">
      <c r="A105" s="16">
        <v>14950</v>
      </c>
      <c r="B105" s="18" t="s">
        <v>61</v>
      </c>
      <c r="C105" s="19" t="s">
        <v>69</v>
      </c>
      <c r="D105" s="19" t="s">
        <v>62</v>
      </c>
      <c r="E105" s="17">
        <v>2</v>
      </c>
      <c r="F105" s="17">
        <v>1</v>
      </c>
      <c r="G105" s="17">
        <v>1</v>
      </c>
      <c r="H105" s="16">
        <v>0</v>
      </c>
      <c r="I105" s="16">
        <v>0</v>
      </c>
      <c r="J105" s="16">
        <v>1</v>
      </c>
      <c r="K105" s="16">
        <v>0</v>
      </c>
      <c r="L105" s="16">
        <v>1</v>
      </c>
      <c r="M105" s="16">
        <v>1</v>
      </c>
      <c r="N105" s="16">
        <v>1</v>
      </c>
      <c r="O105" s="16">
        <v>1</v>
      </c>
      <c r="P105" s="16">
        <v>0</v>
      </c>
      <c r="Q105" s="17">
        <v>0</v>
      </c>
      <c r="R105" s="17">
        <v>1</v>
      </c>
      <c r="S105" s="17">
        <v>0</v>
      </c>
      <c r="T105" s="17">
        <v>1</v>
      </c>
      <c r="U105" s="17">
        <v>1</v>
      </c>
      <c r="V105" s="17">
        <v>1</v>
      </c>
      <c r="W105" s="17">
        <v>1</v>
      </c>
      <c r="X105" s="16">
        <v>0</v>
      </c>
      <c r="Y105" s="16">
        <v>0</v>
      </c>
      <c r="Z105" s="16">
        <v>1</v>
      </c>
      <c r="AA105" s="16">
        <v>0</v>
      </c>
      <c r="AB105" s="16">
        <v>1</v>
      </c>
      <c r="AC105" s="16">
        <v>1</v>
      </c>
      <c r="AD105" s="16">
        <v>1</v>
      </c>
      <c r="AE105" s="16">
        <v>1</v>
      </c>
      <c r="AF105" s="17">
        <f t="shared" si="0"/>
        <v>0</v>
      </c>
      <c r="AG105" s="17">
        <f t="shared" si="1"/>
        <v>0.5</v>
      </c>
      <c r="AH105" s="17">
        <f t="shared" si="2"/>
        <v>1</v>
      </c>
      <c r="AI105" s="17">
        <f t="shared" si="3"/>
        <v>1</v>
      </c>
      <c r="AJ105" s="17">
        <v>0</v>
      </c>
      <c r="AK105" s="17">
        <v>0</v>
      </c>
      <c r="AL105" s="17">
        <v>0</v>
      </c>
      <c r="AM105" s="17" t="s">
        <v>67</v>
      </c>
      <c r="AN105" s="17" t="s">
        <v>67</v>
      </c>
      <c r="AO105" s="17" t="s">
        <v>67</v>
      </c>
      <c r="AP105" s="17">
        <v>1</v>
      </c>
    </row>
    <row r="106" spans="1:42" ht="12.75" customHeight="1" x14ac:dyDescent="0.35">
      <c r="A106" s="16">
        <v>15259</v>
      </c>
      <c r="B106" s="18" t="s">
        <v>61</v>
      </c>
      <c r="C106" s="19" t="s">
        <v>69</v>
      </c>
      <c r="D106" s="19" t="s">
        <v>62</v>
      </c>
      <c r="E106" s="17">
        <v>2</v>
      </c>
      <c r="F106" s="17">
        <v>3</v>
      </c>
      <c r="G106" s="17">
        <v>2</v>
      </c>
      <c r="H106" s="16">
        <v>0</v>
      </c>
      <c r="I106" s="16">
        <v>0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0</v>
      </c>
      <c r="Q106" s="17">
        <v>0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6">
        <v>0</v>
      </c>
      <c r="Y106" s="16">
        <v>0</v>
      </c>
      <c r="Z106" s="16">
        <v>1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7">
        <f t="shared" si="0"/>
        <v>0</v>
      </c>
      <c r="AG106" s="17">
        <f t="shared" si="1"/>
        <v>1</v>
      </c>
      <c r="AH106" s="17">
        <f t="shared" si="2"/>
        <v>1</v>
      </c>
      <c r="AI106" s="17">
        <f t="shared" si="3"/>
        <v>1</v>
      </c>
      <c r="AJ106" s="17">
        <v>0</v>
      </c>
      <c r="AK106" s="17">
        <v>0</v>
      </c>
      <c r="AL106" s="17">
        <v>0</v>
      </c>
      <c r="AM106" s="17" t="s">
        <v>67</v>
      </c>
      <c r="AN106" s="17" t="s">
        <v>67</v>
      </c>
      <c r="AO106" s="17" t="s">
        <v>67</v>
      </c>
      <c r="AP106" s="17">
        <v>1</v>
      </c>
    </row>
    <row r="107" spans="1:42" ht="12.75" customHeight="1" x14ac:dyDescent="0.35">
      <c r="A107" s="16">
        <v>14758</v>
      </c>
      <c r="B107" s="18" t="s">
        <v>61</v>
      </c>
      <c r="C107" s="19" t="s">
        <v>69</v>
      </c>
      <c r="D107" s="19" t="s">
        <v>62</v>
      </c>
      <c r="E107" s="17">
        <v>1</v>
      </c>
      <c r="F107" s="17">
        <v>1</v>
      </c>
      <c r="G107" s="17">
        <v>1</v>
      </c>
      <c r="H107" s="16">
        <v>0</v>
      </c>
      <c r="I107" s="16">
        <v>0</v>
      </c>
      <c r="J107" s="16">
        <v>1</v>
      </c>
      <c r="K107" s="16">
        <v>0</v>
      </c>
      <c r="L107" s="16">
        <v>1</v>
      </c>
      <c r="M107" s="16">
        <v>1</v>
      </c>
      <c r="N107" s="16">
        <v>1</v>
      </c>
      <c r="O107" s="16">
        <v>1</v>
      </c>
      <c r="P107" s="16">
        <v>0</v>
      </c>
      <c r="Q107" s="17">
        <v>0</v>
      </c>
      <c r="R107" s="17">
        <v>1</v>
      </c>
      <c r="S107" s="17">
        <v>0</v>
      </c>
      <c r="T107" s="17">
        <v>1</v>
      </c>
      <c r="U107" s="17">
        <v>1</v>
      </c>
      <c r="V107" s="17">
        <v>1</v>
      </c>
      <c r="W107" s="17">
        <v>1</v>
      </c>
      <c r="X107" s="16">
        <v>0</v>
      </c>
      <c r="Y107" s="16">
        <v>0</v>
      </c>
      <c r="Z107" s="16">
        <v>1</v>
      </c>
      <c r="AA107" s="16">
        <v>0</v>
      </c>
      <c r="AB107" s="16">
        <v>1</v>
      </c>
      <c r="AC107" s="16">
        <v>1</v>
      </c>
      <c r="AD107" s="16">
        <v>1</v>
      </c>
      <c r="AE107" s="16">
        <v>1</v>
      </c>
      <c r="AF107" s="17">
        <f t="shared" si="0"/>
        <v>0</v>
      </c>
      <c r="AG107" s="17">
        <f t="shared" si="1"/>
        <v>0.5</v>
      </c>
      <c r="AH107" s="17">
        <f t="shared" si="2"/>
        <v>1</v>
      </c>
      <c r="AI107" s="17">
        <f t="shared" si="3"/>
        <v>1</v>
      </c>
      <c r="AJ107" s="17">
        <v>0</v>
      </c>
      <c r="AK107" s="17">
        <v>0</v>
      </c>
      <c r="AL107" s="17">
        <v>0</v>
      </c>
      <c r="AM107" s="17" t="s">
        <v>67</v>
      </c>
      <c r="AN107" s="17" t="s">
        <v>67</v>
      </c>
      <c r="AO107" s="17" t="s">
        <v>67</v>
      </c>
      <c r="AP107" s="17">
        <v>1</v>
      </c>
    </row>
    <row r="108" spans="1:42" ht="12.75" customHeight="1" x14ac:dyDescent="0.35">
      <c r="A108" s="16">
        <v>15292</v>
      </c>
      <c r="B108" s="18" t="s">
        <v>61</v>
      </c>
      <c r="C108" s="19" t="s">
        <v>69</v>
      </c>
      <c r="D108" s="19" t="s">
        <v>62</v>
      </c>
      <c r="E108" s="17">
        <v>2</v>
      </c>
      <c r="F108" s="17">
        <v>4</v>
      </c>
      <c r="G108" s="17">
        <v>2</v>
      </c>
      <c r="H108" s="16">
        <v>0</v>
      </c>
      <c r="I108" s="16">
        <v>0</v>
      </c>
      <c r="J108" s="16">
        <v>0</v>
      </c>
      <c r="K108" s="16">
        <v>0</v>
      </c>
      <c r="L108" s="16">
        <v>1</v>
      </c>
      <c r="M108" s="16">
        <v>1</v>
      </c>
      <c r="N108" s="16">
        <v>1</v>
      </c>
      <c r="O108" s="16">
        <v>1</v>
      </c>
      <c r="P108" s="16">
        <v>0</v>
      </c>
      <c r="Q108" s="17">
        <v>0</v>
      </c>
      <c r="R108" s="17">
        <v>0</v>
      </c>
      <c r="S108" s="17">
        <v>0</v>
      </c>
      <c r="T108" s="17">
        <v>1</v>
      </c>
      <c r="U108" s="17">
        <v>1</v>
      </c>
      <c r="V108" s="17">
        <v>1</v>
      </c>
      <c r="W108" s="17">
        <v>1</v>
      </c>
      <c r="X108" s="16">
        <v>0</v>
      </c>
      <c r="Y108" s="16">
        <v>0</v>
      </c>
      <c r="Z108" s="16">
        <v>0</v>
      </c>
      <c r="AA108" s="16">
        <v>0</v>
      </c>
      <c r="AB108" s="16">
        <v>1</v>
      </c>
      <c r="AC108" s="16">
        <v>1</v>
      </c>
      <c r="AD108" s="16">
        <v>1</v>
      </c>
      <c r="AE108" s="16">
        <v>1</v>
      </c>
      <c r="AF108" s="17">
        <f t="shared" si="0"/>
        <v>0</v>
      </c>
      <c r="AG108" s="17">
        <f t="shared" si="1"/>
        <v>0</v>
      </c>
      <c r="AH108" s="17">
        <f t="shared" si="2"/>
        <v>1</v>
      </c>
      <c r="AI108" s="17">
        <f t="shared" si="3"/>
        <v>1</v>
      </c>
      <c r="AJ108" s="17">
        <v>0</v>
      </c>
      <c r="AK108" s="17">
        <v>0</v>
      </c>
      <c r="AL108" s="17">
        <v>0</v>
      </c>
      <c r="AM108" s="17" t="s">
        <v>67</v>
      </c>
      <c r="AN108" s="17" t="s">
        <v>67</v>
      </c>
      <c r="AO108" s="17" t="s">
        <v>67</v>
      </c>
      <c r="AP108" s="17">
        <v>1</v>
      </c>
    </row>
    <row r="109" spans="1:42" ht="12.75" customHeight="1" x14ac:dyDescent="0.35">
      <c r="A109" s="16">
        <v>14818</v>
      </c>
      <c r="B109" s="18" t="s">
        <v>61</v>
      </c>
      <c r="C109" s="19" t="s">
        <v>69</v>
      </c>
      <c r="D109" s="19" t="s">
        <v>62</v>
      </c>
      <c r="E109" s="17">
        <v>2</v>
      </c>
      <c r="F109" s="17">
        <v>3</v>
      </c>
      <c r="G109" s="17">
        <v>1</v>
      </c>
      <c r="H109" s="16">
        <v>1</v>
      </c>
      <c r="I109" s="16">
        <v>0</v>
      </c>
      <c r="J109" s="16">
        <v>0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7">
        <v>0</v>
      </c>
      <c r="R109" s="17">
        <v>0</v>
      </c>
      <c r="S109" s="17">
        <v>1</v>
      </c>
      <c r="T109" s="17">
        <v>1</v>
      </c>
      <c r="U109" s="17">
        <v>1</v>
      </c>
      <c r="V109" s="17">
        <v>1</v>
      </c>
      <c r="W109" s="17">
        <v>1</v>
      </c>
      <c r="X109" s="16">
        <v>1</v>
      </c>
      <c r="Y109" s="16">
        <v>0</v>
      </c>
      <c r="Z109" s="16">
        <v>0</v>
      </c>
      <c r="AA109" s="16">
        <v>1</v>
      </c>
      <c r="AB109" s="16">
        <v>1</v>
      </c>
      <c r="AC109" s="16">
        <v>1</v>
      </c>
      <c r="AD109" s="16">
        <v>1</v>
      </c>
      <c r="AE109" s="16">
        <v>1</v>
      </c>
      <c r="AF109" s="17">
        <f t="shared" si="0"/>
        <v>0.5</v>
      </c>
      <c r="AG109" s="17">
        <f t="shared" si="1"/>
        <v>0.5</v>
      </c>
      <c r="AH109" s="17">
        <f t="shared" si="2"/>
        <v>1</v>
      </c>
      <c r="AI109" s="17">
        <f t="shared" si="3"/>
        <v>1</v>
      </c>
      <c r="AJ109" s="17">
        <v>0</v>
      </c>
      <c r="AK109" s="17">
        <v>0</v>
      </c>
      <c r="AL109" s="17">
        <v>0</v>
      </c>
      <c r="AM109" s="17" t="s">
        <v>67</v>
      </c>
      <c r="AN109" s="17" t="s">
        <v>67</v>
      </c>
      <c r="AO109" s="17" t="s">
        <v>67</v>
      </c>
      <c r="AP109" s="17">
        <v>1</v>
      </c>
    </row>
    <row r="110" spans="1:42" ht="12.75" customHeight="1" x14ac:dyDescent="0.35">
      <c r="A110" s="17">
        <v>16093</v>
      </c>
      <c r="B110" s="18" t="s">
        <v>61</v>
      </c>
      <c r="C110" s="19" t="s">
        <v>69</v>
      </c>
      <c r="D110" s="19" t="s">
        <v>62</v>
      </c>
      <c r="E110" s="17">
        <v>2</v>
      </c>
      <c r="F110" s="17">
        <v>2</v>
      </c>
      <c r="G110" s="17">
        <v>2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7">
        <f t="shared" si="0"/>
        <v>1</v>
      </c>
      <c r="AG110" s="17">
        <f t="shared" si="1"/>
        <v>1</v>
      </c>
      <c r="AH110" s="17">
        <f t="shared" si="2"/>
        <v>1</v>
      </c>
      <c r="AI110" s="17">
        <f t="shared" si="3"/>
        <v>1</v>
      </c>
      <c r="AJ110" s="17">
        <v>0</v>
      </c>
      <c r="AK110" s="17">
        <v>0</v>
      </c>
      <c r="AL110" s="17">
        <v>0</v>
      </c>
      <c r="AM110" s="17" t="s">
        <v>67</v>
      </c>
      <c r="AN110" s="17" t="s">
        <v>67</v>
      </c>
      <c r="AO110" s="17" t="s">
        <v>67</v>
      </c>
      <c r="AP110" s="17">
        <v>1</v>
      </c>
    </row>
    <row r="111" spans="1:42" ht="14.25" customHeight="1" x14ac:dyDescent="0.35">
      <c r="A111" s="17">
        <v>15301</v>
      </c>
      <c r="B111" s="18" t="s">
        <v>61</v>
      </c>
      <c r="C111" s="19" t="s">
        <v>69</v>
      </c>
      <c r="D111" s="19" t="s">
        <v>62</v>
      </c>
      <c r="E111" s="17">
        <v>1</v>
      </c>
      <c r="F111" s="17">
        <v>1</v>
      </c>
      <c r="G111" s="17">
        <v>1</v>
      </c>
      <c r="H111" s="16">
        <v>0</v>
      </c>
      <c r="I111" s="16">
        <v>0</v>
      </c>
      <c r="J111" s="16">
        <v>0</v>
      </c>
      <c r="K111" s="16">
        <v>0</v>
      </c>
      <c r="L111" s="16">
        <v>1</v>
      </c>
      <c r="M111" s="16">
        <v>1</v>
      </c>
      <c r="N111" s="16">
        <v>1</v>
      </c>
      <c r="O111" s="16">
        <v>1</v>
      </c>
      <c r="P111" s="16">
        <v>0</v>
      </c>
      <c r="Q111" s="17">
        <v>0</v>
      </c>
      <c r="R111" s="17">
        <v>0</v>
      </c>
      <c r="S111" s="17">
        <v>0</v>
      </c>
      <c r="T111" s="17">
        <v>1</v>
      </c>
      <c r="U111" s="17">
        <v>1</v>
      </c>
      <c r="V111" s="17">
        <v>1</v>
      </c>
      <c r="W111" s="17">
        <v>1</v>
      </c>
      <c r="X111" s="16">
        <v>0</v>
      </c>
      <c r="Y111" s="16">
        <v>0</v>
      </c>
      <c r="Z111" s="16">
        <v>0</v>
      </c>
      <c r="AA111" s="16">
        <v>0</v>
      </c>
      <c r="AB111" s="16">
        <v>1</v>
      </c>
      <c r="AC111" s="16">
        <v>1</v>
      </c>
      <c r="AD111" s="16">
        <v>1</v>
      </c>
      <c r="AE111" s="16">
        <v>1</v>
      </c>
      <c r="AF111" s="17">
        <f t="shared" si="0"/>
        <v>0</v>
      </c>
      <c r="AG111" s="17">
        <f t="shared" si="1"/>
        <v>0</v>
      </c>
      <c r="AH111" s="17">
        <f t="shared" si="2"/>
        <v>1</v>
      </c>
      <c r="AI111" s="17">
        <f t="shared" si="3"/>
        <v>1</v>
      </c>
      <c r="AJ111" s="17">
        <v>0</v>
      </c>
      <c r="AK111" s="17">
        <v>0</v>
      </c>
      <c r="AL111" s="17">
        <v>0</v>
      </c>
      <c r="AM111" s="17" t="s">
        <v>67</v>
      </c>
      <c r="AN111" s="17" t="s">
        <v>67</v>
      </c>
      <c r="AO111" s="17" t="s">
        <v>67</v>
      </c>
      <c r="AP111" s="17">
        <v>1</v>
      </c>
    </row>
    <row r="112" spans="1:42" ht="14.25" customHeight="1" x14ac:dyDescent="0.35">
      <c r="A112" s="17">
        <v>15769</v>
      </c>
      <c r="B112" s="18" t="s">
        <v>61</v>
      </c>
      <c r="C112" s="19" t="s">
        <v>69</v>
      </c>
      <c r="D112" s="19" t="s">
        <v>62</v>
      </c>
      <c r="E112" s="17">
        <v>1</v>
      </c>
      <c r="F112" s="17">
        <v>3</v>
      </c>
      <c r="G112" s="17">
        <v>2</v>
      </c>
      <c r="H112" s="16">
        <v>0</v>
      </c>
      <c r="I112" s="16">
        <v>0</v>
      </c>
      <c r="J112" s="16">
        <v>0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0</v>
      </c>
      <c r="Q112" s="17">
        <v>0</v>
      </c>
      <c r="R112" s="17">
        <v>0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6">
        <v>0</v>
      </c>
      <c r="Y112" s="16">
        <v>0</v>
      </c>
      <c r="Z112" s="16">
        <v>0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7">
        <f t="shared" si="0"/>
        <v>0</v>
      </c>
      <c r="AG112" s="17">
        <f t="shared" si="1"/>
        <v>0.5</v>
      </c>
      <c r="AH112" s="17">
        <f t="shared" si="2"/>
        <v>1</v>
      </c>
      <c r="AI112" s="17">
        <f t="shared" si="3"/>
        <v>1</v>
      </c>
      <c r="AJ112" s="17">
        <v>0</v>
      </c>
      <c r="AK112" s="17">
        <v>0</v>
      </c>
      <c r="AL112" s="17">
        <v>0</v>
      </c>
      <c r="AM112" s="17" t="s">
        <v>67</v>
      </c>
      <c r="AN112" s="17" t="s">
        <v>67</v>
      </c>
      <c r="AO112" s="17" t="s">
        <v>67</v>
      </c>
      <c r="AP112" s="17">
        <v>1</v>
      </c>
    </row>
    <row r="113" spans="1:42" ht="14.25" customHeight="1" x14ac:dyDescent="0.35">
      <c r="A113" s="17">
        <v>16372</v>
      </c>
      <c r="B113" s="18" t="s">
        <v>61</v>
      </c>
      <c r="C113" s="19" t="s">
        <v>69</v>
      </c>
      <c r="D113" s="19" t="s">
        <v>62</v>
      </c>
      <c r="E113" s="17">
        <v>2</v>
      </c>
      <c r="F113" s="17">
        <v>2</v>
      </c>
      <c r="G113" s="17">
        <v>2</v>
      </c>
      <c r="H113" s="16">
        <v>0</v>
      </c>
      <c r="I113" s="16">
        <v>1</v>
      </c>
      <c r="J113" s="16">
        <v>0</v>
      </c>
      <c r="K113" s="16">
        <v>0</v>
      </c>
      <c r="L113" s="16">
        <v>1</v>
      </c>
      <c r="M113" s="16">
        <v>1</v>
      </c>
      <c r="N113" s="16">
        <v>1</v>
      </c>
      <c r="O113" s="16">
        <v>1</v>
      </c>
      <c r="P113" s="16">
        <v>0</v>
      </c>
      <c r="Q113" s="17">
        <v>1</v>
      </c>
      <c r="R113" s="17">
        <v>0</v>
      </c>
      <c r="S113" s="17">
        <v>0</v>
      </c>
      <c r="T113" s="17">
        <v>1</v>
      </c>
      <c r="U113" s="17">
        <v>1</v>
      </c>
      <c r="V113" s="17">
        <v>1</v>
      </c>
      <c r="W113" s="17">
        <v>1</v>
      </c>
      <c r="X113" s="16">
        <v>0</v>
      </c>
      <c r="Y113" s="16">
        <v>1</v>
      </c>
      <c r="Z113" s="16">
        <v>0</v>
      </c>
      <c r="AA113" s="16">
        <v>0</v>
      </c>
      <c r="AB113" s="16">
        <v>1</v>
      </c>
      <c r="AC113" s="16">
        <v>1</v>
      </c>
      <c r="AD113" s="16">
        <v>1</v>
      </c>
      <c r="AE113" s="16">
        <v>1</v>
      </c>
      <c r="AF113" s="17">
        <f t="shared" si="0"/>
        <v>0.5</v>
      </c>
      <c r="AG113" s="17">
        <f t="shared" si="1"/>
        <v>0</v>
      </c>
      <c r="AH113" s="17">
        <f t="shared" si="2"/>
        <v>1</v>
      </c>
      <c r="AI113" s="17">
        <f t="shared" si="3"/>
        <v>1</v>
      </c>
      <c r="AJ113" s="17">
        <v>0</v>
      </c>
      <c r="AK113" s="17">
        <v>0</v>
      </c>
      <c r="AL113" s="17">
        <v>0</v>
      </c>
      <c r="AM113" s="17">
        <v>1</v>
      </c>
      <c r="AN113" s="17" t="s">
        <v>67</v>
      </c>
      <c r="AO113" s="17" t="s">
        <v>67</v>
      </c>
      <c r="AP113" s="1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BE3-5DA0-41FE-A784-A94176AAFB23}">
  <dimension ref="A1:G123"/>
  <sheetViews>
    <sheetView topLeftCell="A92" workbookViewId="0">
      <selection activeCell="A124" sqref="A124"/>
    </sheetView>
  </sheetViews>
  <sheetFormatPr defaultRowHeight="14.5" x14ac:dyDescent="0.35"/>
  <sheetData>
    <row r="1" spans="1:7" ht="15.5" x14ac:dyDescent="0.35">
      <c r="A1" s="1" t="s">
        <v>0</v>
      </c>
      <c r="B1" s="2" t="s">
        <v>39</v>
      </c>
      <c r="G1" t="s">
        <v>59</v>
      </c>
    </row>
    <row r="2" spans="1:7" x14ac:dyDescent="0.35">
      <c r="A2" s="3">
        <v>1001</v>
      </c>
      <c r="B2" s="4"/>
      <c r="G2" t="s">
        <v>60</v>
      </c>
    </row>
    <row r="3" spans="1:7" x14ac:dyDescent="0.35">
      <c r="A3" s="5">
        <v>1002</v>
      </c>
      <c r="B3" s="4"/>
    </row>
    <row r="4" spans="1:7" x14ac:dyDescent="0.35">
      <c r="A4" s="5">
        <v>1003</v>
      </c>
      <c r="B4" s="4"/>
    </row>
    <row r="5" spans="1:7" x14ac:dyDescent="0.35">
      <c r="A5" s="7">
        <v>1004</v>
      </c>
      <c r="B5" s="4"/>
    </row>
    <row r="6" spans="1:7" ht="15.5" x14ac:dyDescent="0.35">
      <c r="A6" s="8">
        <v>13639</v>
      </c>
      <c r="B6" s="4"/>
    </row>
    <row r="7" spans="1:7" ht="15.5" x14ac:dyDescent="0.35">
      <c r="A7" s="8">
        <v>13027</v>
      </c>
      <c r="B7" s="4"/>
    </row>
    <row r="8" spans="1:7" ht="15.5" x14ac:dyDescent="0.35">
      <c r="A8" s="8">
        <v>13963</v>
      </c>
      <c r="B8" s="6" t="s">
        <v>41</v>
      </c>
    </row>
    <row r="9" spans="1:7" ht="15.5" x14ac:dyDescent="0.35">
      <c r="A9" s="8">
        <v>13861</v>
      </c>
      <c r="B9" s="4"/>
    </row>
    <row r="10" spans="1:7" ht="15.5" x14ac:dyDescent="0.35">
      <c r="A10" s="8">
        <v>13957</v>
      </c>
      <c r="B10" s="4"/>
    </row>
    <row r="11" spans="1:7" ht="15.5" x14ac:dyDescent="0.35">
      <c r="A11" s="8">
        <v>14392</v>
      </c>
      <c r="B11" s="4" t="s">
        <v>42</v>
      </c>
    </row>
    <row r="12" spans="1:7" ht="15.5" x14ac:dyDescent="0.35">
      <c r="A12" s="8">
        <v>13924</v>
      </c>
      <c r="B12" s="4"/>
    </row>
    <row r="13" spans="1:7" ht="15.5" x14ac:dyDescent="0.35">
      <c r="A13" s="8">
        <v>13393</v>
      </c>
      <c r="B13" s="4"/>
    </row>
    <row r="14" spans="1:7" ht="15.5" x14ac:dyDescent="0.35">
      <c r="A14" s="8">
        <v>12661</v>
      </c>
      <c r="B14" s="4"/>
    </row>
    <row r="15" spans="1:7" ht="15.5" x14ac:dyDescent="0.35">
      <c r="A15" s="8">
        <v>13771</v>
      </c>
      <c r="B15" s="4" t="s">
        <v>43</v>
      </c>
    </row>
    <row r="16" spans="1:7" ht="15.5" x14ac:dyDescent="0.35">
      <c r="A16" s="8">
        <v>12859</v>
      </c>
      <c r="B16" s="4"/>
    </row>
    <row r="17" spans="1:2" ht="15.5" x14ac:dyDescent="0.35">
      <c r="A17" s="8">
        <v>14344</v>
      </c>
      <c r="B17" s="4" t="s">
        <v>42</v>
      </c>
    </row>
    <row r="18" spans="1:2" ht="15.5" x14ac:dyDescent="0.35">
      <c r="A18" s="8">
        <v>13099</v>
      </c>
      <c r="B18" s="9" t="s">
        <v>42</v>
      </c>
    </row>
    <row r="19" spans="1:2" ht="15.5" x14ac:dyDescent="0.35">
      <c r="A19" s="8">
        <v>13273</v>
      </c>
      <c r="B19" s="4"/>
    </row>
    <row r="20" spans="1:2" ht="15.5" x14ac:dyDescent="0.35">
      <c r="A20" s="8">
        <v>13045</v>
      </c>
      <c r="B20" s="4"/>
    </row>
    <row r="21" spans="1:2" ht="15.5" x14ac:dyDescent="0.35">
      <c r="A21" s="8">
        <v>13243</v>
      </c>
      <c r="B21" s="4"/>
    </row>
    <row r="22" spans="1:2" ht="15.5" x14ac:dyDescent="0.35">
      <c r="A22" s="8">
        <v>14008</v>
      </c>
      <c r="B22" s="4"/>
    </row>
    <row r="23" spans="1:2" ht="15.5" x14ac:dyDescent="0.35">
      <c r="A23" s="8">
        <v>13282</v>
      </c>
      <c r="B23" s="4"/>
    </row>
    <row r="24" spans="1:2" ht="15.5" x14ac:dyDescent="0.35">
      <c r="A24" s="8">
        <v>14044</v>
      </c>
      <c r="B24" s="4"/>
    </row>
    <row r="25" spans="1:2" ht="15.5" x14ac:dyDescent="0.35">
      <c r="A25" s="8">
        <v>14101</v>
      </c>
      <c r="B25" s="6" t="s">
        <v>44</v>
      </c>
    </row>
    <row r="26" spans="1:2" ht="15.5" x14ac:dyDescent="0.35">
      <c r="A26" s="8">
        <v>13129</v>
      </c>
      <c r="B26" s="4"/>
    </row>
    <row r="27" spans="1:2" ht="15.5" x14ac:dyDescent="0.35">
      <c r="A27" s="8">
        <v>12910</v>
      </c>
      <c r="B27" s="4"/>
    </row>
    <row r="28" spans="1:2" ht="15.5" x14ac:dyDescent="0.35">
      <c r="A28" s="8">
        <v>13762</v>
      </c>
      <c r="B28" s="4"/>
    </row>
    <row r="29" spans="1:2" ht="15.5" x14ac:dyDescent="0.35">
      <c r="A29" s="8">
        <v>14437</v>
      </c>
      <c r="B29" s="4"/>
    </row>
    <row r="30" spans="1:2" ht="15.5" x14ac:dyDescent="0.35">
      <c r="A30" s="8">
        <v>13810</v>
      </c>
      <c r="B30" s="4"/>
    </row>
    <row r="31" spans="1:2" ht="15.5" x14ac:dyDescent="0.35">
      <c r="A31" s="8">
        <v>14131</v>
      </c>
      <c r="B31" s="4"/>
    </row>
    <row r="32" spans="1:2" ht="15.5" x14ac:dyDescent="0.35">
      <c r="A32" s="8">
        <v>13426</v>
      </c>
      <c r="B32" s="4"/>
    </row>
    <row r="33" spans="1:2" ht="15.5" x14ac:dyDescent="0.35">
      <c r="A33" s="8">
        <v>13588</v>
      </c>
      <c r="B33" s="4"/>
    </row>
    <row r="34" spans="1:2" ht="15.5" x14ac:dyDescent="0.35">
      <c r="A34" s="8">
        <v>14275</v>
      </c>
      <c r="B34" s="4" t="s">
        <v>46</v>
      </c>
    </row>
    <row r="35" spans="1:2" ht="15.5" x14ac:dyDescent="0.35">
      <c r="A35" s="8">
        <v>16459</v>
      </c>
      <c r="B35" s="4"/>
    </row>
    <row r="36" spans="1:2" ht="15.5" x14ac:dyDescent="0.35">
      <c r="A36" s="8">
        <v>15382</v>
      </c>
      <c r="B36" s="4"/>
    </row>
    <row r="37" spans="1:2" ht="15.5" x14ac:dyDescent="0.35">
      <c r="A37" s="8">
        <v>14800</v>
      </c>
      <c r="B37" s="4"/>
    </row>
    <row r="38" spans="1:2" ht="15.5" x14ac:dyDescent="0.35">
      <c r="A38" s="8">
        <v>16399</v>
      </c>
      <c r="B38" s="4"/>
    </row>
    <row r="39" spans="1:2" ht="15.5" x14ac:dyDescent="0.35">
      <c r="A39" s="8">
        <v>16417</v>
      </c>
      <c r="B39" s="4"/>
    </row>
    <row r="40" spans="1:2" ht="15.5" x14ac:dyDescent="0.35">
      <c r="A40" s="8">
        <v>15895</v>
      </c>
      <c r="B40" s="4"/>
    </row>
    <row r="41" spans="1:2" ht="15.5" x14ac:dyDescent="0.35">
      <c r="A41" s="8">
        <v>15664</v>
      </c>
      <c r="B41" s="4"/>
    </row>
    <row r="42" spans="1:2" x14ac:dyDescent="0.35">
      <c r="A42" s="5">
        <v>15511</v>
      </c>
      <c r="B42" s="4"/>
    </row>
    <row r="43" spans="1:2" x14ac:dyDescent="0.35">
      <c r="A43" s="5">
        <v>15736</v>
      </c>
      <c r="B43" s="4"/>
    </row>
    <row r="44" spans="1:2" x14ac:dyDescent="0.35">
      <c r="A44" s="5">
        <v>16114</v>
      </c>
      <c r="B44" s="4"/>
    </row>
    <row r="45" spans="1:2" x14ac:dyDescent="0.35">
      <c r="A45" s="5">
        <v>15718</v>
      </c>
      <c r="B45" s="4"/>
    </row>
    <row r="46" spans="1:2" x14ac:dyDescent="0.35">
      <c r="A46" s="5">
        <v>15934</v>
      </c>
      <c r="B46" s="4"/>
    </row>
    <row r="47" spans="1:2" x14ac:dyDescent="0.35">
      <c r="A47" s="5">
        <v>14965</v>
      </c>
      <c r="B47" s="4"/>
    </row>
    <row r="48" spans="1:2" x14ac:dyDescent="0.35">
      <c r="A48" s="5">
        <v>16381</v>
      </c>
      <c r="B48" s="4"/>
    </row>
    <row r="49" spans="1:2" x14ac:dyDescent="0.35">
      <c r="A49" s="5">
        <v>14632</v>
      </c>
      <c r="B49" s="4"/>
    </row>
    <row r="50" spans="1:2" x14ac:dyDescent="0.35">
      <c r="A50" s="5">
        <v>15151</v>
      </c>
      <c r="B50" s="4"/>
    </row>
    <row r="51" spans="1:2" x14ac:dyDescent="0.35">
      <c r="A51" s="5">
        <v>16108</v>
      </c>
      <c r="B51" s="4"/>
    </row>
    <row r="52" spans="1:2" x14ac:dyDescent="0.35">
      <c r="A52" s="5">
        <v>15688</v>
      </c>
      <c r="B52" s="4"/>
    </row>
    <row r="53" spans="1:2" x14ac:dyDescent="0.35">
      <c r="A53" s="5">
        <v>16213</v>
      </c>
      <c r="B53" s="4"/>
    </row>
    <row r="54" spans="1:2" x14ac:dyDescent="0.35">
      <c r="A54" s="5">
        <v>15154</v>
      </c>
      <c r="B54" s="4"/>
    </row>
    <row r="55" spans="1:2" x14ac:dyDescent="0.35">
      <c r="A55" s="5">
        <v>15652</v>
      </c>
      <c r="B55" s="4"/>
    </row>
    <row r="56" spans="1:2" x14ac:dyDescent="0.35">
      <c r="A56" s="5">
        <v>14728</v>
      </c>
      <c r="B56" s="4"/>
    </row>
    <row r="57" spans="1:2" x14ac:dyDescent="0.35">
      <c r="A57" s="5">
        <v>15979</v>
      </c>
      <c r="B57" s="4"/>
    </row>
    <row r="58" spans="1:2" x14ac:dyDescent="0.35">
      <c r="A58" s="5">
        <v>15202</v>
      </c>
      <c r="B58" s="4"/>
    </row>
    <row r="59" spans="1:2" x14ac:dyDescent="0.35">
      <c r="A59" s="5">
        <v>16348</v>
      </c>
      <c r="B59" s="4"/>
    </row>
    <row r="60" spans="1:2" x14ac:dyDescent="0.35">
      <c r="A60" s="5">
        <v>15052</v>
      </c>
      <c r="B60" s="4"/>
    </row>
    <row r="61" spans="1:2" x14ac:dyDescent="0.35">
      <c r="A61" s="5">
        <v>15706</v>
      </c>
      <c r="B61" s="4"/>
    </row>
    <row r="62" spans="1:2" x14ac:dyDescent="0.35">
      <c r="A62" s="5">
        <v>15070</v>
      </c>
      <c r="B62" s="4"/>
    </row>
    <row r="63" spans="1:2" x14ac:dyDescent="0.35">
      <c r="A63" s="5">
        <v>15655</v>
      </c>
      <c r="B63" s="4"/>
    </row>
    <row r="64" spans="1:2" x14ac:dyDescent="0.35">
      <c r="A64" s="5">
        <v>15007</v>
      </c>
      <c r="B64" s="4"/>
    </row>
    <row r="65" spans="1:2" x14ac:dyDescent="0.35">
      <c r="A65" s="5">
        <v>16207</v>
      </c>
      <c r="B65" s="4"/>
    </row>
    <row r="66" spans="1:2" x14ac:dyDescent="0.35">
      <c r="A66" s="5">
        <v>16222</v>
      </c>
      <c r="B66" s="4"/>
    </row>
    <row r="67" spans="1:2" x14ac:dyDescent="0.35">
      <c r="A67" s="5">
        <v>15355</v>
      </c>
      <c r="B67" s="4"/>
    </row>
    <row r="68" spans="1:2" x14ac:dyDescent="0.35">
      <c r="A68" s="5">
        <v>15742</v>
      </c>
      <c r="B68" s="4"/>
    </row>
    <row r="69" spans="1:2" x14ac:dyDescent="0.35">
      <c r="A69" s="5">
        <v>15667</v>
      </c>
      <c r="B69" s="4"/>
    </row>
    <row r="70" spans="1:2" x14ac:dyDescent="0.35">
      <c r="A70" s="5">
        <v>15937</v>
      </c>
      <c r="B70" s="4"/>
    </row>
    <row r="71" spans="1:2" x14ac:dyDescent="0.35">
      <c r="A71" s="5">
        <v>15793</v>
      </c>
      <c r="B71" s="4"/>
    </row>
    <row r="72" spans="1:2" x14ac:dyDescent="0.35">
      <c r="A72" s="5">
        <v>16279</v>
      </c>
      <c r="B72" s="4"/>
    </row>
    <row r="73" spans="1:2" x14ac:dyDescent="0.35">
      <c r="A73" s="5">
        <v>15658</v>
      </c>
      <c r="B73" s="4"/>
    </row>
    <row r="74" spans="1:2" x14ac:dyDescent="0.35">
      <c r="A74" s="5">
        <v>15796</v>
      </c>
      <c r="B74" s="4" t="s">
        <v>47</v>
      </c>
    </row>
    <row r="75" spans="1:2" x14ac:dyDescent="0.35">
      <c r="A75" s="5">
        <v>14995</v>
      </c>
      <c r="B75" s="4"/>
    </row>
    <row r="76" spans="1:2" x14ac:dyDescent="0.35">
      <c r="A76" s="5">
        <v>15019</v>
      </c>
      <c r="B76" s="4"/>
    </row>
    <row r="77" spans="1:2" x14ac:dyDescent="0.35">
      <c r="A77" s="5">
        <v>15976</v>
      </c>
      <c r="B77" s="4"/>
    </row>
    <row r="78" spans="1:2" x14ac:dyDescent="0.35">
      <c r="A78" s="5">
        <v>16468</v>
      </c>
      <c r="B78" s="4"/>
    </row>
    <row r="79" spans="1:2" x14ac:dyDescent="0.35">
      <c r="A79" s="5">
        <v>15766</v>
      </c>
      <c r="B79" s="4"/>
    </row>
    <row r="80" spans="1:2" x14ac:dyDescent="0.35">
      <c r="A80" s="5">
        <v>16015</v>
      </c>
      <c r="B80" s="4" t="s">
        <v>48</v>
      </c>
    </row>
    <row r="81" spans="1:2" x14ac:dyDescent="0.35">
      <c r="A81" s="5">
        <v>15505</v>
      </c>
      <c r="B81" s="4"/>
    </row>
    <row r="82" spans="1:2" x14ac:dyDescent="0.35">
      <c r="A82" s="5">
        <v>15817</v>
      </c>
      <c r="B82" s="4"/>
    </row>
    <row r="83" spans="1:2" x14ac:dyDescent="0.35">
      <c r="A83" s="5">
        <v>14689</v>
      </c>
      <c r="B83" s="4"/>
    </row>
    <row r="84" spans="1:2" x14ac:dyDescent="0.35">
      <c r="A84" s="5">
        <v>15163</v>
      </c>
      <c r="B84" s="4"/>
    </row>
    <row r="85" spans="1:2" x14ac:dyDescent="0.35">
      <c r="A85" s="5">
        <v>14752</v>
      </c>
      <c r="B85" s="4"/>
    </row>
    <row r="86" spans="1:2" x14ac:dyDescent="0.35">
      <c r="A86" s="5">
        <v>14755</v>
      </c>
      <c r="B86" s="4"/>
    </row>
    <row r="87" spans="1:2" x14ac:dyDescent="0.35">
      <c r="A87" s="5">
        <v>15262</v>
      </c>
      <c r="B87" s="4"/>
    </row>
    <row r="88" spans="1:2" x14ac:dyDescent="0.35">
      <c r="A88" s="5">
        <v>14914</v>
      </c>
      <c r="B88" s="4"/>
    </row>
    <row r="89" spans="1:2" x14ac:dyDescent="0.35">
      <c r="A89" s="5">
        <v>15730</v>
      </c>
      <c r="B89" s="4"/>
    </row>
    <row r="90" spans="1:2" x14ac:dyDescent="0.35">
      <c r="A90" s="5">
        <v>14932</v>
      </c>
      <c r="B90" s="4"/>
    </row>
    <row r="91" spans="1:2" x14ac:dyDescent="0.35">
      <c r="A91" s="5">
        <v>16216</v>
      </c>
      <c r="B91" s="4" t="s">
        <v>49</v>
      </c>
    </row>
    <row r="92" spans="1:2" x14ac:dyDescent="0.35">
      <c r="A92" s="5">
        <v>16492</v>
      </c>
      <c r="B92" s="4"/>
    </row>
    <row r="93" spans="1:2" x14ac:dyDescent="0.35">
      <c r="A93" s="5">
        <v>15196</v>
      </c>
      <c r="B93" s="4"/>
    </row>
    <row r="94" spans="1:2" x14ac:dyDescent="0.35">
      <c r="A94" s="5">
        <v>16132</v>
      </c>
      <c r="B94" s="4"/>
    </row>
    <row r="95" spans="1:2" x14ac:dyDescent="0.35">
      <c r="A95" s="5">
        <v>15142</v>
      </c>
      <c r="B95" s="4"/>
    </row>
    <row r="96" spans="1:2" x14ac:dyDescent="0.35">
      <c r="A96" s="5">
        <v>16201</v>
      </c>
      <c r="B96" s="4"/>
    </row>
    <row r="97" spans="1:2" x14ac:dyDescent="0.35">
      <c r="A97" s="5">
        <v>15271</v>
      </c>
      <c r="B97" s="4"/>
    </row>
    <row r="98" spans="1:2" x14ac:dyDescent="0.35">
      <c r="A98" s="5">
        <v>16291</v>
      </c>
      <c r="B98" s="4" t="s">
        <v>58</v>
      </c>
    </row>
    <row r="99" spans="1:2" x14ac:dyDescent="0.35">
      <c r="A99" s="5">
        <v>15106</v>
      </c>
      <c r="B99" s="4"/>
    </row>
    <row r="100" spans="1:2" x14ac:dyDescent="0.35">
      <c r="A100" s="5">
        <v>15430</v>
      </c>
      <c r="B100" s="4"/>
    </row>
    <row r="101" spans="1:2" x14ac:dyDescent="0.35">
      <c r="A101" s="5">
        <v>14896</v>
      </c>
      <c r="B101" s="4"/>
    </row>
    <row r="102" spans="1:2" ht="15.5" x14ac:dyDescent="0.35">
      <c r="A102" s="11">
        <v>13129</v>
      </c>
      <c r="B102" s="10"/>
    </row>
    <row r="103" spans="1:2" ht="15.5" x14ac:dyDescent="0.35">
      <c r="A103" s="11">
        <v>16228</v>
      </c>
      <c r="B103" s="10"/>
    </row>
    <row r="104" spans="1:2" ht="15.5" x14ac:dyDescent="0.35">
      <c r="A104" s="11">
        <v>16012</v>
      </c>
      <c r="B104" s="10"/>
    </row>
    <row r="105" spans="1:2" ht="15.5" x14ac:dyDescent="0.35">
      <c r="A105" s="11">
        <v>16159</v>
      </c>
      <c r="B105" s="10"/>
    </row>
    <row r="106" spans="1:2" ht="15.5" x14ac:dyDescent="0.35">
      <c r="A106" s="11">
        <v>15898</v>
      </c>
      <c r="B106" s="10"/>
    </row>
    <row r="107" spans="1:2" ht="15.5" x14ac:dyDescent="0.35">
      <c r="A107" s="11">
        <v>14779</v>
      </c>
      <c r="B107" s="10"/>
    </row>
    <row r="108" spans="1:2" ht="15.5" x14ac:dyDescent="0.35">
      <c r="A108" s="11">
        <v>16414</v>
      </c>
      <c r="B108" s="10"/>
    </row>
    <row r="109" spans="1:2" ht="15.5" x14ac:dyDescent="0.35">
      <c r="A109" s="11">
        <v>14950</v>
      </c>
      <c r="B109" s="10"/>
    </row>
    <row r="110" spans="1:2" ht="15.5" x14ac:dyDescent="0.35">
      <c r="A110" s="11">
        <v>15259</v>
      </c>
      <c r="B110" s="10"/>
    </row>
    <row r="111" spans="1:2" ht="15.5" x14ac:dyDescent="0.35">
      <c r="A111" s="11">
        <v>14758</v>
      </c>
      <c r="B111" s="10" t="s">
        <v>50</v>
      </c>
    </row>
    <row r="112" spans="1:2" ht="15.5" x14ac:dyDescent="0.35">
      <c r="A112" s="11">
        <v>15292</v>
      </c>
      <c r="B112" s="10"/>
    </row>
    <row r="113" spans="1:2" ht="15.5" x14ac:dyDescent="0.35">
      <c r="A113" s="11">
        <v>14818</v>
      </c>
      <c r="B113" s="10"/>
    </row>
    <row r="114" spans="1:2" x14ac:dyDescent="0.35">
      <c r="A114" s="12">
        <v>16093</v>
      </c>
      <c r="B114" s="10"/>
    </row>
    <row r="115" spans="1:2" x14ac:dyDescent="0.35">
      <c r="A115" s="12">
        <v>15301</v>
      </c>
      <c r="B115" s="10"/>
    </row>
    <row r="116" spans="1:2" x14ac:dyDescent="0.35">
      <c r="A116" s="12">
        <v>15769</v>
      </c>
      <c r="B116" s="10"/>
    </row>
    <row r="117" spans="1:2" x14ac:dyDescent="0.35">
      <c r="A117" s="12">
        <v>16372</v>
      </c>
      <c r="B117" s="10" t="s">
        <v>51</v>
      </c>
    </row>
    <row r="122" spans="1:2" x14ac:dyDescent="0.35">
      <c r="A122" s="23" t="s">
        <v>66</v>
      </c>
    </row>
    <row r="123" spans="1:2" x14ac:dyDescent="0.35">
      <c r="A123" s="2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13" t="s">
        <v>52</v>
      </c>
    </row>
    <row r="2" spans="1:3" ht="14.25" customHeight="1" x14ac:dyDescent="0.35">
      <c r="A2" s="14"/>
      <c r="B2" s="14" t="s">
        <v>53</v>
      </c>
      <c r="C2" s="14" t="s">
        <v>54</v>
      </c>
    </row>
    <row r="3" spans="1:3" ht="14.25" customHeight="1" x14ac:dyDescent="0.35">
      <c r="A3" s="14" t="s">
        <v>55</v>
      </c>
      <c r="B3" s="15" t="e">
        <f>AVERAGEIF(testdata!#REF!, "Concentration", testdata!#REF!)</f>
        <v>#REF!</v>
      </c>
      <c r="C3" s="15" t="e">
        <f>AVERAGEIF(testdata!#REF!, "Suppression", testdata!#REF!)</f>
        <v>#REF!</v>
      </c>
    </row>
    <row r="4" spans="1:3" ht="14.25" customHeight="1" x14ac:dyDescent="0.35">
      <c r="A4" s="14" t="s">
        <v>56</v>
      </c>
      <c r="B4" s="15" t="e">
        <f>AVERAGEIF(testdata!#REF!, "Concentration", testdata!#REF!)</f>
        <v>#REF!</v>
      </c>
      <c r="C4" s="15" t="e">
        <f>AVERAGEIF(testdata!#REF!, "Suppression", testdata!#REF!)</f>
        <v>#REF!</v>
      </c>
    </row>
    <row r="5" spans="1:3" ht="14.25" customHeight="1" x14ac:dyDescent="0.35"/>
    <row r="6" spans="1:3" ht="14.25" customHeight="1" x14ac:dyDescent="0.35">
      <c r="A6" s="13" t="s">
        <v>57</v>
      </c>
    </row>
    <row r="7" spans="1:3" ht="14.25" customHeight="1" x14ac:dyDescent="0.35">
      <c r="A7" s="14"/>
      <c r="B7" s="14" t="s">
        <v>53</v>
      </c>
      <c r="C7" s="14" t="s">
        <v>54</v>
      </c>
    </row>
    <row r="8" spans="1:3" ht="14.25" customHeight="1" x14ac:dyDescent="0.35">
      <c r="A8" s="14" t="s">
        <v>55</v>
      </c>
      <c r="B8" s="15" t="e">
        <f>AVERAGEIF(testdata!$A$2:$A$14, "Concentration", testdata!#REF!)</f>
        <v>#REF!</v>
      </c>
      <c r="C8" s="15" t="e">
        <f>AVERAGEIF(testdata!$A$2:$A$14, "Suppression", testdata!#REF!)</f>
        <v>#REF!</v>
      </c>
    </row>
    <row r="9" spans="1:3" ht="14.25" customHeight="1" x14ac:dyDescent="0.35">
      <c r="A9" s="14" t="s">
        <v>56</v>
      </c>
      <c r="B9" s="15" t="e">
        <f>AVERAGEIF(testdata!$A$2:$A$14, "Concentration", testdata!#REF!)</f>
        <v>#REF!</v>
      </c>
      <c r="C9" s="15" t="e">
        <f>AVERAGEIF(testdata!$A$2:$A$14,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2025-03-21T05:47:53Z</dcterms:modified>
</cp:coreProperties>
</file>