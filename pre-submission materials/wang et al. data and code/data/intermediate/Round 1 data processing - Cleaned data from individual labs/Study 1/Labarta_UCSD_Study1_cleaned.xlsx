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6D574CA-6CF4-4C89-B43C-D4508DAAFC8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6Kb27reQVMgXkmgr1GHyi/TH6JvDTv5qyxDgMyNSwk="/>
    </ext>
  </extLst>
</workbook>
</file>

<file path=xl/calcChain.xml><?xml version="1.0" encoding="utf-8"?>
<calcChain xmlns="http://schemas.openxmlformats.org/spreadsheetml/2006/main">
  <c r="AI102" i="3" l="1"/>
  <c r="AH102" i="3"/>
  <c r="AG102" i="3"/>
  <c r="AF102" i="3"/>
  <c r="AI101" i="3"/>
  <c r="AH101" i="3"/>
  <c r="AG101" i="3"/>
  <c r="AF101" i="3"/>
  <c r="AI100" i="3"/>
  <c r="AH100" i="3"/>
  <c r="AG100" i="3"/>
  <c r="AF100" i="3"/>
  <c r="AI99" i="3"/>
  <c r="AH99" i="3"/>
  <c r="AG99" i="3"/>
  <c r="AF99" i="3"/>
  <c r="AI98" i="3"/>
  <c r="AH98" i="3"/>
  <c r="AG98" i="3"/>
  <c r="AF98" i="3"/>
  <c r="AI97" i="3"/>
  <c r="AH97" i="3"/>
  <c r="AG97" i="3"/>
  <c r="AF97" i="3"/>
  <c r="AI96" i="3"/>
  <c r="AH96" i="3"/>
  <c r="AG96" i="3"/>
  <c r="AF96" i="3"/>
  <c r="AI95" i="3"/>
  <c r="AH95" i="3"/>
  <c r="AG95" i="3"/>
  <c r="AF95" i="3"/>
  <c r="AI94" i="3"/>
  <c r="AH94" i="3"/>
  <c r="AG94" i="3"/>
  <c r="AF94" i="3"/>
  <c r="AI93" i="3"/>
  <c r="AH93" i="3"/>
  <c r="AG93" i="3"/>
  <c r="AF93" i="3"/>
  <c r="AI92" i="3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<sst xmlns="http://schemas.openxmlformats.org/spreadsheetml/2006/main" count="355" uniqueCount="51">
  <si>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</si>
  <si>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</si>
  <si>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</si>
  <si>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</si>
  <si>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</si>
  <si>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</si>
  <si>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</si>
  <si>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</si>
  <si>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</si>
  <si>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</si>
  <si>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</si>
  <si>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</si>
  <si>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</si>
  <si>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</si>
  <si>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</si>
  <si>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</si>
  <si>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</si>
  <si>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</si>
  <si>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</si>
  <si>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</si>
  <si>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</si>
  <si>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</si>
  <si>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</si>
  <si>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</si>
  <si>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</si>
  <si>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</si>
  <si>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</si>
  <si>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</si>
  <si>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</si>
  <si>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</si>
  <si>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</si>
  <si>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</si>
  <si>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</si>
  <si>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</si>
  <si>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</si>
  <si>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</si>
  <si>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</si>
  <si>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</si>
  <si>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</si>
  <si>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</si>
  <si>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</si>
  <si>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</si>
  <si>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</si>
  <si>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</si>
  <si>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</si>
  <si>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Silvia Labarta </t>
  </si>
  <si>
    <t>USA</t>
  </si>
  <si>
    <t>Researcher</t>
  </si>
  <si>
    <t>Lab</t>
  </si>
  <si>
    <t>Country</t>
  </si>
  <si>
    <t>University of California 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</si>
</sst>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2" fillId="0" borderId="0" xfId="0" applyFont="1"/>
    <xf numFmtId="2" fontId="3" fillId="0" borderId="0" xfId="0" applyNumberFormat="1" applyFont="1"/>
    <xf numFmtId="0" fontId="0" fillId="0" borderId="0" xfId="0"/>
    <xf numFmtId="0" fontId="0" fillId="0" borderId="0" xfId="0" applyFill="1"/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6" fillId="0" borderId="2" xfId="0" applyFont="1" applyFill="1" applyBorder="1"/>
    <xf numFmtId="2" fontId="6" fillId="0" borderId="1" xfId="0" applyNumberFormat="1" applyFont="1" applyFill="1" applyBorder="1"/>
    <xf numFmtId="0" fontId="4" fillId="0" borderId="1" xfId="0" applyFont="1" applyFill="1" applyBorder="1"/>
    <xf numFmtId="0" fontId="6" fillId="0" borderId="3" xfId="0" applyFont="1" applyFill="1" applyBorder="1"/>
    <xf numFmtId="0" fontId="6" fillId="0" borderId="4" xfId="0" applyFont="1" applyFill="1" applyBorder="1"/>
    <xf numFmtId="0" fontId="6" fillId="0" borderId="5" xfId="0" applyFont="1" applyFill="1" applyBorder="1"/>
    <xf numFmtId="0" fontId="6" fillId="0" borderId="6" xfId="0" applyFont="1" applyFill="1" applyBorder="1"/>
    <xf numFmtId="0" fontId="6" fillId="0" borderId="1" xfId="0" applyFont="1" applyFill="1" applyBorder="1" applyAlignment="1">
      <alignment horizontal="center"/>
    </xf>
    <xf numFmtId="0" fontId="3" fillId="0" borderId="6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2"/>
  <sheetViews>
    <sheetView tabSelected="1" workbookViewId="0">
      <selection activeCell="D4" sqref="D4"/>
    </sheetView>
  </sheetViews>
  <sheetFormatPr defaultColWidth="14.453125" defaultRowHeight="15" customHeight="1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 customWidth="1"/>
    <col min="42" max="42" width="14.1796875" style="5" customWidth="1"/>
    <col min="43" max="16384" width="14.453125" style="5"/>
  </cols>
  <sheetData>
    <row r="1" spans="1:42" s="4" customFormat="1" ht="15.5" x14ac:dyDescent="0.35">
      <c r="A1" s="7" t="s">
        <v>0</v>
      </c>
      <c r="B1" s="16" t="s">
        <v>47</v>
      </c>
      <c r="C1" s="16" t="s">
        <v>48</v>
      </c>
      <c r="D1" s="16" t="s">
        <v>49</v>
      </c>
      <c r="E1" s="15" t="s">
        <v>1</v>
      </c>
      <c r="F1" s="15" t="s">
        <v>2</v>
      </c>
      <c r="G1" s="15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</row>
    <row r="2" spans="1:42" s="4" customFormat="1" ht="15.75" customHeight="1" x14ac:dyDescent="0.35">
      <c r="A2" s="6">
        <v>121</v>
      </c>
      <c r="B2" s="16" t="s">
        <v>45</v>
      </c>
      <c r="C2" s="17" t="s">
        <v>50</v>
      </c>
      <c r="D2" s="16" t="s">
        <v>46</v>
      </c>
      <c r="E2" s="7">
        <v>1</v>
      </c>
      <c r="F2" s="7">
        <v>1</v>
      </c>
      <c r="G2" s="7">
        <v>1</v>
      </c>
      <c r="H2" s="7">
        <v>0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7">
        <v>1</v>
      </c>
      <c r="O2" s="7">
        <v>1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1</v>
      </c>
      <c r="W2" s="7">
        <v>1</v>
      </c>
      <c r="X2" s="7">
        <v>0</v>
      </c>
      <c r="Y2" s="7">
        <v>0</v>
      </c>
      <c r="Z2" s="7">
        <v>0</v>
      </c>
      <c r="AA2" s="7">
        <v>1</v>
      </c>
      <c r="AB2" s="8">
        <v>0</v>
      </c>
      <c r="AC2" s="7">
        <v>0</v>
      </c>
      <c r="AD2" s="7">
        <v>1</v>
      </c>
      <c r="AE2" s="7">
        <v>1</v>
      </c>
      <c r="AF2" s="9">
        <f t="shared" ref="AF2:AF102" si="0">AVERAGE(X2:Y2)</f>
        <v>0</v>
      </c>
      <c r="AG2" s="9">
        <f t="shared" ref="AG2:AG102" si="1">AVERAGE(Z2:AA2)</f>
        <v>0.5</v>
      </c>
      <c r="AH2" s="9">
        <f t="shared" ref="AH2:AH102" si="2">AVERAGE(AB2:AC2)</f>
        <v>0</v>
      </c>
      <c r="AI2" s="9">
        <f t="shared" ref="AI2:AI102" si="3">AVERAGE(AD2:AE2)</f>
        <v>1</v>
      </c>
      <c r="AJ2" s="7">
        <v>0</v>
      </c>
      <c r="AK2" s="7">
        <v>0</v>
      </c>
      <c r="AL2" s="7">
        <v>0</v>
      </c>
      <c r="AM2" s="10">
        <v>2</v>
      </c>
      <c r="AN2" s="10">
        <v>22</v>
      </c>
      <c r="AO2" s="10">
        <v>1</v>
      </c>
      <c r="AP2" s="10">
        <v>1</v>
      </c>
    </row>
    <row r="3" spans="1:42" s="4" customFormat="1" ht="15.5" x14ac:dyDescent="0.35">
      <c r="A3" s="6">
        <v>122</v>
      </c>
      <c r="B3" s="16" t="s">
        <v>45</v>
      </c>
      <c r="C3" s="17" t="s">
        <v>50</v>
      </c>
      <c r="D3" s="16" t="s">
        <v>46</v>
      </c>
      <c r="E3" s="7">
        <v>1</v>
      </c>
      <c r="F3" s="7">
        <v>1</v>
      </c>
      <c r="G3" s="7">
        <v>2</v>
      </c>
      <c r="H3" s="7">
        <v>1</v>
      </c>
      <c r="I3" s="7">
        <v>0</v>
      </c>
      <c r="J3" s="7">
        <v>0</v>
      </c>
      <c r="K3" s="7">
        <v>0</v>
      </c>
      <c r="L3" s="7">
        <v>0</v>
      </c>
      <c r="M3" s="7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11">
        <v>0</v>
      </c>
      <c r="AB3" s="12">
        <v>0</v>
      </c>
      <c r="AC3" s="13">
        <v>1</v>
      </c>
      <c r="AD3" s="7">
        <v>0</v>
      </c>
      <c r="AE3" s="7">
        <v>0</v>
      </c>
      <c r="AF3" s="9">
        <f t="shared" si="0"/>
        <v>0</v>
      </c>
      <c r="AG3" s="9">
        <f t="shared" si="1"/>
        <v>0</v>
      </c>
      <c r="AH3" s="9">
        <f t="shared" si="2"/>
        <v>0.5</v>
      </c>
      <c r="AI3" s="9">
        <f t="shared" si="3"/>
        <v>0</v>
      </c>
      <c r="AJ3" s="7">
        <v>0</v>
      </c>
      <c r="AK3" s="7">
        <v>0</v>
      </c>
      <c r="AL3" s="7">
        <v>0</v>
      </c>
      <c r="AM3" s="10">
        <v>2</v>
      </c>
      <c r="AN3" s="10">
        <v>21</v>
      </c>
      <c r="AO3" s="10">
        <v>1</v>
      </c>
      <c r="AP3" s="10">
        <v>1</v>
      </c>
    </row>
    <row r="4" spans="1:42" s="4" customFormat="1" ht="15.5" x14ac:dyDescent="0.35">
      <c r="A4" s="6">
        <v>123</v>
      </c>
      <c r="B4" s="16" t="s">
        <v>45</v>
      </c>
      <c r="C4" s="17" t="s">
        <v>50</v>
      </c>
      <c r="D4" s="16" t="s">
        <v>46</v>
      </c>
      <c r="E4" s="7">
        <v>1</v>
      </c>
      <c r="F4" s="7">
        <v>4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11">
        <v>0</v>
      </c>
      <c r="AB4" s="12">
        <v>0</v>
      </c>
      <c r="AC4" s="13">
        <v>0</v>
      </c>
      <c r="AD4" s="7">
        <v>0</v>
      </c>
      <c r="AE4" s="7">
        <v>0</v>
      </c>
      <c r="AF4" s="9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7">
        <v>0</v>
      </c>
      <c r="AK4" s="7">
        <v>0</v>
      </c>
      <c r="AL4" s="7">
        <v>0</v>
      </c>
      <c r="AM4" s="10">
        <v>2</v>
      </c>
      <c r="AN4" s="10">
        <v>22</v>
      </c>
      <c r="AO4" s="10">
        <v>1</v>
      </c>
      <c r="AP4" s="10">
        <v>1</v>
      </c>
    </row>
    <row r="5" spans="1:42" s="4" customFormat="1" ht="15.5" x14ac:dyDescent="0.35">
      <c r="A5" s="6">
        <v>124</v>
      </c>
      <c r="B5" s="16" t="s">
        <v>45</v>
      </c>
      <c r="C5" s="17" t="s">
        <v>50</v>
      </c>
      <c r="D5" s="16" t="s">
        <v>46</v>
      </c>
      <c r="E5" s="7">
        <v>2</v>
      </c>
      <c r="F5" s="7">
        <v>3</v>
      </c>
      <c r="G5" s="7">
        <v>2</v>
      </c>
      <c r="H5" s="7">
        <v>1</v>
      </c>
      <c r="I5" s="7">
        <v>0</v>
      </c>
      <c r="J5" s="7">
        <v>1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1</v>
      </c>
      <c r="Q5" s="7">
        <v>0</v>
      </c>
      <c r="R5" s="7">
        <v>1</v>
      </c>
      <c r="S5" s="7">
        <v>0</v>
      </c>
      <c r="T5" s="7">
        <v>0</v>
      </c>
      <c r="U5" s="7">
        <v>0</v>
      </c>
      <c r="V5" s="7">
        <v>1</v>
      </c>
      <c r="W5" s="7">
        <v>0</v>
      </c>
      <c r="X5" s="7">
        <v>1</v>
      </c>
      <c r="Y5" s="7">
        <v>0</v>
      </c>
      <c r="Z5" s="7">
        <v>1</v>
      </c>
      <c r="AA5" s="7">
        <v>0</v>
      </c>
      <c r="AB5" s="14">
        <v>0</v>
      </c>
      <c r="AC5" s="7">
        <v>0</v>
      </c>
      <c r="AD5" s="7">
        <v>1</v>
      </c>
      <c r="AE5" s="7">
        <v>0</v>
      </c>
      <c r="AF5" s="9">
        <f t="shared" si="0"/>
        <v>0.5</v>
      </c>
      <c r="AG5" s="9">
        <f t="shared" si="1"/>
        <v>0.5</v>
      </c>
      <c r="AH5" s="9">
        <f t="shared" si="2"/>
        <v>0</v>
      </c>
      <c r="AI5" s="9">
        <f t="shared" si="3"/>
        <v>0.5</v>
      </c>
      <c r="AJ5" s="7">
        <v>0</v>
      </c>
      <c r="AK5" s="7">
        <v>0</v>
      </c>
      <c r="AL5" s="7">
        <v>0</v>
      </c>
      <c r="AM5" s="10">
        <v>1</v>
      </c>
      <c r="AN5" s="10">
        <v>20</v>
      </c>
      <c r="AO5" s="10">
        <v>1</v>
      </c>
      <c r="AP5" s="10">
        <v>1</v>
      </c>
    </row>
    <row r="6" spans="1:42" s="4" customFormat="1" ht="15.5" x14ac:dyDescent="0.35">
      <c r="A6" s="6">
        <v>125</v>
      </c>
      <c r="B6" s="16" t="s">
        <v>45</v>
      </c>
      <c r="C6" s="17" t="s">
        <v>50</v>
      </c>
      <c r="D6" s="16" t="s">
        <v>46</v>
      </c>
      <c r="E6" s="7">
        <v>2</v>
      </c>
      <c r="F6" s="7">
        <v>2</v>
      </c>
      <c r="G6" s="7">
        <v>1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1</v>
      </c>
      <c r="S6" s="7">
        <v>0</v>
      </c>
      <c r="T6" s="7">
        <v>1</v>
      </c>
      <c r="U6" s="7">
        <v>0</v>
      </c>
      <c r="V6" s="7">
        <v>0</v>
      </c>
      <c r="W6" s="7">
        <v>1</v>
      </c>
      <c r="X6" s="7">
        <v>0</v>
      </c>
      <c r="Y6" s="7">
        <v>0</v>
      </c>
      <c r="Z6" s="7">
        <v>1</v>
      </c>
      <c r="AA6" s="7">
        <v>0</v>
      </c>
      <c r="AB6" s="7">
        <v>1</v>
      </c>
      <c r="AC6" s="7">
        <v>0</v>
      </c>
      <c r="AD6" s="7">
        <v>0</v>
      </c>
      <c r="AE6" s="7">
        <v>1</v>
      </c>
      <c r="AF6" s="9">
        <f t="shared" si="0"/>
        <v>0</v>
      </c>
      <c r="AG6" s="9">
        <f t="shared" si="1"/>
        <v>0.5</v>
      </c>
      <c r="AH6" s="9">
        <f t="shared" si="2"/>
        <v>0.5</v>
      </c>
      <c r="AI6" s="9">
        <f t="shared" si="3"/>
        <v>0.5</v>
      </c>
      <c r="AJ6" s="7">
        <v>0</v>
      </c>
      <c r="AK6" s="7">
        <v>0</v>
      </c>
      <c r="AL6" s="7">
        <v>0</v>
      </c>
      <c r="AM6" s="10">
        <v>2</v>
      </c>
      <c r="AN6" s="10">
        <v>19</v>
      </c>
      <c r="AO6" s="10">
        <v>1</v>
      </c>
      <c r="AP6" s="10">
        <v>1</v>
      </c>
    </row>
    <row r="7" spans="1:42" s="4" customFormat="1" ht="15.5" x14ac:dyDescent="0.35">
      <c r="A7" s="6">
        <v>126</v>
      </c>
      <c r="B7" s="16" t="s">
        <v>45</v>
      </c>
      <c r="C7" s="17" t="s">
        <v>50</v>
      </c>
      <c r="D7" s="16" t="s">
        <v>46</v>
      </c>
      <c r="E7" s="7">
        <v>1</v>
      </c>
      <c r="F7" s="7">
        <v>1</v>
      </c>
      <c r="G7" s="7">
        <v>1</v>
      </c>
      <c r="H7" s="7">
        <v>0</v>
      </c>
      <c r="I7" s="7">
        <v>0</v>
      </c>
      <c r="J7" s="7">
        <v>1</v>
      </c>
      <c r="K7" s="7">
        <v>0</v>
      </c>
      <c r="L7" s="7">
        <v>0</v>
      </c>
      <c r="M7" s="7">
        <v>1</v>
      </c>
      <c r="N7" s="7">
        <v>0</v>
      </c>
      <c r="O7" s="7">
        <v>1</v>
      </c>
      <c r="P7" s="7">
        <v>0</v>
      </c>
      <c r="Q7" s="7">
        <v>0</v>
      </c>
      <c r="R7" s="7">
        <v>1</v>
      </c>
      <c r="S7" s="7">
        <v>0</v>
      </c>
      <c r="T7" s="7">
        <v>0</v>
      </c>
      <c r="U7" s="7">
        <v>1</v>
      </c>
      <c r="V7" s="7">
        <v>0</v>
      </c>
      <c r="W7" s="7">
        <v>1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1</v>
      </c>
      <c r="AD7" s="7">
        <v>0</v>
      </c>
      <c r="AE7" s="7">
        <v>1</v>
      </c>
      <c r="AF7" s="9">
        <f t="shared" si="0"/>
        <v>0</v>
      </c>
      <c r="AG7" s="9">
        <f t="shared" si="1"/>
        <v>0.5</v>
      </c>
      <c r="AH7" s="9">
        <f t="shared" si="2"/>
        <v>0.5</v>
      </c>
      <c r="AI7" s="9">
        <f t="shared" si="3"/>
        <v>0.5</v>
      </c>
      <c r="AJ7" s="7">
        <v>0</v>
      </c>
      <c r="AK7" s="7">
        <v>0</v>
      </c>
      <c r="AL7" s="7">
        <v>0</v>
      </c>
      <c r="AM7" s="10">
        <v>2</v>
      </c>
      <c r="AN7" s="10">
        <v>42</v>
      </c>
      <c r="AO7" s="10">
        <v>1</v>
      </c>
      <c r="AP7" s="10">
        <v>1</v>
      </c>
    </row>
    <row r="8" spans="1:42" s="4" customFormat="1" ht="15.5" x14ac:dyDescent="0.35">
      <c r="A8" s="6">
        <v>127</v>
      </c>
      <c r="B8" s="16" t="s">
        <v>45</v>
      </c>
      <c r="C8" s="17" t="s">
        <v>50</v>
      </c>
      <c r="D8" s="16" t="s">
        <v>46</v>
      </c>
      <c r="E8" s="7">
        <v>2</v>
      </c>
      <c r="F8" s="7">
        <v>1</v>
      </c>
      <c r="G8" s="7">
        <v>2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1</v>
      </c>
      <c r="N8" s="7">
        <v>1</v>
      </c>
      <c r="O8" s="7">
        <v>1</v>
      </c>
      <c r="P8" s="7">
        <v>0</v>
      </c>
      <c r="Q8" s="7">
        <v>0</v>
      </c>
      <c r="R8" s="7">
        <v>1</v>
      </c>
      <c r="S8" s="7">
        <v>0</v>
      </c>
      <c r="T8" s="7">
        <v>0</v>
      </c>
      <c r="U8" s="7">
        <v>1</v>
      </c>
      <c r="V8" s="7">
        <v>1</v>
      </c>
      <c r="W8" s="7">
        <v>1</v>
      </c>
      <c r="X8" s="7">
        <v>0</v>
      </c>
      <c r="Y8" s="7">
        <v>0</v>
      </c>
      <c r="Z8" s="7">
        <v>1</v>
      </c>
      <c r="AA8" s="7">
        <v>0</v>
      </c>
      <c r="AB8" s="7">
        <v>0</v>
      </c>
      <c r="AC8" s="7">
        <v>1</v>
      </c>
      <c r="AD8" s="7">
        <v>1</v>
      </c>
      <c r="AE8" s="7">
        <v>1</v>
      </c>
      <c r="AF8" s="9">
        <f t="shared" si="0"/>
        <v>0</v>
      </c>
      <c r="AG8" s="9">
        <f t="shared" si="1"/>
        <v>0.5</v>
      </c>
      <c r="AH8" s="9">
        <f t="shared" si="2"/>
        <v>0.5</v>
      </c>
      <c r="AI8" s="9">
        <f t="shared" si="3"/>
        <v>1</v>
      </c>
      <c r="AJ8" s="7">
        <v>0</v>
      </c>
      <c r="AK8" s="7">
        <v>0</v>
      </c>
      <c r="AL8" s="7">
        <v>0</v>
      </c>
      <c r="AM8" s="10">
        <v>1</v>
      </c>
      <c r="AN8" s="10">
        <v>22</v>
      </c>
      <c r="AO8" s="10">
        <v>1</v>
      </c>
      <c r="AP8" s="10">
        <v>1</v>
      </c>
    </row>
    <row r="9" spans="1:42" s="4" customFormat="1" ht="15.5" x14ac:dyDescent="0.35">
      <c r="A9" s="6">
        <v>128</v>
      </c>
      <c r="B9" s="16" t="s">
        <v>45</v>
      </c>
      <c r="C9" s="17" t="s">
        <v>50</v>
      </c>
      <c r="D9" s="16" t="s">
        <v>46</v>
      </c>
      <c r="E9" s="7">
        <v>2</v>
      </c>
      <c r="F9" s="7">
        <v>1</v>
      </c>
      <c r="G9" s="7">
        <v>2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1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0</v>
      </c>
      <c r="AE9" s="7">
        <v>1</v>
      </c>
      <c r="AF9" s="9">
        <f t="shared" si="0"/>
        <v>0</v>
      </c>
      <c r="AG9" s="9">
        <f t="shared" si="1"/>
        <v>0</v>
      </c>
      <c r="AH9" s="9">
        <f t="shared" si="2"/>
        <v>0.5</v>
      </c>
      <c r="AI9" s="9">
        <f t="shared" si="3"/>
        <v>0.5</v>
      </c>
      <c r="AJ9" s="7">
        <v>0</v>
      </c>
      <c r="AK9" s="7">
        <v>0</v>
      </c>
      <c r="AL9" s="7">
        <v>0</v>
      </c>
      <c r="AM9" s="10">
        <v>1</v>
      </c>
      <c r="AN9" s="10">
        <v>20</v>
      </c>
      <c r="AO9" s="10">
        <v>1</v>
      </c>
      <c r="AP9" s="10">
        <v>1</v>
      </c>
    </row>
    <row r="10" spans="1:42" s="4" customFormat="1" ht="15.5" x14ac:dyDescent="0.35">
      <c r="A10" s="6">
        <v>129</v>
      </c>
      <c r="B10" s="16" t="s">
        <v>45</v>
      </c>
      <c r="C10" s="17" t="s">
        <v>50</v>
      </c>
      <c r="D10" s="16" t="s">
        <v>46</v>
      </c>
      <c r="E10" s="7">
        <v>1</v>
      </c>
      <c r="F10" s="7">
        <v>2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1</v>
      </c>
      <c r="S10" s="7">
        <v>0</v>
      </c>
      <c r="T10" s="7">
        <v>0</v>
      </c>
      <c r="U10" s="7">
        <v>0</v>
      </c>
      <c r="V10" s="7">
        <v>0</v>
      </c>
      <c r="W10" s="7">
        <v>1</v>
      </c>
      <c r="X10" s="7">
        <v>0</v>
      </c>
      <c r="Y10" s="7">
        <v>0</v>
      </c>
      <c r="Z10" s="7">
        <v>1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9">
        <f t="shared" si="0"/>
        <v>0</v>
      </c>
      <c r="AG10" s="9">
        <f t="shared" si="1"/>
        <v>0.5</v>
      </c>
      <c r="AH10" s="9">
        <f t="shared" si="2"/>
        <v>0</v>
      </c>
      <c r="AI10" s="9">
        <f t="shared" si="3"/>
        <v>0.5</v>
      </c>
      <c r="AJ10" s="7">
        <v>0</v>
      </c>
      <c r="AK10" s="7">
        <v>0</v>
      </c>
      <c r="AL10" s="7">
        <v>0</v>
      </c>
      <c r="AM10" s="10">
        <v>2</v>
      </c>
      <c r="AN10" s="10">
        <v>21</v>
      </c>
      <c r="AO10" s="10">
        <v>1</v>
      </c>
      <c r="AP10" s="10">
        <v>1</v>
      </c>
    </row>
    <row r="11" spans="1:42" s="4" customFormat="1" ht="15.5" x14ac:dyDescent="0.35">
      <c r="A11" s="6">
        <v>130</v>
      </c>
      <c r="B11" s="16" t="s">
        <v>45</v>
      </c>
      <c r="C11" s="17" t="s">
        <v>50</v>
      </c>
      <c r="D11" s="16" t="s">
        <v>46</v>
      </c>
      <c r="E11" s="7">
        <v>2</v>
      </c>
      <c r="F11" s="7">
        <v>2</v>
      </c>
      <c r="G11" s="7">
        <v>2</v>
      </c>
      <c r="H11" s="7">
        <v>1</v>
      </c>
      <c r="I11" s="7">
        <v>1</v>
      </c>
      <c r="J11" s="7">
        <v>1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0</v>
      </c>
      <c r="V11" s="7">
        <v>0</v>
      </c>
      <c r="W11" s="7">
        <v>0</v>
      </c>
      <c r="X11" s="7">
        <v>1</v>
      </c>
      <c r="Y11" s="7">
        <v>1</v>
      </c>
      <c r="Z11" s="7">
        <v>1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9">
        <f t="shared" si="0"/>
        <v>1</v>
      </c>
      <c r="AG11" s="9">
        <f t="shared" si="1"/>
        <v>1</v>
      </c>
      <c r="AH11" s="9">
        <f t="shared" si="2"/>
        <v>0</v>
      </c>
      <c r="AI11" s="9">
        <f t="shared" si="3"/>
        <v>0</v>
      </c>
      <c r="AJ11" s="7">
        <v>0</v>
      </c>
      <c r="AK11" s="7">
        <v>0</v>
      </c>
      <c r="AL11" s="7">
        <v>0</v>
      </c>
      <c r="AM11" s="10">
        <v>1</v>
      </c>
      <c r="AN11" s="10">
        <v>23</v>
      </c>
      <c r="AO11" s="10">
        <v>1</v>
      </c>
      <c r="AP11" s="10">
        <v>1</v>
      </c>
    </row>
    <row r="12" spans="1:42" s="4" customFormat="1" ht="15.5" x14ac:dyDescent="0.35">
      <c r="A12" s="6">
        <v>131</v>
      </c>
      <c r="B12" s="16" t="s">
        <v>45</v>
      </c>
      <c r="C12" s="17" t="s">
        <v>50</v>
      </c>
      <c r="D12" s="16" t="s">
        <v>46</v>
      </c>
      <c r="E12" s="7">
        <v>2</v>
      </c>
      <c r="F12" s="7">
        <v>4</v>
      </c>
      <c r="G12" s="7">
        <v>1</v>
      </c>
      <c r="H12" s="7">
        <v>1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1</v>
      </c>
      <c r="Q12" s="7">
        <v>1</v>
      </c>
      <c r="R12" s="7">
        <v>1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1</v>
      </c>
      <c r="Y12" s="7">
        <v>1</v>
      </c>
      <c r="Z12" s="7">
        <v>1</v>
      </c>
      <c r="AA12" s="7">
        <v>0</v>
      </c>
      <c r="AB12" s="7">
        <v>0</v>
      </c>
      <c r="AC12" s="7">
        <v>0</v>
      </c>
      <c r="AD12" s="7">
        <v>1</v>
      </c>
      <c r="AE12" s="7">
        <v>0</v>
      </c>
      <c r="AF12" s="9">
        <f t="shared" si="0"/>
        <v>1</v>
      </c>
      <c r="AG12" s="9">
        <f t="shared" si="1"/>
        <v>0.5</v>
      </c>
      <c r="AH12" s="9">
        <f t="shared" si="2"/>
        <v>0</v>
      </c>
      <c r="AI12" s="9">
        <f t="shared" si="3"/>
        <v>0.5</v>
      </c>
      <c r="AJ12" s="7">
        <v>0</v>
      </c>
      <c r="AK12" s="7">
        <v>0</v>
      </c>
      <c r="AL12" s="7">
        <v>0</v>
      </c>
      <c r="AM12" s="10">
        <v>1</v>
      </c>
      <c r="AN12" s="10">
        <v>21</v>
      </c>
      <c r="AO12" s="10">
        <v>1</v>
      </c>
      <c r="AP12" s="10">
        <v>1</v>
      </c>
    </row>
    <row r="13" spans="1:42" s="4" customFormat="1" ht="15.5" x14ac:dyDescent="0.35">
      <c r="A13" s="6">
        <v>132</v>
      </c>
      <c r="B13" s="16" t="s">
        <v>45</v>
      </c>
      <c r="C13" s="17" t="s">
        <v>50</v>
      </c>
      <c r="D13" s="16" t="s">
        <v>46</v>
      </c>
      <c r="E13" s="7">
        <v>2</v>
      </c>
      <c r="F13" s="7">
        <v>1</v>
      </c>
      <c r="G13" s="7">
        <v>2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0</v>
      </c>
      <c r="AD13" s="7">
        <v>0</v>
      </c>
      <c r="AE13" s="7">
        <v>0</v>
      </c>
      <c r="AF13" s="9">
        <f t="shared" si="0"/>
        <v>0</v>
      </c>
      <c r="AG13" s="9">
        <f t="shared" si="1"/>
        <v>0</v>
      </c>
      <c r="AH13" s="9">
        <f t="shared" si="2"/>
        <v>0.5</v>
      </c>
      <c r="AI13" s="9">
        <f t="shared" si="3"/>
        <v>0</v>
      </c>
      <c r="AJ13" s="7">
        <v>0</v>
      </c>
      <c r="AK13" s="7">
        <v>0</v>
      </c>
      <c r="AL13" s="7">
        <v>0</v>
      </c>
      <c r="AM13" s="10">
        <v>1</v>
      </c>
      <c r="AN13" s="10">
        <v>21</v>
      </c>
      <c r="AO13" s="10">
        <v>1</v>
      </c>
      <c r="AP13" s="10">
        <v>1</v>
      </c>
    </row>
    <row r="14" spans="1:42" s="4" customFormat="1" ht="15.5" x14ac:dyDescent="0.35">
      <c r="A14" s="6">
        <v>133</v>
      </c>
      <c r="B14" s="16" t="s">
        <v>45</v>
      </c>
      <c r="C14" s="17" t="s">
        <v>50</v>
      </c>
      <c r="D14" s="16" t="s">
        <v>46</v>
      </c>
      <c r="E14" s="7">
        <v>2</v>
      </c>
      <c r="F14" s="7">
        <v>1</v>
      </c>
      <c r="G14" s="7">
        <v>1</v>
      </c>
      <c r="H14" s="10">
        <v>0</v>
      </c>
      <c r="I14" s="10">
        <v>0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1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9">
        <f t="shared" si="0"/>
        <v>0</v>
      </c>
      <c r="AG14" s="9">
        <f t="shared" si="1"/>
        <v>0.5</v>
      </c>
      <c r="AH14" s="9">
        <f t="shared" si="2"/>
        <v>0</v>
      </c>
      <c r="AI14" s="9">
        <f t="shared" si="3"/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20</v>
      </c>
      <c r="AO14" s="10">
        <v>1</v>
      </c>
      <c r="AP14" s="10">
        <v>1</v>
      </c>
    </row>
    <row r="15" spans="1:42" s="4" customFormat="1" ht="15.5" x14ac:dyDescent="0.35">
      <c r="A15" s="6">
        <v>134</v>
      </c>
      <c r="B15" s="16" t="s">
        <v>45</v>
      </c>
      <c r="C15" s="17" t="s">
        <v>50</v>
      </c>
      <c r="D15" s="16" t="s">
        <v>46</v>
      </c>
      <c r="E15" s="7">
        <v>2</v>
      </c>
      <c r="F15" s="7">
        <v>2</v>
      </c>
      <c r="G15" s="7">
        <v>2</v>
      </c>
      <c r="H15" s="10">
        <v>1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0">
        <v>1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1</v>
      </c>
      <c r="AB15" s="10">
        <v>0</v>
      </c>
      <c r="AC15" s="10">
        <v>0</v>
      </c>
      <c r="AD15" s="10">
        <v>0</v>
      </c>
      <c r="AE15" s="10">
        <v>0</v>
      </c>
      <c r="AF15" s="9">
        <f t="shared" si="0"/>
        <v>0.5</v>
      </c>
      <c r="AG15" s="9">
        <f t="shared" si="1"/>
        <v>0.5</v>
      </c>
      <c r="AH15" s="9">
        <f t="shared" si="2"/>
        <v>0</v>
      </c>
      <c r="AI15" s="9">
        <f t="shared" si="3"/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21</v>
      </c>
      <c r="AO15" s="10">
        <v>1</v>
      </c>
      <c r="AP15" s="10">
        <v>1</v>
      </c>
    </row>
    <row r="16" spans="1:42" s="4" customFormat="1" ht="15.5" x14ac:dyDescent="0.35">
      <c r="A16" s="6">
        <v>135</v>
      </c>
      <c r="B16" s="16" t="s">
        <v>45</v>
      </c>
      <c r="C16" s="17" t="s">
        <v>50</v>
      </c>
      <c r="D16" s="16" t="s">
        <v>46</v>
      </c>
      <c r="E16" s="7">
        <v>2</v>
      </c>
      <c r="F16" s="7">
        <v>4</v>
      </c>
      <c r="G16" s="7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9">
        <f t="shared" si="0"/>
        <v>0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10">
        <v>0</v>
      </c>
      <c r="AK16" s="10">
        <v>0</v>
      </c>
      <c r="AL16" s="10">
        <v>0</v>
      </c>
      <c r="AM16" s="10">
        <v>2</v>
      </c>
      <c r="AN16" s="10">
        <v>21</v>
      </c>
      <c r="AO16" s="10">
        <v>1</v>
      </c>
      <c r="AP16" s="10">
        <v>1</v>
      </c>
    </row>
    <row r="17" spans="1:42" s="4" customFormat="1" ht="15.75" customHeight="1" x14ac:dyDescent="0.35">
      <c r="A17" s="6">
        <v>136</v>
      </c>
      <c r="B17" s="16" t="s">
        <v>45</v>
      </c>
      <c r="C17" s="17" t="s">
        <v>50</v>
      </c>
      <c r="D17" s="16" t="s">
        <v>46</v>
      </c>
      <c r="E17" s="7">
        <v>1</v>
      </c>
      <c r="F17" s="7">
        <v>4</v>
      </c>
      <c r="G17" s="7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1</v>
      </c>
      <c r="AE17" s="10">
        <v>0</v>
      </c>
      <c r="AF17" s="9">
        <f t="shared" si="0"/>
        <v>0</v>
      </c>
      <c r="AG17" s="9">
        <f t="shared" si="1"/>
        <v>0</v>
      </c>
      <c r="AH17" s="9">
        <f t="shared" si="2"/>
        <v>0</v>
      </c>
      <c r="AI17" s="9">
        <f t="shared" si="3"/>
        <v>0.5</v>
      </c>
      <c r="AJ17" s="10">
        <v>0</v>
      </c>
      <c r="AK17" s="10">
        <v>0</v>
      </c>
      <c r="AL17" s="10">
        <v>0</v>
      </c>
      <c r="AM17" s="10">
        <v>2</v>
      </c>
      <c r="AN17" s="10">
        <v>21</v>
      </c>
      <c r="AO17" s="10">
        <v>1</v>
      </c>
      <c r="AP17" s="10">
        <v>1</v>
      </c>
    </row>
    <row r="18" spans="1:42" s="4" customFormat="1" ht="15.75" customHeight="1" x14ac:dyDescent="0.35">
      <c r="A18" s="6">
        <v>137</v>
      </c>
      <c r="B18" s="16" t="s">
        <v>45</v>
      </c>
      <c r="C18" s="17" t="s">
        <v>50</v>
      </c>
      <c r="D18" s="16" t="s">
        <v>46</v>
      </c>
      <c r="E18" s="7">
        <v>1</v>
      </c>
      <c r="F18" s="7">
        <v>4</v>
      </c>
      <c r="G18" s="7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1</v>
      </c>
      <c r="AD18" s="10">
        <v>0</v>
      </c>
      <c r="AE18" s="10">
        <v>0</v>
      </c>
      <c r="AF18" s="9">
        <f t="shared" si="0"/>
        <v>0</v>
      </c>
      <c r="AG18" s="9">
        <f t="shared" si="1"/>
        <v>0</v>
      </c>
      <c r="AH18" s="9">
        <f t="shared" si="2"/>
        <v>0.5</v>
      </c>
      <c r="AI18" s="9">
        <f t="shared" si="3"/>
        <v>0</v>
      </c>
      <c r="AJ18" s="10">
        <v>0</v>
      </c>
      <c r="AK18" s="10">
        <v>0</v>
      </c>
      <c r="AL18" s="10">
        <v>0</v>
      </c>
      <c r="AM18" s="10">
        <v>2</v>
      </c>
      <c r="AN18" s="10">
        <v>20</v>
      </c>
      <c r="AO18" s="10">
        <v>2</v>
      </c>
      <c r="AP18" s="10">
        <v>1</v>
      </c>
    </row>
    <row r="19" spans="1:42" s="4" customFormat="1" ht="15.75" customHeight="1" x14ac:dyDescent="0.35">
      <c r="A19" s="6">
        <v>138</v>
      </c>
      <c r="B19" s="16" t="s">
        <v>45</v>
      </c>
      <c r="C19" s="17" t="s">
        <v>50</v>
      </c>
      <c r="D19" s="16" t="s">
        <v>46</v>
      </c>
      <c r="E19" s="7">
        <v>1</v>
      </c>
      <c r="F19" s="7">
        <v>2</v>
      </c>
      <c r="G19" s="7">
        <v>1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1</v>
      </c>
      <c r="O19" s="10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1</v>
      </c>
      <c r="AE19" s="10">
        <v>0</v>
      </c>
      <c r="AF19" s="9">
        <f t="shared" si="0"/>
        <v>0.5</v>
      </c>
      <c r="AG19" s="9">
        <f t="shared" si="1"/>
        <v>0</v>
      </c>
      <c r="AH19" s="9">
        <f t="shared" si="2"/>
        <v>0</v>
      </c>
      <c r="AI19" s="9">
        <f t="shared" si="3"/>
        <v>0.5</v>
      </c>
      <c r="AJ19" s="10">
        <v>0</v>
      </c>
      <c r="AK19" s="10">
        <v>0</v>
      </c>
      <c r="AL19" s="10">
        <v>0</v>
      </c>
      <c r="AM19" s="10">
        <v>2</v>
      </c>
      <c r="AN19" s="10">
        <v>22</v>
      </c>
      <c r="AO19" s="10">
        <v>1</v>
      </c>
      <c r="AP19" s="10">
        <v>1</v>
      </c>
    </row>
    <row r="20" spans="1:42" s="4" customFormat="1" ht="15.75" customHeight="1" x14ac:dyDescent="0.35">
      <c r="A20" s="6">
        <v>139</v>
      </c>
      <c r="B20" s="16" t="s">
        <v>45</v>
      </c>
      <c r="C20" s="17" t="s">
        <v>50</v>
      </c>
      <c r="D20" s="16" t="s">
        <v>46</v>
      </c>
      <c r="E20" s="7">
        <v>2</v>
      </c>
      <c r="F20" s="7">
        <v>2</v>
      </c>
      <c r="G20" s="7">
        <v>1</v>
      </c>
      <c r="H20" s="10">
        <v>0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1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9">
        <f t="shared" si="0"/>
        <v>0</v>
      </c>
      <c r="AG20" s="9">
        <f t="shared" si="1"/>
        <v>0.5</v>
      </c>
      <c r="AH20" s="9">
        <f t="shared" si="2"/>
        <v>0</v>
      </c>
      <c r="AI20" s="9">
        <f t="shared" si="3"/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20</v>
      </c>
      <c r="AO20" s="10">
        <v>1</v>
      </c>
      <c r="AP20" s="10">
        <v>1</v>
      </c>
    </row>
    <row r="21" spans="1:42" s="4" customFormat="1" ht="15.75" customHeight="1" x14ac:dyDescent="0.35">
      <c r="A21" s="6">
        <v>140</v>
      </c>
      <c r="B21" s="16" t="s">
        <v>45</v>
      </c>
      <c r="C21" s="17" t="s">
        <v>50</v>
      </c>
      <c r="D21" s="16" t="s">
        <v>46</v>
      </c>
      <c r="E21" s="7">
        <v>2</v>
      </c>
      <c r="F21" s="7">
        <v>3</v>
      </c>
      <c r="G21" s="7">
        <v>2</v>
      </c>
      <c r="H21" s="10">
        <v>0</v>
      </c>
      <c r="I21" s="10">
        <v>0</v>
      </c>
      <c r="J21" s="10">
        <v>0</v>
      </c>
      <c r="K21" s="10">
        <v>1</v>
      </c>
      <c r="L21" s="10">
        <v>1</v>
      </c>
      <c r="M21" s="10">
        <v>1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1</v>
      </c>
      <c r="T21" s="10">
        <v>1</v>
      </c>
      <c r="U21" s="10">
        <v>1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1</v>
      </c>
      <c r="AB21" s="10">
        <v>1</v>
      </c>
      <c r="AC21" s="10">
        <v>1</v>
      </c>
      <c r="AD21" s="10">
        <v>1</v>
      </c>
      <c r="AE21" s="10">
        <v>0</v>
      </c>
      <c r="AF21" s="9">
        <f t="shared" si="0"/>
        <v>0</v>
      </c>
      <c r="AG21" s="9">
        <f t="shared" si="1"/>
        <v>0.5</v>
      </c>
      <c r="AH21" s="9">
        <f t="shared" si="2"/>
        <v>1</v>
      </c>
      <c r="AI21" s="9">
        <f t="shared" si="3"/>
        <v>0.5</v>
      </c>
      <c r="AJ21" s="10">
        <v>0</v>
      </c>
      <c r="AK21" s="10">
        <v>0</v>
      </c>
      <c r="AL21" s="10">
        <v>0</v>
      </c>
      <c r="AM21" s="10">
        <v>1</v>
      </c>
      <c r="AN21" s="10">
        <v>22</v>
      </c>
      <c r="AO21" s="10">
        <v>1</v>
      </c>
      <c r="AP21" s="10">
        <v>1</v>
      </c>
    </row>
    <row r="22" spans="1:42" s="4" customFormat="1" ht="15.75" customHeight="1" x14ac:dyDescent="0.35">
      <c r="A22" s="6">
        <v>141</v>
      </c>
      <c r="B22" s="16" t="s">
        <v>45</v>
      </c>
      <c r="C22" s="17" t="s">
        <v>50</v>
      </c>
      <c r="D22" s="16" t="s">
        <v>46</v>
      </c>
      <c r="E22" s="7">
        <v>2</v>
      </c>
      <c r="F22" s="7">
        <v>4</v>
      </c>
      <c r="G22" s="7">
        <v>2</v>
      </c>
      <c r="H22" s="10">
        <v>1</v>
      </c>
      <c r="I22" s="10">
        <v>1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1</v>
      </c>
      <c r="Q22" s="10">
        <v>1</v>
      </c>
      <c r="R22" s="10">
        <v>0</v>
      </c>
      <c r="S22" s="10">
        <v>0</v>
      </c>
      <c r="T22" s="10">
        <v>0</v>
      </c>
      <c r="U22" s="10">
        <v>1</v>
      </c>
      <c r="V22" s="10">
        <v>0</v>
      </c>
      <c r="W22" s="10">
        <v>0</v>
      </c>
      <c r="X22" s="10">
        <v>1</v>
      </c>
      <c r="Y22" s="10">
        <v>1</v>
      </c>
      <c r="Z22" s="10">
        <v>0</v>
      </c>
      <c r="AA22" s="10">
        <v>0</v>
      </c>
      <c r="AB22" s="10">
        <v>0</v>
      </c>
      <c r="AC22" s="10">
        <v>1</v>
      </c>
      <c r="AD22" s="10">
        <v>0</v>
      </c>
      <c r="AE22" s="10">
        <v>0</v>
      </c>
      <c r="AF22" s="9">
        <f t="shared" si="0"/>
        <v>1</v>
      </c>
      <c r="AG22" s="9">
        <f t="shared" si="1"/>
        <v>0</v>
      </c>
      <c r="AH22" s="9">
        <f t="shared" si="2"/>
        <v>0.5</v>
      </c>
      <c r="AI22" s="9">
        <f t="shared" si="3"/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22</v>
      </c>
      <c r="AO22" s="10">
        <v>4</v>
      </c>
      <c r="AP22" s="10">
        <v>1</v>
      </c>
    </row>
    <row r="23" spans="1:42" s="4" customFormat="1" ht="15.75" customHeight="1" x14ac:dyDescent="0.35">
      <c r="A23" s="6">
        <v>142</v>
      </c>
      <c r="B23" s="16" t="s">
        <v>45</v>
      </c>
      <c r="C23" s="17" t="s">
        <v>50</v>
      </c>
      <c r="D23" s="16" t="s">
        <v>46</v>
      </c>
      <c r="E23" s="7">
        <v>2</v>
      </c>
      <c r="F23" s="7">
        <v>2</v>
      </c>
      <c r="G23" s="7">
        <v>2</v>
      </c>
      <c r="H23" s="10">
        <v>1</v>
      </c>
      <c r="I23" s="10">
        <v>0</v>
      </c>
      <c r="J23" s="10">
        <v>1</v>
      </c>
      <c r="K23" s="10">
        <v>0</v>
      </c>
      <c r="L23" s="10">
        <v>1</v>
      </c>
      <c r="M23" s="10">
        <v>0</v>
      </c>
      <c r="N23" s="10">
        <v>0</v>
      </c>
      <c r="O23" s="10">
        <v>0</v>
      </c>
      <c r="P23" s="10">
        <v>1</v>
      </c>
      <c r="Q23" s="10">
        <v>0</v>
      </c>
      <c r="R23" s="10">
        <v>1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9">
        <f t="shared" si="0"/>
        <v>0.5</v>
      </c>
      <c r="AG23" s="9">
        <f t="shared" si="1"/>
        <v>0.5</v>
      </c>
      <c r="AH23" s="9">
        <f t="shared" si="2"/>
        <v>0.5</v>
      </c>
      <c r="AI23" s="9">
        <f t="shared" si="3"/>
        <v>0</v>
      </c>
      <c r="AJ23" s="10">
        <v>0</v>
      </c>
      <c r="AK23" s="10">
        <v>0</v>
      </c>
      <c r="AL23" s="10">
        <v>0</v>
      </c>
      <c r="AM23" s="10">
        <v>2</v>
      </c>
      <c r="AN23" s="10">
        <v>21</v>
      </c>
      <c r="AO23" s="10">
        <v>2</v>
      </c>
      <c r="AP23" s="10">
        <v>1</v>
      </c>
    </row>
    <row r="24" spans="1:42" s="4" customFormat="1" ht="15.75" customHeight="1" x14ac:dyDescent="0.35">
      <c r="A24" s="6">
        <v>143</v>
      </c>
      <c r="B24" s="16" t="s">
        <v>45</v>
      </c>
      <c r="C24" s="17" t="s">
        <v>50</v>
      </c>
      <c r="D24" s="16" t="s">
        <v>46</v>
      </c>
      <c r="E24" s="7">
        <v>1</v>
      </c>
      <c r="F24" s="7">
        <v>3</v>
      </c>
      <c r="G24" s="7">
        <v>1</v>
      </c>
      <c r="H24" s="10">
        <v>0</v>
      </c>
      <c r="I24" s="10">
        <v>0</v>
      </c>
      <c r="J24" s="10">
        <v>1</v>
      </c>
      <c r="K24" s="10">
        <v>1</v>
      </c>
      <c r="L24" s="10">
        <v>0</v>
      </c>
      <c r="M24" s="10">
        <v>0</v>
      </c>
      <c r="N24" s="10">
        <v>1</v>
      </c>
      <c r="O24" s="10">
        <v>1</v>
      </c>
      <c r="P24" s="10">
        <v>0</v>
      </c>
      <c r="Q24" s="10">
        <v>0</v>
      </c>
      <c r="R24" s="10">
        <v>1</v>
      </c>
      <c r="S24" s="10">
        <v>1</v>
      </c>
      <c r="T24" s="10">
        <v>0</v>
      </c>
      <c r="U24" s="10">
        <v>0</v>
      </c>
      <c r="V24" s="10">
        <v>1</v>
      </c>
      <c r="W24" s="10">
        <v>1</v>
      </c>
      <c r="X24" s="10">
        <v>0</v>
      </c>
      <c r="Y24" s="10">
        <v>0</v>
      </c>
      <c r="Z24" s="10">
        <v>1</v>
      </c>
      <c r="AA24" s="10">
        <v>1</v>
      </c>
      <c r="AB24" s="10">
        <v>0</v>
      </c>
      <c r="AC24" s="10">
        <v>0</v>
      </c>
      <c r="AD24" s="10">
        <v>1</v>
      </c>
      <c r="AE24" s="10">
        <v>1</v>
      </c>
      <c r="AF24" s="9">
        <f t="shared" si="0"/>
        <v>0</v>
      </c>
      <c r="AG24" s="9">
        <f t="shared" si="1"/>
        <v>1</v>
      </c>
      <c r="AH24" s="9">
        <f t="shared" si="2"/>
        <v>0</v>
      </c>
      <c r="AI24" s="9">
        <f t="shared" si="3"/>
        <v>1</v>
      </c>
      <c r="AJ24" s="10">
        <v>0</v>
      </c>
      <c r="AK24" s="10">
        <v>0</v>
      </c>
      <c r="AL24" s="10">
        <v>0</v>
      </c>
      <c r="AM24" s="10">
        <v>1</v>
      </c>
      <c r="AN24" s="10">
        <v>26</v>
      </c>
      <c r="AO24" s="10">
        <v>1</v>
      </c>
      <c r="AP24" s="10">
        <v>1</v>
      </c>
    </row>
    <row r="25" spans="1:42" s="4" customFormat="1" ht="15.75" customHeight="1" x14ac:dyDescent="0.35">
      <c r="A25" s="6">
        <v>144</v>
      </c>
      <c r="B25" s="16" t="s">
        <v>45</v>
      </c>
      <c r="C25" s="17" t="s">
        <v>50</v>
      </c>
      <c r="D25" s="16" t="s">
        <v>46</v>
      </c>
      <c r="E25" s="7">
        <v>2</v>
      </c>
      <c r="F25" s="7">
        <v>1</v>
      </c>
      <c r="G25" s="7">
        <v>2</v>
      </c>
      <c r="H25" s="10">
        <v>0</v>
      </c>
      <c r="I25" s="10">
        <v>1</v>
      </c>
      <c r="J25" s="10">
        <v>1</v>
      </c>
      <c r="K25" s="10">
        <v>1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9">
        <f t="shared" si="0"/>
        <v>0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18</v>
      </c>
      <c r="AO25" s="10">
        <v>2</v>
      </c>
      <c r="AP25" s="10">
        <v>1</v>
      </c>
    </row>
    <row r="26" spans="1:42" s="4" customFormat="1" ht="15.75" customHeight="1" x14ac:dyDescent="0.35">
      <c r="A26" s="6">
        <v>145</v>
      </c>
      <c r="B26" s="16" t="s">
        <v>45</v>
      </c>
      <c r="C26" s="17" t="s">
        <v>50</v>
      </c>
      <c r="D26" s="16" t="s">
        <v>46</v>
      </c>
      <c r="E26" s="7">
        <v>2</v>
      </c>
      <c r="F26" s="7">
        <v>4</v>
      </c>
      <c r="G26" s="7">
        <v>1</v>
      </c>
      <c r="H26" s="10">
        <v>0</v>
      </c>
      <c r="I26" s="10">
        <v>0</v>
      </c>
      <c r="J26" s="10">
        <v>1</v>
      </c>
      <c r="K26" s="10">
        <v>0</v>
      </c>
      <c r="L26" s="10">
        <v>0</v>
      </c>
      <c r="M26" s="10">
        <v>0</v>
      </c>
      <c r="N26" s="10">
        <v>1</v>
      </c>
      <c r="O26" s="10">
        <v>0</v>
      </c>
      <c r="P26" s="10">
        <v>0</v>
      </c>
      <c r="Q26" s="10">
        <v>0</v>
      </c>
      <c r="R26" s="10">
        <v>1</v>
      </c>
      <c r="S26" s="10">
        <v>0</v>
      </c>
      <c r="T26" s="10">
        <v>0</v>
      </c>
      <c r="U26" s="10">
        <v>0</v>
      </c>
      <c r="V26" s="10">
        <v>1</v>
      </c>
      <c r="W26" s="10">
        <v>0</v>
      </c>
      <c r="X26" s="10">
        <v>0</v>
      </c>
      <c r="Y26" s="10">
        <v>0</v>
      </c>
      <c r="Z26" s="10">
        <v>1</v>
      </c>
      <c r="AA26" s="10">
        <v>0</v>
      </c>
      <c r="AB26" s="10">
        <v>0</v>
      </c>
      <c r="AC26" s="10">
        <v>0</v>
      </c>
      <c r="AD26" s="10">
        <v>1</v>
      </c>
      <c r="AE26" s="10">
        <v>0</v>
      </c>
      <c r="AF26" s="9">
        <f t="shared" si="0"/>
        <v>0</v>
      </c>
      <c r="AG26" s="9">
        <f t="shared" si="1"/>
        <v>0.5</v>
      </c>
      <c r="AH26" s="9">
        <f t="shared" si="2"/>
        <v>0</v>
      </c>
      <c r="AI26" s="9">
        <f t="shared" si="3"/>
        <v>0.5</v>
      </c>
      <c r="AJ26" s="10">
        <v>0</v>
      </c>
      <c r="AK26" s="10">
        <v>0</v>
      </c>
      <c r="AL26" s="10">
        <v>0</v>
      </c>
      <c r="AM26" s="10">
        <v>1</v>
      </c>
      <c r="AN26" s="10">
        <v>21</v>
      </c>
      <c r="AO26" s="10">
        <v>1</v>
      </c>
      <c r="AP26" s="10">
        <v>1</v>
      </c>
    </row>
    <row r="27" spans="1:42" s="4" customFormat="1" ht="15.75" customHeight="1" x14ac:dyDescent="0.35">
      <c r="A27" s="6">
        <v>146</v>
      </c>
      <c r="B27" s="16" t="s">
        <v>45</v>
      </c>
      <c r="C27" s="17" t="s">
        <v>50</v>
      </c>
      <c r="D27" s="16" t="s">
        <v>46</v>
      </c>
      <c r="E27" s="7">
        <v>2</v>
      </c>
      <c r="F27" s="7">
        <v>3</v>
      </c>
      <c r="G27" s="7">
        <v>1</v>
      </c>
      <c r="H27" s="10">
        <v>0</v>
      </c>
      <c r="I27" s="10">
        <v>0</v>
      </c>
      <c r="J27" s="10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9">
        <f t="shared" si="0"/>
        <v>0</v>
      </c>
      <c r="AG27" s="9">
        <f t="shared" si="1"/>
        <v>0.5</v>
      </c>
      <c r="AH27" s="9">
        <f t="shared" si="2"/>
        <v>0</v>
      </c>
      <c r="AI27" s="9">
        <f t="shared" si="3"/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21</v>
      </c>
      <c r="AO27" s="10">
        <v>2</v>
      </c>
      <c r="AP27" s="10">
        <v>1</v>
      </c>
    </row>
    <row r="28" spans="1:42" s="4" customFormat="1" ht="15.75" customHeight="1" x14ac:dyDescent="0.35">
      <c r="A28" s="6">
        <v>147</v>
      </c>
      <c r="B28" s="16" t="s">
        <v>45</v>
      </c>
      <c r="C28" s="17" t="s">
        <v>50</v>
      </c>
      <c r="D28" s="16" t="s">
        <v>46</v>
      </c>
      <c r="E28" s="7">
        <v>2</v>
      </c>
      <c r="F28" s="7">
        <v>3</v>
      </c>
      <c r="G28" s="7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21</v>
      </c>
      <c r="AO28" s="10">
        <v>1</v>
      </c>
      <c r="AP28" s="10">
        <v>1</v>
      </c>
    </row>
    <row r="29" spans="1:42" s="4" customFormat="1" ht="15.75" customHeight="1" x14ac:dyDescent="0.35">
      <c r="A29" s="6">
        <v>148</v>
      </c>
      <c r="B29" s="16" t="s">
        <v>45</v>
      </c>
      <c r="C29" s="17" t="s">
        <v>50</v>
      </c>
      <c r="D29" s="16" t="s">
        <v>46</v>
      </c>
      <c r="E29" s="7">
        <v>1</v>
      </c>
      <c r="F29" s="7">
        <v>1</v>
      </c>
      <c r="G29" s="7">
        <v>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1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9">
        <f t="shared" si="0"/>
        <v>0</v>
      </c>
      <c r="AG29" s="9">
        <f t="shared" si="1"/>
        <v>0</v>
      </c>
      <c r="AH29" s="9">
        <f t="shared" si="2"/>
        <v>0</v>
      </c>
      <c r="AI29" s="9">
        <f t="shared" si="3"/>
        <v>0.5</v>
      </c>
      <c r="AJ29" s="10">
        <v>0</v>
      </c>
      <c r="AK29" s="10">
        <v>0</v>
      </c>
      <c r="AL29" s="10">
        <v>0</v>
      </c>
      <c r="AM29" s="10">
        <v>2</v>
      </c>
      <c r="AN29" s="10">
        <v>19</v>
      </c>
      <c r="AO29" s="10">
        <v>1</v>
      </c>
      <c r="AP29" s="10">
        <v>1</v>
      </c>
    </row>
    <row r="30" spans="1:42" s="4" customFormat="1" ht="15.75" customHeight="1" x14ac:dyDescent="0.35">
      <c r="A30" s="6">
        <v>149</v>
      </c>
      <c r="B30" s="16" t="s">
        <v>45</v>
      </c>
      <c r="C30" s="17" t="s">
        <v>50</v>
      </c>
      <c r="D30" s="16" t="s">
        <v>46</v>
      </c>
      <c r="E30" s="7">
        <v>1</v>
      </c>
      <c r="F30" s="7">
        <v>2</v>
      </c>
      <c r="G30" s="7">
        <v>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1</v>
      </c>
      <c r="O30" s="10">
        <v>0</v>
      </c>
      <c r="P30" s="10">
        <v>0</v>
      </c>
      <c r="Q30" s="10">
        <v>0</v>
      </c>
      <c r="R30" s="10">
        <v>1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9">
        <f t="shared" si="0"/>
        <v>0</v>
      </c>
      <c r="AG30" s="9">
        <f t="shared" si="1"/>
        <v>0</v>
      </c>
      <c r="AH30" s="9">
        <f t="shared" si="2"/>
        <v>0</v>
      </c>
      <c r="AI30" s="9">
        <f t="shared" si="3"/>
        <v>0</v>
      </c>
      <c r="AJ30" s="10">
        <v>0</v>
      </c>
      <c r="AK30" s="10">
        <v>0</v>
      </c>
      <c r="AL30" s="10">
        <v>0</v>
      </c>
      <c r="AM30" s="10">
        <v>2</v>
      </c>
      <c r="AN30" s="10">
        <v>21</v>
      </c>
      <c r="AO30" s="10">
        <v>1</v>
      </c>
      <c r="AP30" s="10">
        <v>1</v>
      </c>
    </row>
    <row r="31" spans="1:42" s="4" customFormat="1" ht="15.75" customHeight="1" x14ac:dyDescent="0.35">
      <c r="A31" s="6">
        <v>150</v>
      </c>
      <c r="B31" s="16" t="s">
        <v>45</v>
      </c>
      <c r="C31" s="17" t="s">
        <v>50</v>
      </c>
      <c r="D31" s="16" t="s">
        <v>46</v>
      </c>
      <c r="E31" s="7">
        <v>1</v>
      </c>
      <c r="F31" s="7">
        <v>3</v>
      </c>
      <c r="G31" s="7">
        <v>2</v>
      </c>
      <c r="H31" s="10">
        <v>1</v>
      </c>
      <c r="I31" s="10">
        <v>0</v>
      </c>
      <c r="J31" s="10">
        <v>0</v>
      </c>
      <c r="K31" s="10">
        <v>0</v>
      </c>
      <c r="L31" s="10">
        <v>1</v>
      </c>
      <c r="M31" s="10">
        <v>0</v>
      </c>
      <c r="N31" s="10">
        <v>1</v>
      </c>
      <c r="O31" s="10">
        <v>0</v>
      </c>
      <c r="P31" s="10">
        <v>1</v>
      </c>
      <c r="Q31" s="10">
        <v>0</v>
      </c>
      <c r="R31" s="10">
        <v>0</v>
      </c>
      <c r="S31" s="10">
        <v>0</v>
      </c>
      <c r="T31" s="10">
        <v>1</v>
      </c>
      <c r="U31" s="10">
        <v>0</v>
      </c>
      <c r="V31" s="10">
        <v>1</v>
      </c>
      <c r="W31" s="10">
        <v>0</v>
      </c>
      <c r="X31" s="10">
        <v>1</v>
      </c>
      <c r="Y31" s="10">
        <v>0</v>
      </c>
      <c r="Z31" s="10">
        <v>0</v>
      </c>
      <c r="AA31" s="10">
        <v>0</v>
      </c>
      <c r="AB31" s="10">
        <v>1</v>
      </c>
      <c r="AC31" s="10">
        <v>0</v>
      </c>
      <c r="AD31" s="10">
        <v>1</v>
      </c>
      <c r="AE31" s="10">
        <v>0</v>
      </c>
      <c r="AF31" s="9">
        <f t="shared" si="0"/>
        <v>0.5</v>
      </c>
      <c r="AG31" s="9">
        <f t="shared" si="1"/>
        <v>0</v>
      </c>
      <c r="AH31" s="9">
        <f t="shared" si="2"/>
        <v>0.5</v>
      </c>
      <c r="AI31" s="9">
        <f t="shared" si="3"/>
        <v>0.5</v>
      </c>
      <c r="AJ31" s="10">
        <v>0</v>
      </c>
      <c r="AK31" s="10">
        <v>0</v>
      </c>
      <c r="AL31" s="10">
        <v>0</v>
      </c>
      <c r="AM31" s="10">
        <v>2</v>
      </c>
      <c r="AN31" s="10">
        <v>21</v>
      </c>
      <c r="AO31" s="10">
        <v>1</v>
      </c>
      <c r="AP31" s="10">
        <v>1</v>
      </c>
    </row>
    <row r="32" spans="1:42" s="4" customFormat="1" ht="15.75" customHeight="1" x14ac:dyDescent="0.35">
      <c r="A32" s="6">
        <v>151</v>
      </c>
      <c r="B32" s="16" t="s">
        <v>45</v>
      </c>
      <c r="C32" s="17" t="s">
        <v>50</v>
      </c>
      <c r="D32" s="16" t="s">
        <v>46</v>
      </c>
      <c r="E32" s="7">
        <v>1</v>
      </c>
      <c r="F32" s="7">
        <v>4</v>
      </c>
      <c r="G32" s="7">
        <v>2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9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10">
        <v>0</v>
      </c>
      <c r="AK32" s="10">
        <v>0</v>
      </c>
      <c r="AL32" s="10">
        <v>0</v>
      </c>
      <c r="AM32" s="10">
        <v>2</v>
      </c>
      <c r="AN32" s="10">
        <v>20</v>
      </c>
      <c r="AO32" s="10">
        <v>1</v>
      </c>
      <c r="AP32" s="10">
        <v>1</v>
      </c>
    </row>
    <row r="33" spans="1:42" s="4" customFormat="1" ht="15.75" customHeight="1" x14ac:dyDescent="0.35">
      <c r="A33" s="6">
        <v>152</v>
      </c>
      <c r="B33" s="16" t="s">
        <v>45</v>
      </c>
      <c r="C33" s="17" t="s">
        <v>50</v>
      </c>
      <c r="D33" s="16" t="s">
        <v>46</v>
      </c>
      <c r="E33" s="7">
        <v>2</v>
      </c>
      <c r="F33" s="7">
        <v>3</v>
      </c>
      <c r="G33" s="7">
        <v>2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1</v>
      </c>
      <c r="AD33" s="10">
        <v>0</v>
      </c>
      <c r="AE33" s="10">
        <v>0</v>
      </c>
      <c r="AF33" s="9">
        <f t="shared" si="0"/>
        <v>0</v>
      </c>
      <c r="AG33" s="9">
        <f t="shared" si="1"/>
        <v>0</v>
      </c>
      <c r="AH33" s="9">
        <f t="shared" si="2"/>
        <v>0.5</v>
      </c>
      <c r="AI33" s="9">
        <f t="shared" si="3"/>
        <v>0</v>
      </c>
      <c r="AJ33" s="10">
        <v>0</v>
      </c>
      <c r="AK33" s="10">
        <v>0</v>
      </c>
      <c r="AL33" s="10">
        <v>0</v>
      </c>
      <c r="AM33" s="10">
        <v>2</v>
      </c>
      <c r="AN33" s="10">
        <v>21</v>
      </c>
      <c r="AO33" s="10">
        <v>1</v>
      </c>
      <c r="AP33" s="10">
        <v>1</v>
      </c>
    </row>
    <row r="34" spans="1:42" s="4" customFormat="1" ht="15.75" customHeight="1" x14ac:dyDescent="0.35">
      <c r="A34" s="6">
        <v>153</v>
      </c>
      <c r="B34" s="16" t="s">
        <v>45</v>
      </c>
      <c r="C34" s="17" t="s">
        <v>50</v>
      </c>
      <c r="D34" s="16" t="s">
        <v>46</v>
      </c>
      <c r="E34" s="7">
        <v>2</v>
      </c>
      <c r="F34" s="7">
        <v>2</v>
      </c>
      <c r="G34" s="7">
        <v>2</v>
      </c>
      <c r="H34" s="10">
        <v>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1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9">
        <f t="shared" si="0"/>
        <v>0.5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21</v>
      </c>
      <c r="AO34" s="10">
        <v>1</v>
      </c>
      <c r="AP34" s="10">
        <v>1</v>
      </c>
    </row>
    <row r="35" spans="1:42" s="4" customFormat="1" ht="15.75" customHeight="1" x14ac:dyDescent="0.35">
      <c r="A35" s="6">
        <v>154</v>
      </c>
      <c r="B35" s="16" t="s">
        <v>45</v>
      </c>
      <c r="C35" s="17" t="s">
        <v>50</v>
      </c>
      <c r="D35" s="16" t="s">
        <v>46</v>
      </c>
      <c r="E35" s="7">
        <v>2</v>
      </c>
      <c r="F35" s="7">
        <v>4</v>
      </c>
      <c r="G35" s="7">
        <v>1</v>
      </c>
      <c r="H35" s="10">
        <v>1</v>
      </c>
      <c r="I35" s="10">
        <v>0</v>
      </c>
      <c r="J35" s="10">
        <v>1</v>
      </c>
      <c r="K35" s="10">
        <v>1</v>
      </c>
      <c r="L35" s="10">
        <v>0</v>
      </c>
      <c r="M35" s="10">
        <v>0</v>
      </c>
      <c r="N35" s="10">
        <v>0</v>
      </c>
      <c r="O35" s="10">
        <v>0</v>
      </c>
      <c r="P35" s="10">
        <v>1</v>
      </c>
      <c r="Q35" s="10">
        <v>0</v>
      </c>
      <c r="R35" s="10">
        <v>1</v>
      </c>
      <c r="S35" s="10">
        <v>1</v>
      </c>
      <c r="T35" s="10">
        <v>0</v>
      </c>
      <c r="U35" s="10">
        <v>0</v>
      </c>
      <c r="V35" s="10">
        <v>1</v>
      </c>
      <c r="W35" s="10">
        <v>1</v>
      </c>
      <c r="X35" s="10">
        <v>1</v>
      </c>
      <c r="Y35" s="10">
        <v>0</v>
      </c>
      <c r="Z35" s="10">
        <v>1</v>
      </c>
      <c r="AA35" s="10">
        <v>1</v>
      </c>
      <c r="AB35" s="10">
        <v>0</v>
      </c>
      <c r="AC35" s="10">
        <v>0</v>
      </c>
      <c r="AD35" s="10">
        <v>0</v>
      </c>
      <c r="AE35" s="10">
        <v>0</v>
      </c>
      <c r="AF35" s="9">
        <f t="shared" si="0"/>
        <v>0.5</v>
      </c>
      <c r="AG35" s="9">
        <f t="shared" si="1"/>
        <v>1</v>
      </c>
      <c r="AH35" s="9">
        <f t="shared" si="2"/>
        <v>0</v>
      </c>
      <c r="AI35" s="9">
        <f t="shared" si="3"/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19</v>
      </c>
      <c r="AO35" s="10">
        <v>1</v>
      </c>
      <c r="AP35" s="10">
        <v>1</v>
      </c>
    </row>
    <row r="36" spans="1:42" s="4" customFormat="1" ht="15.75" customHeight="1" x14ac:dyDescent="0.35">
      <c r="A36" s="6">
        <v>155</v>
      </c>
      <c r="B36" s="16" t="s">
        <v>45</v>
      </c>
      <c r="C36" s="17" t="s">
        <v>50</v>
      </c>
      <c r="D36" s="16" t="s">
        <v>46</v>
      </c>
      <c r="E36" s="7">
        <v>1</v>
      </c>
      <c r="F36" s="7">
        <v>3</v>
      </c>
      <c r="G36" s="7">
        <v>2</v>
      </c>
      <c r="H36" s="10">
        <v>0</v>
      </c>
      <c r="I36" s="10">
        <v>1</v>
      </c>
      <c r="J36" s="10">
        <v>0</v>
      </c>
      <c r="K36" s="10">
        <v>0</v>
      </c>
      <c r="L36" s="10">
        <v>0</v>
      </c>
      <c r="M36" s="10">
        <v>0</v>
      </c>
      <c r="N36" s="10">
        <v>1</v>
      </c>
      <c r="O36" s="10">
        <v>1</v>
      </c>
      <c r="P36" s="10">
        <v>0</v>
      </c>
      <c r="Q36" s="10">
        <v>1</v>
      </c>
      <c r="R36" s="10">
        <v>0</v>
      </c>
      <c r="S36" s="10">
        <v>0</v>
      </c>
      <c r="T36" s="10">
        <v>0</v>
      </c>
      <c r="U36" s="10">
        <v>0</v>
      </c>
      <c r="V36" s="10">
        <v>1</v>
      </c>
      <c r="W36" s="10">
        <v>1</v>
      </c>
      <c r="X36" s="10">
        <v>0</v>
      </c>
      <c r="Y36" s="10">
        <v>1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9">
        <f t="shared" si="0"/>
        <v>0.5</v>
      </c>
      <c r="AG36" s="9">
        <f t="shared" si="1"/>
        <v>0</v>
      </c>
      <c r="AH36" s="9">
        <f t="shared" si="2"/>
        <v>0</v>
      </c>
      <c r="AI36" s="9">
        <f t="shared" si="3"/>
        <v>1</v>
      </c>
      <c r="AJ36" s="10">
        <v>0</v>
      </c>
      <c r="AK36" s="10">
        <v>0</v>
      </c>
      <c r="AL36" s="10">
        <v>0</v>
      </c>
      <c r="AM36" s="10">
        <v>2</v>
      </c>
      <c r="AN36" s="10">
        <v>19</v>
      </c>
      <c r="AO36" s="10">
        <v>1</v>
      </c>
      <c r="AP36" s="10">
        <v>1</v>
      </c>
    </row>
    <row r="37" spans="1:42" s="4" customFormat="1" ht="15.75" customHeight="1" x14ac:dyDescent="0.35">
      <c r="A37" s="6">
        <v>156</v>
      </c>
      <c r="B37" s="16" t="s">
        <v>45</v>
      </c>
      <c r="C37" s="17" t="s">
        <v>50</v>
      </c>
      <c r="D37" s="16" t="s">
        <v>46</v>
      </c>
      <c r="E37" s="7">
        <v>1</v>
      </c>
      <c r="F37" s="7">
        <v>2</v>
      </c>
      <c r="G37" s="7">
        <v>2</v>
      </c>
      <c r="H37" s="10">
        <v>0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1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0</v>
      </c>
      <c r="AC37" s="10">
        <v>0</v>
      </c>
      <c r="AD37" s="10">
        <v>0</v>
      </c>
      <c r="AE37" s="10">
        <v>0</v>
      </c>
      <c r="AF37" s="9">
        <f t="shared" si="0"/>
        <v>0</v>
      </c>
      <c r="AG37" s="9">
        <f t="shared" si="1"/>
        <v>0.5</v>
      </c>
      <c r="AH37" s="9">
        <f t="shared" si="2"/>
        <v>0</v>
      </c>
      <c r="AI37" s="9">
        <f t="shared" si="3"/>
        <v>0</v>
      </c>
      <c r="AJ37" s="10">
        <v>0</v>
      </c>
      <c r="AK37" s="10">
        <v>0</v>
      </c>
      <c r="AL37" s="10">
        <v>0</v>
      </c>
      <c r="AM37" s="10">
        <v>2</v>
      </c>
      <c r="AN37" s="10">
        <v>21</v>
      </c>
      <c r="AO37" s="10">
        <v>1</v>
      </c>
      <c r="AP37" s="10">
        <v>1</v>
      </c>
    </row>
    <row r="38" spans="1:42" s="4" customFormat="1" ht="15.75" customHeight="1" x14ac:dyDescent="0.35">
      <c r="A38" s="6">
        <v>157</v>
      </c>
      <c r="B38" s="16" t="s">
        <v>45</v>
      </c>
      <c r="C38" s="17" t="s">
        <v>50</v>
      </c>
      <c r="D38" s="16" t="s">
        <v>46</v>
      </c>
      <c r="E38" s="7">
        <v>1</v>
      </c>
      <c r="F38" s="7">
        <v>1</v>
      </c>
      <c r="G38" s="7">
        <v>1</v>
      </c>
      <c r="H38" s="10">
        <v>0</v>
      </c>
      <c r="I38" s="10">
        <v>1</v>
      </c>
      <c r="J38" s="10">
        <v>0</v>
      </c>
      <c r="K38" s="10">
        <v>0</v>
      </c>
      <c r="L38" s="10">
        <v>1</v>
      </c>
      <c r="M38" s="10">
        <v>0</v>
      </c>
      <c r="N38" s="10">
        <v>1</v>
      </c>
      <c r="O38" s="10">
        <v>0</v>
      </c>
      <c r="P38" s="10">
        <v>0</v>
      </c>
      <c r="Q38" s="10">
        <v>1</v>
      </c>
      <c r="R38" s="10">
        <v>0</v>
      </c>
      <c r="S38" s="10">
        <v>0</v>
      </c>
      <c r="T38" s="10">
        <v>1</v>
      </c>
      <c r="U38" s="10">
        <v>0</v>
      </c>
      <c r="V38" s="10">
        <v>1</v>
      </c>
      <c r="W38" s="10">
        <v>0</v>
      </c>
      <c r="X38" s="10">
        <v>0</v>
      </c>
      <c r="Y38" s="10">
        <v>1</v>
      </c>
      <c r="Z38" s="10">
        <v>0</v>
      </c>
      <c r="AA38" s="10">
        <v>0</v>
      </c>
      <c r="AB38" s="10">
        <v>1</v>
      </c>
      <c r="AC38" s="10">
        <v>0</v>
      </c>
      <c r="AD38" s="10">
        <v>1</v>
      </c>
      <c r="AE38" s="10">
        <v>0</v>
      </c>
      <c r="AF38" s="9">
        <f t="shared" si="0"/>
        <v>0.5</v>
      </c>
      <c r="AG38" s="9">
        <f t="shared" si="1"/>
        <v>0</v>
      </c>
      <c r="AH38" s="9">
        <f t="shared" si="2"/>
        <v>0.5</v>
      </c>
      <c r="AI38" s="9">
        <f t="shared" si="3"/>
        <v>0.5</v>
      </c>
      <c r="AJ38" s="10">
        <v>0</v>
      </c>
      <c r="AK38" s="10">
        <v>0</v>
      </c>
      <c r="AL38" s="10">
        <v>0</v>
      </c>
      <c r="AM38" s="10">
        <v>2</v>
      </c>
      <c r="AN38" s="10">
        <v>20</v>
      </c>
      <c r="AO38" s="10">
        <v>1</v>
      </c>
      <c r="AP38" s="10">
        <v>1</v>
      </c>
    </row>
    <row r="39" spans="1:42" s="4" customFormat="1" ht="15.75" customHeight="1" x14ac:dyDescent="0.35">
      <c r="A39" s="6">
        <v>158</v>
      </c>
      <c r="B39" s="16" t="s">
        <v>45</v>
      </c>
      <c r="C39" s="17" t="s">
        <v>50</v>
      </c>
      <c r="D39" s="16" t="s">
        <v>46</v>
      </c>
      <c r="E39" s="7">
        <v>2</v>
      </c>
      <c r="F39" s="7">
        <v>2</v>
      </c>
      <c r="G39" s="7">
        <v>1</v>
      </c>
      <c r="H39" s="10">
        <v>0</v>
      </c>
      <c r="I39" s="10">
        <v>1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1</v>
      </c>
      <c r="R39" s="10">
        <v>0</v>
      </c>
      <c r="S39" s="10">
        <v>1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1</v>
      </c>
      <c r="Z39" s="10">
        <v>0</v>
      </c>
      <c r="AA39" s="10">
        <v>1</v>
      </c>
      <c r="AB39" s="10">
        <v>0</v>
      </c>
      <c r="AC39" s="10">
        <v>0</v>
      </c>
      <c r="AD39" s="10">
        <v>0</v>
      </c>
      <c r="AE39" s="10">
        <v>0</v>
      </c>
      <c r="AF39" s="9">
        <f t="shared" si="0"/>
        <v>0.5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10">
        <v>0</v>
      </c>
      <c r="AK39" s="10">
        <v>0</v>
      </c>
      <c r="AL39" s="10">
        <v>0</v>
      </c>
      <c r="AM39" s="10">
        <v>1</v>
      </c>
      <c r="AN39" s="10">
        <v>21</v>
      </c>
      <c r="AO39" s="10">
        <v>2</v>
      </c>
      <c r="AP39" s="10">
        <v>1</v>
      </c>
    </row>
    <row r="40" spans="1:42" s="4" customFormat="1" ht="15.75" customHeight="1" x14ac:dyDescent="0.35">
      <c r="A40" s="6">
        <v>159</v>
      </c>
      <c r="B40" s="16" t="s">
        <v>45</v>
      </c>
      <c r="C40" s="17" t="s">
        <v>50</v>
      </c>
      <c r="D40" s="16" t="s">
        <v>46</v>
      </c>
      <c r="E40" s="7">
        <v>2</v>
      </c>
      <c r="F40" s="7">
        <v>3</v>
      </c>
      <c r="G40" s="7">
        <v>2</v>
      </c>
      <c r="H40" s="10">
        <v>0</v>
      </c>
      <c r="I40" s="10">
        <v>0</v>
      </c>
      <c r="J40" s="10">
        <v>1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1</v>
      </c>
      <c r="Q40" s="10">
        <v>0</v>
      </c>
      <c r="R40" s="10">
        <v>1</v>
      </c>
      <c r="S40" s="10">
        <v>0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1</v>
      </c>
      <c r="AA40" s="10">
        <v>0</v>
      </c>
      <c r="AB40" s="10">
        <v>0</v>
      </c>
      <c r="AC40" s="10">
        <v>1</v>
      </c>
      <c r="AD40" s="10">
        <v>0</v>
      </c>
      <c r="AE40" s="10">
        <v>0</v>
      </c>
      <c r="AF40" s="9">
        <f t="shared" si="0"/>
        <v>0</v>
      </c>
      <c r="AG40" s="9">
        <f t="shared" si="1"/>
        <v>0.5</v>
      </c>
      <c r="AH40" s="9">
        <f t="shared" si="2"/>
        <v>0.5</v>
      </c>
      <c r="AI40" s="9">
        <f t="shared" si="3"/>
        <v>0</v>
      </c>
      <c r="AJ40" s="10">
        <v>0</v>
      </c>
      <c r="AK40" s="10">
        <v>0</v>
      </c>
      <c r="AL40" s="10">
        <v>0</v>
      </c>
      <c r="AM40" s="10">
        <v>1</v>
      </c>
      <c r="AN40" s="10">
        <v>18</v>
      </c>
      <c r="AO40" s="10">
        <v>1</v>
      </c>
      <c r="AP40" s="10">
        <v>1</v>
      </c>
    </row>
    <row r="41" spans="1:42" s="4" customFormat="1" ht="15.75" customHeight="1" x14ac:dyDescent="0.35">
      <c r="A41" s="6">
        <v>160</v>
      </c>
      <c r="B41" s="16" t="s">
        <v>45</v>
      </c>
      <c r="C41" s="17" t="s">
        <v>50</v>
      </c>
      <c r="D41" s="16" t="s">
        <v>46</v>
      </c>
      <c r="E41" s="7">
        <v>2</v>
      </c>
      <c r="F41" s="7">
        <v>1</v>
      </c>
      <c r="G41" s="7">
        <v>1</v>
      </c>
      <c r="H41" s="10">
        <v>1</v>
      </c>
      <c r="I41" s="10">
        <v>0</v>
      </c>
      <c r="J41" s="10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1</v>
      </c>
      <c r="Q41" s="10">
        <v>0</v>
      </c>
      <c r="R41" s="10">
        <v>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</v>
      </c>
      <c r="Y41" s="10">
        <v>0</v>
      </c>
      <c r="Z41" s="10">
        <v>1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9">
        <f t="shared" si="0"/>
        <v>0.5</v>
      </c>
      <c r="AG41" s="9">
        <f t="shared" si="1"/>
        <v>0.5</v>
      </c>
      <c r="AH41" s="9">
        <f t="shared" si="2"/>
        <v>0</v>
      </c>
      <c r="AI41" s="9">
        <f t="shared" si="3"/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20</v>
      </c>
      <c r="AO41" s="10">
        <v>1</v>
      </c>
      <c r="AP41" s="10">
        <v>1</v>
      </c>
    </row>
    <row r="42" spans="1:42" s="4" customFormat="1" ht="15.75" customHeight="1" x14ac:dyDescent="0.35">
      <c r="A42" s="6">
        <v>161</v>
      </c>
      <c r="B42" s="16" t="s">
        <v>45</v>
      </c>
      <c r="C42" s="17" t="s">
        <v>50</v>
      </c>
      <c r="D42" s="16" t="s">
        <v>46</v>
      </c>
      <c r="E42" s="7">
        <v>1</v>
      </c>
      <c r="F42" s="7">
        <v>3</v>
      </c>
      <c r="G42" s="7">
        <v>2</v>
      </c>
      <c r="H42" s="10">
        <v>0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1</v>
      </c>
      <c r="S42" s="10">
        <v>0</v>
      </c>
      <c r="T42" s="10">
        <v>0</v>
      </c>
      <c r="U42" s="10">
        <v>1</v>
      </c>
      <c r="V42" s="10">
        <v>0</v>
      </c>
      <c r="W42" s="10">
        <v>0</v>
      </c>
      <c r="X42" s="10">
        <v>0</v>
      </c>
      <c r="Y42" s="10">
        <v>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9">
        <f t="shared" si="0"/>
        <v>0.5</v>
      </c>
      <c r="AG42" s="9">
        <f t="shared" si="1"/>
        <v>0</v>
      </c>
      <c r="AH42" s="9">
        <f t="shared" si="2"/>
        <v>0</v>
      </c>
      <c r="AI42" s="9">
        <f t="shared" si="3"/>
        <v>0</v>
      </c>
      <c r="AJ42" s="10">
        <v>0</v>
      </c>
      <c r="AK42" s="10">
        <v>0</v>
      </c>
      <c r="AL42" s="10">
        <v>0</v>
      </c>
      <c r="AM42" s="10">
        <v>2</v>
      </c>
      <c r="AN42" s="10">
        <v>18</v>
      </c>
      <c r="AO42" s="10">
        <v>1</v>
      </c>
      <c r="AP42" s="10">
        <v>1</v>
      </c>
    </row>
    <row r="43" spans="1:42" s="4" customFormat="1" ht="15.75" customHeight="1" x14ac:dyDescent="0.35">
      <c r="A43" s="6">
        <v>162</v>
      </c>
      <c r="B43" s="16" t="s">
        <v>45</v>
      </c>
      <c r="C43" s="17" t="s">
        <v>50</v>
      </c>
      <c r="D43" s="16" t="s">
        <v>46</v>
      </c>
      <c r="E43" s="7">
        <v>1</v>
      </c>
      <c r="F43" s="7">
        <v>3</v>
      </c>
      <c r="G43" s="7">
        <v>2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9">
        <f t="shared" si="0"/>
        <v>0</v>
      </c>
      <c r="AG43" s="9">
        <f t="shared" si="1"/>
        <v>0</v>
      </c>
      <c r="AH43" s="9">
        <f t="shared" si="2"/>
        <v>0.5</v>
      </c>
      <c r="AI43" s="9">
        <f t="shared" si="3"/>
        <v>0</v>
      </c>
      <c r="AJ43" s="10">
        <v>0</v>
      </c>
      <c r="AK43" s="10">
        <v>0</v>
      </c>
      <c r="AL43" s="10">
        <v>0</v>
      </c>
      <c r="AM43" s="10">
        <v>2</v>
      </c>
      <c r="AN43" s="10">
        <v>20</v>
      </c>
      <c r="AO43" s="10">
        <v>1</v>
      </c>
      <c r="AP43" s="10">
        <v>1</v>
      </c>
    </row>
    <row r="44" spans="1:42" s="4" customFormat="1" ht="15.75" customHeight="1" x14ac:dyDescent="0.35">
      <c r="A44" s="6">
        <v>163</v>
      </c>
      <c r="B44" s="16" t="s">
        <v>45</v>
      </c>
      <c r="C44" s="17" t="s">
        <v>50</v>
      </c>
      <c r="D44" s="16" t="s">
        <v>46</v>
      </c>
      <c r="E44" s="7">
        <v>1</v>
      </c>
      <c r="F44" s="7">
        <v>3</v>
      </c>
      <c r="G44" s="7">
        <v>1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0</v>
      </c>
      <c r="N44" s="10">
        <v>0</v>
      </c>
      <c r="O44" s="10">
        <v>0</v>
      </c>
      <c r="P44" s="10">
        <v>0</v>
      </c>
      <c r="Q44" s="10">
        <v>1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</v>
      </c>
      <c r="AC44" s="10">
        <v>0</v>
      </c>
      <c r="AD44" s="10">
        <v>0</v>
      </c>
      <c r="AE44" s="10">
        <v>0</v>
      </c>
      <c r="AF44" s="9">
        <f t="shared" si="0"/>
        <v>0</v>
      </c>
      <c r="AG44" s="9">
        <f t="shared" si="1"/>
        <v>0</v>
      </c>
      <c r="AH44" s="9">
        <f t="shared" si="2"/>
        <v>0.5</v>
      </c>
      <c r="AI44" s="9">
        <f t="shared" si="3"/>
        <v>0</v>
      </c>
      <c r="AJ44" s="10">
        <v>0</v>
      </c>
      <c r="AK44" s="10">
        <v>0</v>
      </c>
      <c r="AL44" s="10">
        <v>0</v>
      </c>
      <c r="AM44" s="10">
        <v>2</v>
      </c>
      <c r="AN44" s="10">
        <v>18</v>
      </c>
      <c r="AO44" s="10">
        <v>1</v>
      </c>
      <c r="AP44" s="10">
        <v>1</v>
      </c>
    </row>
    <row r="45" spans="1:42" s="4" customFormat="1" ht="15.75" customHeight="1" x14ac:dyDescent="0.35">
      <c r="A45" s="6">
        <v>164</v>
      </c>
      <c r="B45" s="16" t="s">
        <v>45</v>
      </c>
      <c r="C45" s="17" t="s">
        <v>50</v>
      </c>
      <c r="D45" s="16" t="s">
        <v>46</v>
      </c>
      <c r="E45" s="7">
        <v>2</v>
      </c>
      <c r="F45" s="7">
        <v>3</v>
      </c>
      <c r="G45" s="7">
        <v>1</v>
      </c>
      <c r="H45" s="10">
        <v>0</v>
      </c>
      <c r="I45" s="10">
        <v>0</v>
      </c>
      <c r="J45" s="10">
        <v>0</v>
      </c>
      <c r="K45" s="10">
        <v>1</v>
      </c>
      <c r="L45" s="10">
        <v>0</v>
      </c>
      <c r="M45" s="10">
        <v>1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0</v>
      </c>
      <c r="AA45" s="10">
        <v>1</v>
      </c>
      <c r="AB45" s="10">
        <v>0</v>
      </c>
      <c r="AC45" s="10">
        <v>1</v>
      </c>
      <c r="AD45" s="10">
        <v>0</v>
      </c>
      <c r="AE45" s="10">
        <v>1</v>
      </c>
      <c r="AF45" s="9">
        <f t="shared" si="0"/>
        <v>0</v>
      </c>
      <c r="AG45" s="9">
        <f t="shared" si="1"/>
        <v>0.5</v>
      </c>
      <c r="AH45" s="9">
        <f t="shared" si="2"/>
        <v>0.5</v>
      </c>
      <c r="AI45" s="9">
        <f t="shared" si="3"/>
        <v>0.5</v>
      </c>
      <c r="AJ45" s="10">
        <v>0</v>
      </c>
      <c r="AK45" s="10">
        <v>0</v>
      </c>
      <c r="AL45" s="10">
        <v>0</v>
      </c>
      <c r="AM45" s="10">
        <v>1</v>
      </c>
      <c r="AN45" s="10">
        <v>20</v>
      </c>
      <c r="AO45" s="10">
        <v>1</v>
      </c>
      <c r="AP45" s="10">
        <v>1</v>
      </c>
    </row>
    <row r="46" spans="1:42" s="4" customFormat="1" ht="15.75" customHeight="1" x14ac:dyDescent="0.35">
      <c r="A46" s="6">
        <v>165</v>
      </c>
      <c r="B46" s="16" t="s">
        <v>45</v>
      </c>
      <c r="C46" s="17" t="s">
        <v>50</v>
      </c>
      <c r="D46" s="16" t="s">
        <v>46</v>
      </c>
      <c r="E46" s="7">
        <v>2</v>
      </c>
      <c r="F46" s="7">
        <v>4</v>
      </c>
      <c r="G46" s="7">
        <v>1</v>
      </c>
      <c r="H46" s="10">
        <v>0</v>
      </c>
      <c r="I46" s="10">
        <v>0</v>
      </c>
      <c r="J46" s="10">
        <v>0</v>
      </c>
      <c r="K46" s="10">
        <v>0</v>
      </c>
      <c r="L46" s="10">
        <v>1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1</v>
      </c>
      <c r="AC46" s="10">
        <v>0</v>
      </c>
      <c r="AD46" s="10">
        <v>0</v>
      </c>
      <c r="AE46" s="10">
        <v>0</v>
      </c>
      <c r="AF46" s="9">
        <f t="shared" si="0"/>
        <v>0</v>
      </c>
      <c r="AG46" s="9">
        <f t="shared" si="1"/>
        <v>0</v>
      </c>
      <c r="AH46" s="9">
        <f t="shared" si="2"/>
        <v>0.5</v>
      </c>
      <c r="AI46" s="9">
        <f t="shared" si="3"/>
        <v>0</v>
      </c>
      <c r="AJ46" s="10">
        <v>0</v>
      </c>
      <c r="AK46" s="10">
        <v>0</v>
      </c>
      <c r="AL46" s="10">
        <v>0</v>
      </c>
      <c r="AM46" s="10">
        <v>1</v>
      </c>
      <c r="AN46" s="10">
        <v>20</v>
      </c>
      <c r="AO46" s="10">
        <v>2</v>
      </c>
      <c r="AP46" s="10">
        <v>1</v>
      </c>
    </row>
    <row r="47" spans="1:42" s="4" customFormat="1" ht="15.75" customHeight="1" x14ac:dyDescent="0.35">
      <c r="A47" s="6">
        <v>166</v>
      </c>
      <c r="B47" s="16" t="s">
        <v>45</v>
      </c>
      <c r="C47" s="17" t="s">
        <v>50</v>
      </c>
      <c r="D47" s="16" t="s">
        <v>46</v>
      </c>
      <c r="E47" s="7">
        <v>2</v>
      </c>
      <c r="F47" s="7">
        <v>3</v>
      </c>
      <c r="G47" s="7">
        <v>1</v>
      </c>
      <c r="H47" s="10">
        <v>0</v>
      </c>
      <c r="I47" s="10">
        <v>0</v>
      </c>
      <c r="J47" s="10">
        <v>0</v>
      </c>
      <c r="K47" s="10">
        <v>0</v>
      </c>
      <c r="L47" s="10">
        <v>1</v>
      </c>
      <c r="M47" s="10">
        <v>1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0</v>
      </c>
      <c r="T47" s="10">
        <v>1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0</v>
      </c>
      <c r="AA47" s="10">
        <v>0</v>
      </c>
      <c r="AB47" s="10">
        <v>1</v>
      </c>
      <c r="AC47" s="10">
        <v>1</v>
      </c>
      <c r="AD47" s="10">
        <v>0</v>
      </c>
      <c r="AE47" s="10">
        <v>1</v>
      </c>
      <c r="AF47" s="9">
        <f t="shared" si="0"/>
        <v>0</v>
      </c>
      <c r="AG47" s="9">
        <f t="shared" si="1"/>
        <v>0</v>
      </c>
      <c r="AH47" s="9">
        <f t="shared" si="2"/>
        <v>1</v>
      </c>
      <c r="AI47" s="9">
        <f t="shared" si="3"/>
        <v>0.5</v>
      </c>
      <c r="AJ47" s="10">
        <v>0</v>
      </c>
      <c r="AK47" s="10">
        <v>0</v>
      </c>
      <c r="AL47" s="10">
        <v>0</v>
      </c>
      <c r="AM47" s="10">
        <v>1</v>
      </c>
      <c r="AN47" s="10">
        <v>18</v>
      </c>
      <c r="AO47" s="10">
        <v>2</v>
      </c>
      <c r="AP47" s="10">
        <v>1</v>
      </c>
    </row>
    <row r="48" spans="1:42" s="4" customFormat="1" ht="15.75" customHeight="1" x14ac:dyDescent="0.35">
      <c r="A48" s="6">
        <v>167</v>
      </c>
      <c r="B48" s="16" t="s">
        <v>45</v>
      </c>
      <c r="C48" s="17" t="s">
        <v>50</v>
      </c>
      <c r="D48" s="16" t="s">
        <v>46</v>
      </c>
      <c r="E48" s="7">
        <v>1</v>
      </c>
      <c r="F48" s="7">
        <v>3</v>
      </c>
      <c r="G48" s="7">
        <v>1</v>
      </c>
      <c r="H48" s="10">
        <v>1</v>
      </c>
      <c r="I48" s="10">
        <v>1</v>
      </c>
      <c r="J48" s="10">
        <v>0</v>
      </c>
      <c r="K48" s="10">
        <v>0</v>
      </c>
      <c r="L48" s="10">
        <v>0</v>
      </c>
      <c r="M48" s="10">
        <v>0</v>
      </c>
      <c r="N48" s="10">
        <v>1</v>
      </c>
      <c r="O48" s="10">
        <v>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</v>
      </c>
      <c r="W48" s="10">
        <v>1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1</v>
      </c>
      <c r="AE48" s="10">
        <v>1</v>
      </c>
      <c r="AF48" s="9">
        <f t="shared" si="0"/>
        <v>0</v>
      </c>
      <c r="AG48" s="9">
        <f t="shared" si="1"/>
        <v>0</v>
      </c>
      <c r="AH48" s="9">
        <f t="shared" si="2"/>
        <v>0</v>
      </c>
      <c r="AI48" s="9">
        <f t="shared" si="3"/>
        <v>1</v>
      </c>
      <c r="AJ48" s="10">
        <v>0</v>
      </c>
      <c r="AK48" s="10">
        <v>0</v>
      </c>
      <c r="AL48" s="10">
        <v>0</v>
      </c>
      <c r="AM48" s="10">
        <v>2</v>
      </c>
      <c r="AN48" s="10">
        <v>21</v>
      </c>
      <c r="AO48" s="10">
        <v>1</v>
      </c>
      <c r="AP48" s="10">
        <v>1</v>
      </c>
    </row>
    <row r="49" spans="1:42" s="4" customFormat="1" ht="15.75" customHeight="1" x14ac:dyDescent="0.35">
      <c r="A49" s="6">
        <v>168</v>
      </c>
      <c r="B49" s="16" t="s">
        <v>45</v>
      </c>
      <c r="C49" s="17" t="s">
        <v>50</v>
      </c>
      <c r="D49" s="16" t="s">
        <v>46</v>
      </c>
      <c r="E49" s="7">
        <v>1</v>
      </c>
      <c r="F49" s="7">
        <v>1</v>
      </c>
      <c r="G49" s="7">
        <v>2</v>
      </c>
      <c r="H49" s="10">
        <v>0</v>
      </c>
      <c r="I49" s="10">
        <v>0</v>
      </c>
      <c r="J49" s="10">
        <v>1</v>
      </c>
      <c r="K49" s="10">
        <v>0</v>
      </c>
      <c r="L49" s="10">
        <v>0</v>
      </c>
      <c r="M49" s="10">
        <v>1</v>
      </c>
      <c r="N49" s="10">
        <v>0</v>
      </c>
      <c r="O49" s="10">
        <v>1</v>
      </c>
      <c r="P49" s="10">
        <v>0</v>
      </c>
      <c r="Q49" s="10">
        <v>0</v>
      </c>
      <c r="R49" s="10">
        <v>1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1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9">
        <f t="shared" si="0"/>
        <v>0</v>
      </c>
      <c r="AG49" s="9">
        <f t="shared" si="1"/>
        <v>0.5</v>
      </c>
      <c r="AH49" s="9">
        <f t="shared" si="2"/>
        <v>0</v>
      </c>
      <c r="AI49" s="9">
        <f t="shared" si="3"/>
        <v>0</v>
      </c>
      <c r="AJ49" s="10">
        <v>0</v>
      </c>
      <c r="AK49" s="10">
        <v>0</v>
      </c>
      <c r="AL49" s="10">
        <v>0</v>
      </c>
      <c r="AM49" s="10">
        <v>2</v>
      </c>
      <c r="AN49" s="10">
        <v>20</v>
      </c>
      <c r="AO49" s="10">
        <v>1</v>
      </c>
      <c r="AP49" s="10">
        <v>1</v>
      </c>
    </row>
    <row r="50" spans="1:42" s="4" customFormat="1" ht="15.75" customHeight="1" x14ac:dyDescent="0.35">
      <c r="A50" s="6">
        <v>169</v>
      </c>
      <c r="B50" s="16" t="s">
        <v>45</v>
      </c>
      <c r="C50" s="17" t="s">
        <v>50</v>
      </c>
      <c r="D50" s="16" t="s">
        <v>46</v>
      </c>
      <c r="E50" s="7">
        <v>1</v>
      </c>
      <c r="F50" s="7">
        <v>1</v>
      </c>
      <c r="G50" s="7">
        <v>2</v>
      </c>
      <c r="H50" s="10">
        <v>0</v>
      </c>
      <c r="I50" s="10">
        <v>1</v>
      </c>
      <c r="J50" s="10">
        <v>0</v>
      </c>
      <c r="K50" s="10">
        <v>1</v>
      </c>
      <c r="L50" s="10">
        <v>1</v>
      </c>
      <c r="M50" s="10">
        <v>1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1</v>
      </c>
      <c r="T50" s="10">
        <v>1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1</v>
      </c>
      <c r="AB50" s="10">
        <v>1</v>
      </c>
      <c r="AC50" s="10">
        <v>0</v>
      </c>
      <c r="AD50" s="10">
        <v>0</v>
      </c>
      <c r="AE50" s="10">
        <v>0</v>
      </c>
      <c r="AF50" s="9">
        <f t="shared" si="0"/>
        <v>0</v>
      </c>
      <c r="AG50" s="9">
        <f t="shared" si="1"/>
        <v>0.5</v>
      </c>
      <c r="AH50" s="9">
        <f t="shared" si="2"/>
        <v>0.5</v>
      </c>
      <c r="AI50" s="9">
        <f t="shared" si="3"/>
        <v>0</v>
      </c>
      <c r="AJ50" s="10">
        <v>0</v>
      </c>
      <c r="AK50" s="10">
        <v>0</v>
      </c>
      <c r="AL50" s="10">
        <v>0</v>
      </c>
      <c r="AM50" s="10">
        <v>2</v>
      </c>
      <c r="AN50" s="10">
        <v>22</v>
      </c>
      <c r="AO50" s="10">
        <v>1</v>
      </c>
      <c r="AP50" s="10">
        <v>1</v>
      </c>
    </row>
    <row r="51" spans="1:42" s="4" customFormat="1" ht="15.75" customHeight="1" x14ac:dyDescent="0.35">
      <c r="A51" s="6">
        <v>170</v>
      </c>
      <c r="B51" s="16" t="s">
        <v>45</v>
      </c>
      <c r="C51" s="17" t="s">
        <v>50</v>
      </c>
      <c r="D51" s="16" t="s">
        <v>46</v>
      </c>
      <c r="E51" s="7">
        <v>2</v>
      </c>
      <c r="F51" s="7">
        <v>2</v>
      </c>
      <c r="G51" s="7">
        <v>2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1</v>
      </c>
      <c r="N51" s="10">
        <v>0</v>
      </c>
      <c r="O51" s="10">
        <v>0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1</v>
      </c>
      <c r="V51" s="10">
        <v>0</v>
      </c>
      <c r="W51" s="10">
        <v>0</v>
      </c>
      <c r="X51" s="10">
        <v>1</v>
      </c>
      <c r="Y51" s="10">
        <v>0</v>
      </c>
      <c r="Z51" s="10">
        <v>0</v>
      </c>
      <c r="AA51" s="10">
        <v>0</v>
      </c>
      <c r="AB51" s="10">
        <v>0</v>
      </c>
      <c r="AC51" s="10">
        <v>1</v>
      </c>
      <c r="AD51" s="10">
        <v>0</v>
      </c>
      <c r="AE51" s="10">
        <v>0</v>
      </c>
      <c r="AF51" s="9">
        <f t="shared" si="0"/>
        <v>0.5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10">
        <v>0</v>
      </c>
      <c r="AK51" s="10">
        <v>0</v>
      </c>
      <c r="AL51" s="10">
        <v>0</v>
      </c>
      <c r="AM51" s="10">
        <v>1</v>
      </c>
      <c r="AN51" s="10">
        <v>21</v>
      </c>
      <c r="AO51" s="10">
        <v>1</v>
      </c>
      <c r="AP51" s="10">
        <v>1</v>
      </c>
    </row>
    <row r="52" spans="1:42" s="4" customFormat="1" ht="15.75" customHeight="1" x14ac:dyDescent="0.35">
      <c r="A52" s="6">
        <v>171</v>
      </c>
      <c r="B52" s="16" t="s">
        <v>45</v>
      </c>
      <c r="C52" s="17" t="s">
        <v>50</v>
      </c>
      <c r="D52" s="16" t="s">
        <v>46</v>
      </c>
      <c r="E52" s="7">
        <v>1</v>
      </c>
      <c r="F52" s="7">
        <v>2</v>
      </c>
      <c r="G52" s="7">
        <v>1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1</v>
      </c>
      <c r="AD52" s="10">
        <v>0</v>
      </c>
      <c r="AE52" s="10">
        <v>0</v>
      </c>
      <c r="AF52" s="9">
        <f t="shared" si="0"/>
        <v>0</v>
      </c>
      <c r="AG52" s="9">
        <f t="shared" si="1"/>
        <v>0</v>
      </c>
      <c r="AH52" s="9">
        <f t="shared" si="2"/>
        <v>0.5</v>
      </c>
      <c r="AI52" s="9">
        <f t="shared" si="3"/>
        <v>0</v>
      </c>
      <c r="AJ52" s="10">
        <v>0</v>
      </c>
      <c r="AK52" s="10">
        <v>0</v>
      </c>
      <c r="AL52" s="10">
        <v>0</v>
      </c>
      <c r="AM52" s="10">
        <v>2</v>
      </c>
      <c r="AN52" s="10">
        <v>19</v>
      </c>
      <c r="AO52" s="10">
        <v>1</v>
      </c>
      <c r="AP52" s="10">
        <v>1</v>
      </c>
    </row>
    <row r="53" spans="1:42" s="4" customFormat="1" ht="15.75" customHeight="1" x14ac:dyDescent="0.35">
      <c r="A53" s="6">
        <v>172</v>
      </c>
      <c r="B53" s="16" t="s">
        <v>45</v>
      </c>
      <c r="C53" s="17" t="s">
        <v>50</v>
      </c>
      <c r="D53" s="16" t="s">
        <v>46</v>
      </c>
      <c r="E53" s="7">
        <v>1</v>
      </c>
      <c r="F53" s="7">
        <v>4</v>
      </c>
      <c r="G53" s="7">
        <v>2</v>
      </c>
      <c r="H53" s="10">
        <v>0</v>
      </c>
      <c r="I53" s="10">
        <v>0</v>
      </c>
      <c r="J53" s="10">
        <v>0</v>
      </c>
      <c r="K53" s="10">
        <v>1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1</v>
      </c>
      <c r="AB53" s="10">
        <v>0</v>
      </c>
      <c r="AC53" s="10">
        <v>1</v>
      </c>
      <c r="AD53" s="10">
        <v>0</v>
      </c>
      <c r="AE53" s="10">
        <v>0</v>
      </c>
      <c r="AF53" s="9">
        <f t="shared" si="0"/>
        <v>0</v>
      </c>
      <c r="AG53" s="9">
        <f t="shared" si="1"/>
        <v>0.5</v>
      </c>
      <c r="AH53" s="9">
        <f t="shared" si="2"/>
        <v>0.5</v>
      </c>
      <c r="AI53" s="9">
        <f t="shared" si="3"/>
        <v>0</v>
      </c>
      <c r="AJ53" s="10">
        <v>0</v>
      </c>
      <c r="AK53" s="10">
        <v>0</v>
      </c>
      <c r="AL53" s="10">
        <v>0</v>
      </c>
      <c r="AM53" s="10">
        <v>1</v>
      </c>
      <c r="AN53" s="10">
        <v>21</v>
      </c>
      <c r="AO53" s="10">
        <v>1</v>
      </c>
      <c r="AP53" s="10">
        <v>1</v>
      </c>
    </row>
    <row r="54" spans="1:42" s="4" customFormat="1" ht="15.75" customHeight="1" x14ac:dyDescent="0.35">
      <c r="A54" s="6">
        <v>173</v>
      </c>
      <c r="B54" s="16" t="s">
        <v>45</v>
      </c>
      <c r="C54" s="17" t="s">
        <v>50</v>
      </c>
      <c r="D54" s="16" t="s">
        <v>46</v>
      </c>
      <c r="E54" s="7">
        <v>1</v>
      </c>
      <c r="F54" s="7">
        <v>4</v>
      </c>
      <c r="G54" s="7">
        <v>2</v>
      </c>
      <c r="H54" s="10">
        <v>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1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1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9">
        <f t="shared" si="0"/>
        <v>0.5</v>
      </c>
      <c r="AG54" s="9">
        <f t="shared" si="1"/>
        <v>0</v>
      </c>
      <c r="AH54" s="9">
        <f t="shared" si="2"/>
        <v>0</v>
      </c>
      <c r="AI54" s="9">
        <f t="shared" si="3"/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18</v>
      </c>
      <c r="AO54" s="10">
        <v>1</v>
      </c>
      <c r="AP54" s="10">
        <v>1</v>
      </c>
    </row>
    <row r="55" spans="1:42" s="4" customFormat="1" ht="15.75" customHeight="1" x14ac:dyDescent="0.35">
      <c r="A55" s="6">
        <v>174</v>
      </c>
      <c r="B55" s="16" t="s">
        <v>45</v>
      </c>
      <c r="C55" s="17" t="s">
        <v>50</v>
      </c>
      <c r="D55" s="16" t="s">
        <v>46</v>
      </c>
      <c r="E55" s="7">
        <v>2</v>
      </c>
      <c r="F55" s="7">
        <v>2</v>
      </c>
      <c r="G55" s="7">
        <v>2</v>
      </c>
      <c r="H55" s="10">
        <v>1</v>
      </c>
      <c r="I55" s="10">
        <v>0</v>
      </c>
      <c r="J55" s="10">
        <v>0</v>
      </c>
      <c r="K55" s="10">
        <v>1</v>
      </c>
      <c r="L55" s="10">
        <v>0</v>
      </c>
      <c r="M55" s="10">
        <v>1</v>
      </c>
      <c r="N55" s="10">
        <v>1</v>
      </c>
      <c r="O55" s="10">
        <v>0</v>
      </c>
      <c r="P55" s="10">
        <v>1</v>
      </c>
      <c r="Q55" s="10">
        <v>0</v>
      </c>
      <c r="R55" s="10">
        <v>0</v>
      </c>
      <c r="S55" s="10">
        <v>1</v>
      </c>
      <c r="T55" s="10">
        <v>1</v>
      </c>
      <c r="U55" s="10">
        <v>1</v>
      </c>
      <c r="V55" s="10">
        <v>1</v>
      </c>
      <c r="W55" s="10">
        <v>1</v>
      </c>
      <c r="X55" s="10">
        <v>1</v>
      </c>
      <c r="Y55" s="10">
        <v>0</v>
      </c>
      <c r="Z55" s="10">
        <v>0</v>
      </c>
      <c r="AA55" s="10">
        <v>1</v>
      </c>
      <c r="AB55" s="10">
        <v>0</v>
      </c>
      <c r="AC55" s="10">
        <v>1</v>
      </c>
      <c r="AD55" s="10">
        <v>1</v>
      </c>
      <c r="AE55" s="10">
        <v>0</v>
      </c>
      <c r="AF55" s="9">
        <f t="shared" si="0"/>
        <v>0.5</v>
      </c>
      <c r="AG55" s="9">
        <f t="shared" si="1"/>
        <v>0.5</v>
      </c>
      <c r="AH55" s="9">
        <f t="shared" si="2"/>
        <v>0.5</v>
      </c>
      <c r="AI55" s="9">
        <f t="shared" si="3"/>
        <v>0.5</v>
      </c>
      <c r="AJ55" s="10">
        <v>0</v>
      </c>
      <c r="AK55" s="10">
        <v>0</v>
      </c>
      <c r="AL55" s="10">
        <v>0</v>
      </c>
      <c r="AM55" s="10">
        <v>1</v>
      </c>
      <c r="AN55" s="10">
        <v>19</v>
      </c>
      <c r="AO55" s="10">
        <v>1</v>
      </c>
      <c r="AP55" s="10">
        <v>1</v>
      </c>
    </row>
    <row r="56" spans="1:42" s="4" customFormat="1" ht="15.75" customHeight="1" x14ac:dyDescent="0.35">
      <c r="A56" s="6">
        <v>175</v>
      </c>
      <c r="B56" s="16" t="s">
        <v>45</v>
      </c>
      <c r="C56" s="17" t="s">
        <v>50</v>
      </c>
      <c r="D56" s="16" t="s">
        <v>46</v>
      </c>
      <c r="E56" s="7">
        <v>1</v>
      </c>
      <c r="F56" s="7">
        <v>3</v>
      </c>
      <c r="G56" s="7">
        <v>2</v>
      </c>
      <c r="H56" s="10">
        <v>0</v>
      </c>
      <c r="I56" s="10">
        <v>0</v>
      </c>
      <c r="J56" s="10">
        <v>1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1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1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9">
        <f t="shared" si="0"/>
        <v>0</v>
      </c>
      <c r="AG56" s="9">
        <f t="shared" si="1"/>
        <v>0.5</v>
      </c>
      <c r="AH56" s="9">
        <f t="shared" si="2"/>
        <v>0</v>
      </c>
      <c r="AI56" s="9">
        <f t="shared" si="3"/>
        <v>0</v>
      </c>
      <c r="AJ56" s="10">
        <v>0</v>
      </c>
      <c r="AK56" s="10">
        <v>0</v>
      </c>
      <c r="AL56" s="10">
        <v>0</v>
      </c>
      <c r="AM56" s="10">
        <v>2</v>
      </c>
      <c r="AN56" s="10">
        <v>21</v>
      </c>
      <c r="AO56" s="10">
        <v>1</v>
      </c>
      <c r="AP56" s="10">
        <v>1</v>
      </c>
    </row>
    <row r="57" spans="1:42" s="4" customFormat="1" ht="15.75" customHeight="1" x14ac:dyDescent="0.35">
      <c r="A57" s="6">
        <v>176</v>
      </c>
      <c r="B57" s="16" t="s">
        <v>45</v>
      </c>
      <c r="C57" s="17" t="s">
        <v>50</v>
      </c>
      <c r="D57" s="16" t="s">
        <v>46</v>
      </c>
      <c r="E57" s="7">
        <v>1</v>
      </c>
      <c r="F57" s="7">
        <v>3</v>
      </c>
      <c r="G57" s="7">
        <v>2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1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1</v>
      </c>
      <c r="AD57" s="10">
        <v>0</v>
      </c>
      <c r="AE57" s="10">
        <v>0</v>
      </c>
      <c r="AF57" s="9">
        <f t="shared" si="0"/>
        <v>0</v>
      </c>
      <c r="AG57" s="9">
        <f t="shared" si="1"/>
        <v>0</v>
      </c>
      <c r="AH57" s="9">
        <f t="shared" si="2"/>
        <v>0.5</v>
      </c>
      <c r="AI57" s="9">
        <f t="shared" si="3"/>
        <v>0</v>
      </c>
      <c r="AJ57" s="10">
        <v>0</v>
      </c>
      <c r="AK57" s="10">
        <v>0</v>
      </c>
      <c r="AL57" s="10">
        <v>0</v>
      </c>
      <c r="AM57" s="10">
        <v>2</v>
      </c>
      <c r="AN57" s="10">
        <v>18</v>
      </c>
      <c r="AO57" s="10">
        <v>1</v>
      </c>
      <c r="AP57" s="10">
        <v>1</v>
      </c>
    </row>
    <row r="58" spans="1:42" s="4" customFormat="1" ht="15.75" customHeight="1" x14ac:dyDescent="0.35">
      <c r="A58" s="6">
        <v>177</v>
      </c>
      <c r="B58" s="16" t="s">
        <v>45</v>
      </c>
      <c r="C58" s="17" t="s">
        <v>50</v>
      </c>
      <c r="D58" s="16" t="s">
        <v>46</v>
      </c>
      <c r="E58" s="7">
        <v>2</v>
      </c>
      <c r="F58" s="7">
        <v>2</v>
      </c>
      <c r="G58" s="7">
        <v>1</v>
      </c>
      <c r="H58" s="10">
        <v>0</v>
      </c>
      <c r="I58" s="10">
        <v>0</v>
      </c>
      <c r="J58" s="10">
        <v>1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1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1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9">
        <f t="shared" si="0"/>
        <v>0</v>
      </c>
      <c r="AG58" s="9">
        <f t="shared" si="1"/>
        <v>0.5</v>
      </c>
      <c r="AH58" s="9">
        <f t="shared" si="2"/>
        <v>0</v>
      </c>
      <c r="AI58" s="9">
        <f t="shared" si="3"/>
        <v>0</v>
      </c>
      <c r="AJ58" s="10">
        <v>0</v>
      </c>
      <c r="AK58" s="10">
        <v>0</v>
      </c>
      <c r="AL58" s="10">
        <v>0</v>
      </c>
      <c r="AM58" s="10">
        <v>1</v>
      </c>
      <c r="AN58" s="10">
        <v>21</v>
      </c>
      <c r="AO58" s="10">
        <v>1</v>
      </c>
      <c r="AP58" s="10">
        <v>1</v>
      </c>
    </row>
    <row r="59" spans="1:42" s="4" customFormat="1" ht="15.75" customHeight="1" x14ac:dyDescent="0.35">
      <c r="A59" s="6">
        <v>178</v>
      </c>
      <c r="B59" s="16" t="s">
        <v>45</v>
      </c>
      <c r="C59" s="17" t="s">
        <v>50</v>
      </c>
      <c r="D59" s="16" t="s">
        <v>46</v>
      </c>
      <c r="E59" s="7">
        <v>2</v>
      </c>
      <c r="F59" s="7">
        <v>2</v>
      </c>
      <c r="G59" s="7">
        <v>1</v>
      </c>
      <c r="H59" s="10">
        <v>1</v>
      </c>
      <c r="I59" s="10">
        <v>0</v>
      </c>
      <c r="J59" s="10">
        <v>1</v>
      </c>
      <c r="K59" s="10">
        <v>0</v>
      </c>
      <c r="L59" s="10">
        <v>0</v>
      </c>
      <c r="M59" s="10">
        <v>1</v>
      </c>
      <c r="N59" s="10">
        <v>0</v>
      </c>
      <c r="O59" s="10">
        <v>0</v>
      </c>
      <c r="P59" s="10">
        <v>1</v>
      </c>
      <c r="Q59" s="10">
        <v>0</v>
      </c>
      <c r="R59" s="10">
        <v>1</v>
      </c>
      <c r="S59" s="10">
        <v>0</v>
      </c>
      <c r="T59" s="10">
        <v>0</v>
      </c>
      <c r="U59" s="10">
        <v>1</v>
      </c>
      <c r="V59" s="10">
        <v>0</v>
      </c>
      <c r="W59" s="10">
        <v>0</v>
      </c>
      <c r="X59" s="10">
        <v>1</v>
      </c>
      <c r="Y59" s="10">
        <v>0</v>
      </c>
      <c r="Z59" s="10">
        <v>1</v>
      </c>
      <c r="AA59" s="10">
        <v>0</v>
      </c>
      <c r="AB59" s="10">
        <v>0</v>
      </c>
      <c r="AC59" s="10">
        <v>1</v>
      </c>
      <c r="AD59" s="10">
        <v>0</v>
      </c>
      <c r="AE59" s="10">
        <v>0</v>
      </c>
      <c r="AF59" s="9">
        <f t="shared" si="0"/>
        <v>0.5</v>
      </c>
      <c r="AG59" s="9">
        <f t="shared" si="1"/>
        <v>0.5</v>
      </c>
      <c r="AH59" s="9">
        <f t="shared" si="2"/>
        <v>0.5</v>
      </c>
      <c r="AI59" s="9">
        <f t="shared" si="3"/>
        <v>0</v>
      </c>
      <c r="AJ59" s="10">
        <v>0</v>
      </c>
      <c r="AK59" s="10">
        <v>0</v>
      </c>
      <c r="AL59" s="10">
        <v>0</v>
      </c>
      <c r="AM59" s="10">
        <v>1</v>
      </c>
      <c r="AN59" s="10">
        <v>22</v>
      </c>
      <c r="AO59" s="10">
        <v>1</v>
      </c>
      <c r="AP59" s="10">
        <v>1</v>
      </c>
    </row>
    <row r="60" spans="1:42" s="4" customFormat="1" ht="15.75" customHeight="1" x14ac:dyDescent="0.35">
      <c r="A60" s="6">
        <v>179</v>
      </c>
      <c r="B60" s="16" t="s">
        <v>45</v>
      </c>
      <c r="C60" s="17" t="s">
        <v>50</v>
      </c>
      <c r="D60" s="16" t="s">
        <v>46</v>
      </c>
      <c r="E60" s="7">
        <v>2</v>
      </c>
      <c r="F60" s="7">
        <v>2</v>
      </c>
      <c r="G60" s="7">
        <v>2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1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9">
        <f t="shared" si="0"/>
        <v>0.5</v>
      </c>
      <c r="AG60" s="9">
        <f t="shared" si="1"/>
        <v>0</v>
      </c>
      <c r="AH60" s="9">
        <f t="shared" si="2"/>
        <v>0</v>
      </c>
      <c r="AI60" s="9">
        <f t="shared" si="3"/>
        <v>0</v>
      </c>
      <c r="AJ60" s="10">
        <v>0</v>
      </c>
      <c r="AK60" s="10">
        <v>0</v>
      </c>
      <c r="AL60" s="10">
        <v>0</v>
      </c>
      <c r="AM60" s="10">
        <v>1</v>
      </c>
      <c r="AN60" s="10">
        <v>18</v>
      </c>
      <c r="AO60" s="10">
        <v>1</v>
      </c>
      <c r="AP60" s="10">
        <v>1</v>
      </c>
    </row>
    <row r="61" spans="1:42" s="4" customFormat="1" ht="15.75" customHeight="1" x14ac:dyDescent="0.35">
      <c r="A61" s="6">
        <v>180</v>
      </c>
      <c r="B61" s="16" t="s">
        <v>45</v>
      </c>
      <c r="C61" s="17" t="s">
        <v>50</v>
      </c>
      <c r="D61" s="16" t="s">
        <v>46</v>
      </c>
      <c r="E61" s="7">
        <v>2</v>
      </c>
      <c r="F61" s="7">
        <v>2</v>
      </c>
      <c r="G61" s="7">
        <v>2</v>
      </c>
      <c r="H61" s="10">
        <v>1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</v>
      </c>
      <c r="Q61" s="10">
        <v>0</v>
      </c>
      <c r="R61" s="10">
        <v>1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1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9">
        <f t="shared" si="0"/>
        <v>0.5</v>
      </c>
      <c r="AG61" s="9">
        <f t="shared" si="1"/>
        <v>0.5</v>
      </c>
      <c r="AH61" s="9">
        <f t="shared" si="2"/>
        <v>0</v>
      </c>
      <c r="AI61" s="9">
        <f t="shared" si="3"/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25</v>
      </c>
      <c r="AO61" s="10">
        <v>1</v>
      </c>
      <c r="AP61" s="10">
        <v>1</v>
      </c>
    </row>
    <row r="62" spans="1:42" s="4" customFormat="1" ht="15.75" customHeight="1" x14ac:dyDescent="0.35">
      <c r="A62" s="6">
        <v>181</v>
      </c>
      <c r="B62" s="16" t="s">
        <v>45</v>
      </c>
      <c r="C62" s="17" t="s">
        <v>50</v>
      </c>
      <c r="D62" s="16" t="s">
        <v>46</v>
      </c>
      <c r="E62" s="7">
        <v>2</v>
      </c>
      <c r="F62" s="7">
        <v>2</v>
      </c>
      <c r="G62" s="7">
        <v>1</v>
      </c>
      <c r="H62" s="10">
        <v>0</v>
      </c>
      <c r="I62" s="10">
        <v>1</v>
      </c>
      <c r="J62" s="10">
        <v>0</v>
      </c>
      <c r="K62" s="10">
        <v>1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1</v>
      </c>
      <c r="R62" s="10">
        <v>0</v>
      </c>
      <c r="S62" s="10">
        <v>1</v>
      </c>
      <c r="T62" s="10">
        <v>0</v>
      </c>
      <c r="U62" s="10">
        <v>0</v>
      </c>
      <c r="V62" s="10">
        <v>0</v>
      </c>
      <c r="W62" s="10">
        <v>1</v>
      </c>
      <c r="X62" s="10">
        <v>0</v>
      </c>
      <c r="Y62" s="10">
        <v>1</v>
      </c>
      <c r="Z62" s="10">
        <v>0</v>
      </c>
      <c r="AA62" s="10">
        <v>1</v>
      </c>
      <c r="AB62" s="10">
        <v>0</v>
      </c>
      <c r="AC62" s="10">
        <v>0</v>
      </c>
      <c r="AD62" s="10">
        <v>0</v>
      </c>
      <c r="AE62" s="10">
        <v>1</v>
      </c>
      <c r="AF62" s="9">
        <f t="shared" si="0"/>
        <v>0.5</v>
      </c>
      <c r="AG62" s="9">
        <f t="shared" si="1"/>
        <v>0.5</v>
      </c>
      <c r="AH62" s="9">
        <f t="shared" si="2"/>
        <v>0</v>
      </c>
      <c r="AI62" s="9">
        <f t="shared" si="3"/>
        <v>0.5</v>
      </c>
      <c r="AJ62" s="10">
        <v>0</v>
      </c>
      <c r="AK62" s="10">
        <v>0</v>
      </c>
      <c r="AL62" s="10">
        <v>0</v>
      </c>
      <c r="AM62" s="10">
        <v>1</v>
      </c>
      <c r="AN62" s="10">
        <v>24</v>
      </c>
      <c r="AO62" s="10">
        <v>1</v>
      </c>
      <c r="AP62" s="10">
        <v>1</v>
      </c>
    </row>
    <row r="63" spans="1:42" s="4" customFormat="1" ht="15.75" customHeight="1" x14ac:dyDescent="0.35">
      <c r="A63" s="6">
        <v>182</v>
      </c>
      <c r="B63" s="16" t="s">
        <v>45</v>
      </c>
      <c r="C63" s="17" t="s">
        <v>50</v>
      </c>
      <c r="D63" s="16" t="s">
        <v>46</v>
      </c>
      <c r="E63" s="7">
        <v>1</v>
      </c>
      <c r="F63" s="7">
        <v>1</v>
      </c>
      <c r="G63" s="7">
        <v>2</v>
      </c>
      <c r="H63" s="10">
        <v>1</v>
      </c>
      <c r="I63" s="10">
        <v>0</v>
      </c>
      <c r="J63" s="10">
        <v>1</v>
      </c>
      <c r="K63" s="10">
        <v>0</v>
      </c>
      <c r="L63" s="10">
        <v>0</v>
      </c>
      <c r="M63" s="10">
        <v>0</v>
      </c>
      <c r="N63" s="10">
        <v>1</v>
      </c>
      <c r="O63" s="10">
        <v>0</v>
      </c>
      <c r="P63" s="10">
        <v>1</v>
      </c>
      <c r="Q63" s="10">
        <v>0</v>
      </c>
      <c r="R63" s="10">
        <v>1</v>
      </c>
      <c r="S63" s="10">
        <v>0</v>
      </c>
      <c r="T63" s="10">
        <v>0</v>
      </c>
      <c r="U63" s="10">
        <v>0</v>
      </c>
      <c r="V63" s="10">
        <v>1</v>
      </c>
      <c r="W63" s="10">
        <v>0</v>
      </c>
      <c r="X63" s="10">
        <v>1</v>
      </c>
      <c r="Y63" s="10">
        <v>0</v>
      </c>
      <c r="Z63" s="10">
        <v>1</v>
      </c>
      <c r="AA63" s="10">
        <v>0</v>
      </c>
      <c r="AB63" s="10">
        <v>0</v>
      </c>
      <c r="AC63" s="10">
        <v>0</v>
      </c>
      <c r="AD63" s="10">
        <v>1</v>
      </c>
      <c r="AE63" s="10">
        <v>0</v>
      </c>
      <c r="AF63" s="9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0.5</v>
      </c>
      <c r="AJ63" s="10">
        <v>0</v>
      </c>
      <c r="AK63" s="10">
        <v>0</v>
      </c>
      <c r="AL63" s="10">
        <v>0</v>
      </c>
      <c r="AM63" s="10">
        <v>2</v>
      </c>
      <c r="AN63" s="10">
        <v>27</v>
      </c>
      <c r="AO63" s="10">
        <v>2</v>
      </c>
      <c r="AP63" s="10">
        <v>1</v>
      </c>
    </row>
    <row r="64" spans="1:42" s="4" customFormat="1" ht="15.75" customHeight="1" x14ac:dyDescent="0.35">
      <c r="A64" s="6">
        <v>183</v>
      </c>
      <c r="B64" s="16" t="s">
        <v>45</v>
      </c>
      <c r="C64" s="17" t="s">
        <v>50</v>
      </c>
      <c r="D64" s="16" t="s">
        <v>46</v>
      </c>
      <c r="E64" s="7">
        <v>1</v>
      </c>
      <c r="F64" s="7">
        <v>2</v>
      </c>
      <c r="G64" s="7">
        <v>1</v>
      </c>
      <c r="H64" s="10">
        <v>0</v>
      </c>
      <c r="I64" s="10">
        <v>1</v>
      </c>
      <c r="J64" s="10">
        <v>1</v>
      </c>
      <c r="K64" s="10">
        <v>1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</v>
      </c>
      <c r="R64" s="10">
        <v>1</v>
      </c>
      <c r="S64" s="10">
        <v>1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1</v>
      </c>
      <c r="Z64" s="10">
        <v>1</v>
      </c>
      <c r="AA64" s="10">
        <v>1</v>
      </c>
      <c r="AB64" s="10">
        <v>0</v>
      </c>
      <c r="AC64" s="10">
        <v>0</v>
      </c>
      <c r="AD64" s="10">
        <v>0</v>
      </c>
      <c r="AE64" s="10">
        <v>0</v>
      </c>
      <c r="AF64" s="9">
        <f t="shared" si="0"/>
        <v>0.5</v>
      </c>
      <c r="AG64" s="9">
        <f t="shared" si="1"/>
        <v>1</v>
      </c>
      <c r="AH64" s="9">
        <f t="shared" si="2"/>
        <v>0</v>
      </c>
      <c r="AI64" s="9">
        <f t="shared" si="3"/>
        <v>0</v>
      </c>
      <c r="AJ64" s="10">
        <v>0</v>
      </c>
      <c r="AK64" s="10">
        <v>0</v>
      </c>
      <c r="AL64" s="10">
        <v>0</v>
      </c>
      <c r="AM64" s="10">
        <v>2</v>
      </c>
      <c r="AN64" s="10">
        <v>21</v>
      </c>
      <c r="AO64" s="10">
        <v>1</v>
      </c>
      <c r="AP64" s="10">
        <v>1</v>
      </c>
    </row>
    <row r="65" spans="1:42" s="4" customFormat="1" ht="15.75" customHeight="1" x14ac:dyDescent="0.35">
      <c r="A65" s="6">
        <v>184</v>
      </c>
      <c r="B65" s="16" t="s">
        <v>45</v>
      </c>
      <c r="C65" s="17" t="s">
        <v>50</v>
      </c>
      <c r="D65" s="16" t="s">
        <v>46</v>
      </c>
      <c r="E65" s="7">
        <v>2</v>
      </c>
      <c r="F65" s="7">
        <v>3</v>
      </c>
      <c r="G65" s="7">
        <v>1</v>
      </c>
      <c r="H65" s="10">
        <v>0</v>
      </c>
      <c r="I65" s="10">
        <v>0</v>
      </c>
      <c r="J65" s="10">
        <v>0</v>
      </c>
      <c r="K65" s="10">
        <v>1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9">
        <f t="shared" si="0"/>
        <v>0</v>
      </c>
      <c r="AG65" s="9">
        <f t="shared" si="1"/>
        <v>0.5</v>
      </c>
      <c r="AH65" s="9">
        <f t="shared" si="2"/>
        <v>0</v>
      </c>
      <c r="AI65" s="9">
        <f t="shared" si="3"/>
        <v>0</v>
      </c>
      <c r="AJ65" s="10">
        <v>0</v>
      </c>
      <c r="AK65" s="10">
        <v>0</v>
      </c>
      <c r="AL65" s="10">
        <v>0</v>
      </c>
      <c r="AM65" s="10">
        <v>1</v>
      </c>
      <c r="AN65" s="10">
        <v>22</v>
      </c>
      <c r="AO65" s="10">
        <v>2</v>
      </c>
      <c r="AP65" s="10">
        <v>1</v>
      </c>
    </row>
    <row r="66" spans="1:42" s="4" customFormat="1" ht="15.75" customHeight="1" x14ac:dyDescent="0.35">
      <c r="A66" s="6">
        <v>185</v>
      </c>
      <c r="B66" s="16" t="s">
        <v>45</v>
      </c>
      <c r="C66" s="17" t="s">
        <v>50</v>
      </c>
      <c r="D66" s="16" t="s">
        <v>46</v>
      </c>
      <c r="E66" s="7">
        <v>2</v>
      </c>
      <c r="F66" s="7">
        <v>3</v>
      </c>
      <c r="G66" s="7">
        <v>1</v>
      </c>
      <c r="H66" s="10">
        <v>0</v>
      </c>
      <c r="I66" s="10">
        <v>0</v>
      </c>
      <c r="J66" s="10">
        <v>0</v>
      </c>
      <c r="K66" s="10">
        <v>1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1</v>
      </c>
      <c r="AB66" s="10">
        <v>0</v>
      </c>
      <c r="AC66" s="10">
        <v>0</v>
      </c>
      <c r="AD66" s="10">
        <v>0</v>
      </c>
      <c r="AE66" s="10">
        <v>0</v>
      </c>
      <c r="AF66" s="9">
        <f t="shared" si="0"/>
        <v>0</v>
      </c>
      <c r="AG66" s="9">
        <f t="shared" si="1"/>
        <v>0.5</v>
      </c>
      <c r="AH66" s="9">
        <f t="shared" si="2"/>
        <v>0</v>
      </c>
      <c r="AI66" s="9">
        <f t="shared" si="3"/>
        <v>0</v>
      </c>
      <c r="AJ66" s="10">
        <v>0</v>
      </c>
      <c r="AK66" s="10">
        <v>0</v>
      </c>
      <c r="AL66" s="10">
        <v>0</v>
      </c>
      <c r="AM66" s="10">
        <v>2</v>
      </c>
      <c r="AN66" s="10">
        <v>21</v>
      </c>
      <c r="AO66" s="10">
        <v>1</v>
      </c>
      <c r="AP66" s="10">
        <v>1</v>
      </c>
    </row>
    <row r="67" spans="1:42" s="4" customFormat="1" ht="15.75" customHeight="1" x14ac:dyDescent="0.35">
      <c r="A67" s="6">
        <v>186</v>
      </c>
      <c r="B67" s="16" t="s">
        <v>45</v>
      </c>
      <c r="C67" s="17" t="s">
        <v>50</v>
      </c>
      <c r="D67" s="16" t="s">
        <v>46</v>
      </c>
      <c r="E67" s="7">
        <v>1</v>
      </c>
      <c r="F67" s="7">
        <v>3</v>
      </c>
      <c r="G67" s="7">
        <v>1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9">
        <f t="shared" si="0"/>
        <v>0</v>
      </c>
      <c r="AG67" s="9">
        <f t="shared" si="1"/>
        <v>0</v>
      </c>
      <c r="AH67" s="9">
        <f t="shared" si="2"/>
        <v>0</v>
      </c>
      <c r="AI67" s="9">
        <f t="shared" si="3"/>
        <v>0</v>
      </c>
      <c r="AJ67" s="10">
        <v>0</v>
      </c>
      <c r="AK67" s="10">
        <v>0</v>
      </c>
      <c r="AL67" s="10">
        <v>0</v>
      </c>
      <c r="AM67" s="10">
        <v>2</v>
      </c>
      <c r="AN67" s="10">
        <v>25</v>
      </c>
      <c r="AO67" s="10">
        <v>1</v>
      </c>
      <c r="AP67" s="10">
        <v>1</v>
      </c>
    </row>
    <row r="68" spans="1:42" s="4" customFormat="1" ht="15.75" customHeight="1" x14ac:dyDescent="0.35">
      <c r="A68" s="6">
        <v>187</v>
      </c>
      <c r="B68" s="16" t="s">
        <v>45</v>
      </c>
      <c r="C68" s="17" t="s">
        <v>50</v>
      </c>
      <c r="D68" s="16" t="s">
        <v>46</v>
      </c>
      <c r="E68" s="7">
        <v>1</v>
      </c>
      <c r="F68" s="7">
        <v>4</v>
      </c>
      <c r="G68" s="7">
        <v>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9">
        <f t="shared" si="0"/>
        <v>0</v>
      </c>
      <c r="AG68" s="9">
        <f t="shared" si="1"/>
        <v>0</v>
      </c>
      <c r="AH68" s="9">
        <f t="shared" si="2"/>
        <v>0</v>
      </c>
      <c r="AI68" s="9">
        <f t="shared" si="3"/>
        <v>0</v>
      </c>
      <c r="AJ68" s="10">
        <v>0</v>
      </c>
      <c r="AK68" s="10">
        <v>0</v>
      </c>
      <c r="AL68" s="10">
        <v>0</v>
      </c>
      <c r="AM68" s="10">
        <v>2</v>
      </c>
      <c r="AN68" s="10">
        <v>22</v>
      </c>
      <c r="AO68" s="10">
        <v>1</v>
      </c>
      <c r="AP68" s="10">
        <v>1</v>
      </c>
    </row>
    <row r="69" spans="1:42" s="4" customFormat="1" ht="15.75" customHeight="1" x14ac:dyDescent="0.35">
      <c r="A69" s="6">
        <v>188</v>
      </c>
      <c r="B69" s="16" t="s">
        <v>45</v>
      </c>
      <c r="C69" s="17" t="s">
        <v>50</v>
      </c>
      <c r="D69" s="16" t="s">
        <v>46</v>
      </c>
      <c r="E69" s="7">
        <v>1</v>
      </c>
      <c r="F69" s="7">
        <v>4</v>
      </c>
      <c r="G69" s="7">
        <v>1</v>
      </c>
      <c r="H69" s="10">
        <v>0</v>
      </c>
      <c r="I69" s="10">
        <v>0</v>
      </c>
      <c r="J69" s="10">
        <v>1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1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1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9">
        <f t="shared" si="0"/>
        <v>0</v>
      </c>
      <c r="AG69" s="9">
        <f t="shared" si="1"/>
        <v>0.5</v>
      </c>
      <c r="AH69" s="9">
        <f t="shared" si="2"/>
        <v>0</v>
      </c>
      <c r="AI69" s="9">
        <f t="shared" si="3"/>
        <v>0</v>
      </c>
      <c r="AJ69" s="10">
        <v>0</v>
      </c>
      <c r="AK69" s="10">
        <v>0</v>
      </c>
      <c r="AL69" s="10">
        <v>0</v>
      </c>
      <c r="AM69" s="10">
        <v>2</v>
      </c>
      <c r="AN69" s="10">
        <v>20</v>
      </c>
      <c r="AO69" s="10">
        <v>1</v>
      </c>
      <c r="AP69" s="10">
        <v>1</v>
      </c>
    </row>
    <row r="70" spans="1:42" s="4" customFormat="1" ht="15.75" customHeight="1" x14ac:dyDescent="0.35">
      <c r="A70" s="6">
        <v>189</v>
      </c>
      <c r="B70" s="16" t="s">
        <v>45</v>
      </c>
      <c r="C70" s="17" t="s">
        <v>50</v>
      </c>
      <c r="D70" s="16" t="s">
        <v>46</v>
      </c>
      <c r="E70" s="7">
        <v>1</v>
      </c>
      <c r="F70" s="7">
        <v>4</v>
      </c>
      <c r="G70" s="7">
        <v>1</v>
      </c>
      <c r="H70" s="10">
        <v>0</v>
      </c>
      <c r="I70" s="10">
        <v>1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1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9">
        <f t="shared" si="0"/>
        <v>0.5</v>
      </c>
      <c r="AG70" s="9">
        <f t="shared" si="1"/>
        <v>0</v>
      </c>
      <c r="AH70" s="9">
        <f t="shared" si="2"/>
        <v>0</v>
      </c>
      <c r="AI70" s="9">
        <f t="shared" si="3"/>
        <v>0</v>
      </c>
      <c r="AJ70" s="10">
        <v>0</v>
      </c>
      <c r="AK70" s="10">
        <v>0</v>
      </c>
      <c r="AL70" s="10">
        <v>0</v>
      </c>
      <c r="AM70" s="10">
        <v>2</v>
      </c>
      <c r="AN70" s="10">
        <v>19</v>
      </c>
      <c r="AO70" s="10">
        <v>2</v>
      </c>
      <c r="AP70" s="10">
        <v>1</v>
      </c>
    </row>
    <row r="71" spans="1:42" s="4" customFormat="1" ht="15.75" customHeight="1" x14ac:dyDescent="0.35">
      <c r="A71" s="6">
        <v>190</v>
      </c>
      <c r="B71" s="16" t="s">
        <v>45</v>
      </c>
      <c r="C71" s="17" t="s">
        <v>50</v>
      </c>
      <c r="D71" s="16" t="s">
        <v>46</v>
      </c>
      <c r="E71" s="7">
        <v>1</v>
      </c>
      <c r="F71" s="7">
        <v>4</v>
      </c>
      <c r="G71" s="7">
        <v>1</v>
      </c>
      <c r="H71" s="10">
        <v>0</v>
      </c>
      <c r="I71" s="10">
        <v>0</v>
      </c>
      <c r="J71" s="10">
        <v>0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1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1</v>
      </c>
      <c r="AB71" s="10">
        <v>0</v>
      </c>
      <c r="AC71" s="10">
        <v>0</v>
      </c>
      <c r="AD71" s="10">
        <v>0</v>
      </c>
      <c r="AE71" s="10">
        <v>0</v>
      </c>
      <c r="AF71" s="9">
        <f t="shared" si="0"/>
        <v>0</v>
      </c>
      <c r="AG71" s="9">
        <f t="shared" si="1"/>
        <v>0.5</v>
      </c>
      <c r="AH71" s="9">
        <f t="shared" si="2"/>
        <v>0</v>
      </c>
      <c r="AI71" s="9">
        <f t="shared" si="3"/>
        <v>0</v>
      </c>
      <c r="AJ71" s="10">
        <v>0</v>
      </c>
      <c r="AK71" s="10">
        <v>0</v>
      </c>
      <c r="AL71" s="10">
        <v>0</v>
      </c>
      <c r="AM71" s="10">
        <v>2</v>
      </c>
      <c r="AN71" s="10">
        <v>20</v>
      </c>
      <c r="AO71" s="10">
        <v>1</v>
      </c>
      <c r="AP71" s="10">
        <v>1</v>
      </c>
    </row>
    <row r="72" spans="1:42" s="4" customFormat="1" ht="15.75" customHeight="1" x14ac:dyDescent="0.35">
      <c r="A72" s="6">
        <v>191</v>
      </c>
      <c r="B72" s="16" t="s">
        <v>45</v>
      </c>
      <c r="C72" s="17" t="s">
        <v>50</v>
      </c>
      <c r="D72" s="16" t="s">
        <v>46</v>
      </c>
      <c r="E72" s="7">
        <v>1</v>
      </c>
      <c r="F72" s="7">
        <v>1</v>
      </c>
      <c r="G72" s="7">
        <v>2</v>
      </c>
      <c r="H72" s="10">
        <v>0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0</v>
      </c>
      <c r="O72" s="10">
        <v>1</v>
      </c>
      <c r="P72" s="10">
        <v>0</v>
      </c>
      <c r="Q72" s="10">
        <v>0</v>
      </c>
      <c r="R72" s="10">
        <v>0</v>
      </c>
      <c r="S72" s="10">
        <v>0</v>
      </c>
      <c r="T72" s="10">
        <v>1</v>
      </c>
      <c r="U72" s="10">
        <v>0</v>
      </c>
      <c r="V72" s="10">
        <v>0</v>
      </c>
      <c r="W72" s="10">
        <v>1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0</v>
      </c>
      <c r="AD72" s="10">
        <v>0</v>
      </c>
      <c r="AE72" s="10">
        <v>1</v>
      </c>
      <c r="AF72" s="9">
        <f t="shared" si="0"/>
        <v>0</v>
      </c>
      <c r="AG72" s="9">
        <f t="shared" si="1"/>
        <v>0</v>
      </c>
      <c r="AH72" s="9">
        <f t="shared" si="2"/>
        <v>0.5</v>
      </c>
      <c r="AI72" s="9">
        <f t="shared" si="3"/>
        <v>0.5</v>
      </c>
      <c r="AJ72" s="10">
        <v>0</v>
      </c>
      <c r="AK72" s="10">
        <v>0</v>
      </c>
      <c r="AL72" s="10">
        <v>0</v>
      </c>
      <c r="AM72" s="10">
        <v>2</v>
      </c>
      <c r="AN72" s="10">
        <v>19</v>
      </c>
      <c r="AO72" s="10">
        <v>1</v>
      </c>
      <c r="AP72" s="10">
        <v>1</v>
      </c>
    </row>
    <row r="73" spans="1:42" s="4" customFormat="1" ht="15.75" customHeight="1" x14ac:dyDescent="0.35">
      <c r="A73" s="6">
        <v>192</v>
      </c>
      <c r="B73" s="16" t="s">
        <v>45</v>
      </c>
      <c r="C73" s="17" t="s">
        <v>50</v>
      </c>
      <c r="D73" s="16" t="s">
        <v>46</v>
      </c>
      <c r="E73" s="7">
        <v>1</v>
      </c>
      <c r="F73" s="7">
        <v>4</v>
      </c>
      <c r="G73" s="7">
        <v>1</v>
      </c>
      <c r="H73" s="10">
        <v>0</v>
      </c>
      <c r="I73" s="10">
        <v>1</v>
      </c>
      <c r="J73" s="10">
        <v>0</v>
      </c>
      <c r="K73" s="10">
        <v>0</v>
      </c>
      <c r="L73" s="10">
        <v>1</v>
      </c>
      <c r="M73" s="10">
        <v>0</v>
      </c>
      <c r="N73" s="10">
        <v>0</v>
      </c>
      <c r="O73" s="10">
        <v>0</v>
      </c>
      <c r="P73" s="10">
        <v>0</v>
      </c>
      <c r="Q73" s="10">
        <v>1</v>
      </c>
      <c r="R73" s="10">
        <v>0</v>
      </c>
      <c r="S73" s="10">
        <v>0</v>
      </c>
      <c r="T73" s="10">
        <v>1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0">
        <v>0</v>
      </c>
      <c r="AA73" s="10">
        <v>0</v>
      </c>
      <c r="AB73" s="10">
        <v>1</v>
      </c>
      <c r="AC73" s="10">
        <v>0</v>
      </c>
      <c r="AD73" s="10">
        <v>0</v>
      </c>
      <c r="AE73" s="10">
        <v>0</v>
      </c>
      <c r="AF73" s="9">
        <f t="shared" si="0"/>
        <v>0.5</v>
      </c>
      <c r="AG73" s="9">
        <f t="shared" si="1"/>
        <v>0</v>
      </c>
      <c r="AH73" s="9">
        <f t="shared" si="2"/>
        <v>0.5</v>
      </c>
      <c r="AI73" s="9">
        <f t="shared" si="3"/>
        <v>0</v>
      </c>
      <c r="AJ73" s="10">
        <v>0</v>
      </c>
      <c r="AK73" s="10">
        <v>0</v>
      </c>
      <c r="AL73" s="10">
        <v>0</v>
      </c>
      <c r="AM73" s="10">
        <v>2</v>
      </c>
      <c r="AN73" s="10">
        <v>22</v>
      </c>
      <c r="AO73" s="10">
        <v>1</v>
      </c>
      <c r="AP73" s="10">
        <v>1</v>
      </c>
    </row>
    <row r="74" spans="1:42" s="4" customFormat="1" ht="15.75" customHeight="1" x14ac:dyDescent="0.35">
      <c r="A74" s="6">
        <v>193</v>
      </c>
      <c r="B74" s="16" t="s">
        <v>45</v>
      </c>
      <c r="C74" s="17" t="s">
        <v>50</v>
      </c>
      <c r="D74" s="16" t="s">
        <v>46</v>
      </c>
      <c r="E74" s="7">
        <v>1</v>
      </c>
      <c r="F74" s="7">
        <v>1</v>
      </c>
      <c r="G74" s="7">
        <v>2</v>
      </c>
      <c r="H74" s="10">
        <v>1</v>
      </c>
      <c r="I74" s="10">
        <v>1</v>
      </c>
      <c r="J74" s="10">
        <v>0</v>
      </c>
      <c r="K74" s="10">
        <v>0</v>
      </c>
      <c r="L74" s="10">
        <v>1</v>
      </c>
      <c r="M74" s="10">
        <v>1</v>
      </c>
      <c r="N74" s="10">
        <v>1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1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9">
        <f t="shared" si="0"/>
        <v>0</v>
      </c>
      <c r="AG74" s="9">
        <f t="shared" si="1"/>
        <v>0</v>
      </c>
      <c r="AH74" s="9">
        <f t="shared" si="2"/>
        <v>0.5</v>
      </c>
      <c r="AI74" s="9">
        <f t="shared" si="3"/>
        <v>0</v>
      </c>
      <c r="AJ74" s="10">
        <v>0</v>
      </c>
      <c r="AK74" s="10">
        <v>0</v>
      </c>
      <c r="AL74" s="10">
        <v>0</v>
      </c>
      <c r="AM74" s="10">
        <v>2</v>
      </c>
      <c r="AN74" s="10">
        <v>21</v>
      </c>
      <c r="AO74" s="10">
        <v>1</v>
      </c>
      <c r="AP74" s="10">
        <v>1</v>
      </c>
    </row>
    <row r="75" spans="1:42" s="4" customFormat="1" ht="15.75" customHeight="1" x14ac:dyDescent="0.35">
      <c r="A75" s="6">
        <v>194</v>
      </c>
      <c r="B75" s="16" t="s">
        <v>45</v>
      </c>
      <c r="C75" s="17" t="s">
        <v>50</v>
      </c>
      <c r="D75" s="16" t="s">
        <v>46</v>
      </c>
      <c r="E75" s="7">
        <v>2</v>
      </c>
      <c r="F75" s="7">
        <v>4</v>
      </c>
      <c r="G75" s="7">
        <v>1</v>
      </c>
      <c r="H75" s="10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1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9">
        <f t="shared" si="0"/>
        <v>0.5</v>
      </c>
      <c r="AG75" s="9">
        <f t="shared" si="1"/>
        <v>0</v>
      </c>
      <c r="AH75" s="9">
        <f t="shared" si="2"/>
        <v>0</v>
      </c>
      <c r="AI75" s="9">
        <f t="shared" si="3"/>
        <v>0</v>
      </c>
      <c r="AJ75" s="10">
        <v>0</v>
      </c>
      <c r="AK75" s="10">
        <v>0</v>
      </c>
      <c r="AL75" s="10">
        <v>0</v>
      </c>
      <c r="AM75" s="10">
        <v>1</v>
      </c>
      <c r="AN75" s="10">
        <v>20</v>
      </c>
      <c r="AO75" s="10">
        <v>1</v>
      </c>
      <c r="AP75" s="10">
        <v>1</v>
      </c>
    </row>
    <row r="76" spans="1:42" s="4" customFormat="1" ht="15.75" customHeight="1" x14ac:dyDescent="0.35">
      <c r="A76" s="6">
        <v>195</v>
      </c>
      <c r="B76" s="16" t="s">
        <v>45</v>
      </c>
      <c r="C76" s="17" t="s">
        <v>50</v>
      </c>
      <c r="D76" s="16" t="s">
        <v>46</v>
      </c>
      <c r="E76" s="7">
        <v>2</v>
      </c>
      <c r="F76" s="7">
        <v>1</v>
      </c>
      <c r="G76" s="7">
        <v>1</v>
      </c>
      <c r="H76" s="10">
        <v>1</v>
      </c>
      <c r="I76" s="10">
        <v>0</v>
      </c>
      <c r="J76" s="10">
        <v>0</v>
      </c>
      <c r="K76" s="10">
        <v>1</v>
      </c>
      <c r="L76" s="10">
        <v>1</v>
      </c>
      <c r="M76" s="10">
        <v>0</v>
      </c>
      <c r="N76" s="10">
        <v>1</v>
      </c>
      <c r="O76" s="10">
        <v>0</v>
      </c>
      <c r="P76" s="10">
        <v>1</v>
      </c>
      <c r="Q76" s="10">
        <v>0</v>
      </c>
      <c r="R76" s="10">
        <v>0</v>
      </c>
      <c r="S76" s="10">
        <v>1</v>
      </c>
      <c r="T76" s="10">
        <v>1</v>
      </c>
      <c r="U76" s="10">
        <v>0</v>
      </c>
      <c r="V76" s="10">
        <v>1</v>
      </c>
      <c r="W76" s="10">
        <v>0</v>
      </c>
      <c r="X76" s="10">
        <v>1</v>
      </c>
      <c r="Y76" s="10">
        <v>0</v>
      </c>
      <c r="Z76" s="10">
        <v>0</v>
      </c>
      <c r="AA76" s="10">
        <v>1</v>
      </c>
      <c r="AB76" s="10">
        <v>1</v>
      </c>
      <c r="AC76" s="10">
        <v>0</v>
      </c>
      <c r="AD76" s="10">
        <v>1</v>
      </c>
      <c r="AE76" s="10">
        <v>0</v>
      </c>
      <c r="AF76" s="9">
        <f t="shared" si="0"/>
        <v>0.5</v>
      </c>
      <c r="AG76" s="9">
        <f t="shared" si="1"/>
        <v>0.5</v>
      </c>
      <c r="AH76" s="9">
        <f t="shared" si="2"/>
        <v>0.5</v>
      </c>
      <c r="AI76" s="9">
        <f t="shared" si="3"/>
        <v>0.5</v>
      </c>
      <c r="AJ76" s="10">
        <v>0</v>
      </c>
      <c r="AK76" s="10">
        <v>0</v>
      </c>
      <c r="AL76" s="10">
        <v>0</v>
      </c>
      <c r="AM76" s="10">
        <v>1</v>
      </c>
      <c r="AN76" s="10">
        <v>22</v>
      </c>
      <c r="AO76" s="10">
        <v>1</v>
      </c>
      <c r="AP76" s="10">
        <v>1</v>
      </c>
    </row>
    <row r="77" spans="1:42" s="4" customFormat="1" ht="15.75" customHeight="1" x14ac:dyDescent="0.35">
      <c r="A77" s="6">
        <v>196</v>
      </c>
      <c r="B77" s="16" t="s">
        <v>45</v>
      </c>
      <c r="C77" s="17" t="s">
        <v>50</v>
      </c>
      <c r="D77" s="16" t="s">
        <v>46</v>
      </c>
      <c r="E77" s="7">
        <v>2</v>
      </c>
      <c r="F77" s="7">
        <v>1</v>
      </c>
      <c r="G77" s="7">
        <v>1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9">
        <f t="shared" si="0"/>
        <v>0</v>
      </c>
      <c r="AG77" s="9">
        <f t="shared" si="1"/>
        <v>0</v>
      </c>
      <c r="AH77" s="9">
        <f t="shared" si="2"/>
        <v>0</v>
      </c>
      <c r="AI77" s="9">
        <f t="shared" si="3"/>
        <v>0</v>
      </c>
      <c r="AJ77" s="10">
        <v>0</v>
      </c>
      <c r="AK77" s="10">
        <v>0</v>
      </c>
      <c r="AL77" s="10">
        <v>0</v>
      </c>
      <c r="AM77" s="10">
        <v>1</v>
      </c>
      <c r="AN77" s="10">
        <v>21</v>
      </c>
      <c r="AO77" s="10">
        <v>2</v>
      </c>
      <c r="AP77" s="10">
        <v>1</v>
      </c>
    </row>
    <row r="78" spans="1:42" s="4" customFormat="1" ht="15.75" customHeight="1" x14ac:dyDescent="0.35">
      <c r="A78" s="6">
        <v>197</v>
      </c>
      <c r="B78" s="16" t="s">
        <v>45</v>
      </c>
      <c r="C78" s="17" t="s">
        <v>50</v>
      </c>
      <c r="D78" s="16" t="s">
        <v>46</v>
      </c>
      <c r="E78" s="7">
        <v>1</v>
      </c>
      <c r="F78" s="7">
        <v>1</v>
      </c>
      <c r="G78" s="7">
        <v>2</v>
      </c>
      <c r="H78" s="10">
        <v>0</v>
      </c>
      <c r="I78" s="10">
        <v>1</v>
      </c>
      <c r="J78" s="10">
        <v>1</v>
      </c>
      <c r="K78" s="10">
        <v>0</v>
      </c>
      <c r="L78" s="10">
        <v>1</v>
      </c>
      <c r="M78" s="10">
        <v>1</v>
      </c>
      <c r="N78" s="10">
        <v>1</v>
      </c>
      <c r="O78" s="10">
        <v>1</v>
      </c>
      <c r="P78" s="10">
        <v>0</v>
      </c>
      <c r="Q78" s="10">
        <v>1</v>
      </c>
      <c r="R78" s="10">
        <v>0</v>
      </c>
      <c r="S78" s="10">
        <v>0</v>
      </c>
      <c r="T78" s="10">
        <v>1</v>
      </c>
      <c r="U78" s="10">
        <v>1</v>
      </c>
      <c r="V78" s="10">
        <v>1</v>
      </c>
      <c r="W78" s="10">
        <v>1</v>
      </c>
      <c r="X78" s="10">
        <v>0</v>
      </c>
      <c r="Y78" s="10">
        <v>1</v>
      </c>
      <c r="Z78" s="10">
        <v>0</v>
      </c>
      <c r="AA78" s="10">
        <v>0</v>
      </c>
      <c r="AB78" s="10">
        <v>1</v>
      </c>
      <c r="AC78" s="10">
        <v>1</v>
      </c>
      <c r="AD78" s="10">
        <v>1</v>
      </c>
      <c r="AE78" s="10">
        <v>1</v>
      </c>
      <c r="AF78" s="9">
        <f t="shared" si="0"/>
        <v>0.5</v>
      </c>
      <c r="AG78" s="9">
        <f t="shared" si="1"/>
        <v>0</v>
      </c>
      <c r="AH78" s="9">
        <f t="shared" si="2"/>
        <v>1</v>
      </c>
      <c r="AI78" s="9">
        <f t="shared" si="3"/>
        <v>1</v>
      </c>
      <c r="AJ78" s="10">
        <v>0</v>
      </c>
      <c r="AK78" s="10">
        <v>0</v>
      </c>
      <c r="AL78" s="10">
        <v>0</v>
      </c>
      <c r="AM78" s="10">
        <v>2</v>
      </c>
      <c r="AN78" s="10">
        <v>20</v>
      </c>
      <c r="AO78" s="10">
        <v>1</v>
      </c>
      <c r="AP78" s="10">
        <v>1</v>
      </c>
    </row>
    <row r="79" spans="1:42" s="4" customFormat="1" ht="15.75" customHeight="1" x14ac:dyDescent="0.35">
      <c r="A79" s="6">
        <v>198</v>
      </c>
      <c r="B79" s="16" t="s">
        <v>45</v>
      </c>
      <c r="C79" s="17" t="s">
        <v>50</v>
      </c>
      <c r="D79" s="16" t="s">
        <v>46</v>
      </c>
      <c r="E79" s="7">
        <v>2</v>
      </c>
      <c r="F79" s="7">
        <v>1</v>
      </c>
      <c r="G79" s="7">
        <v>2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9">
        <f t="shared" si="0"/>
        <v>0</v>
      </c>
      <c r="AG79" s="9">
        <f t="shared" si="1"/>
        <v>0</v>
      </c>
      <c r="AH79" s="9">
        <f t="shared" si="2"/>
        <v>0</v>
      </c>
      <c r="AI79" s="9">
        <f t="shared" si="3"/>
        <v>0</v>
      </c>
      <c r="AJ79" s="10">
        <v>0</v>
      </c>
      <c r="AK79" s="10">
        <v>0</v>
      </c>
      <c r="AL79" s="10">
        <v>0</v>
      </c>
      <c r="AM79" s="10">
        <v>1</v>
      </c>
      <c r="AN79" s="10">
        <v>19</v>
      </c>
      <c r="AO79" s="10">
        <v>1</v>
      </c>
      <c r="AP79" s="10">
        <v>1</v>
      </c>
    </row>
    <row r="80" spans="1:42" s="4" customFormat="1" ht="15.75" customHeight="1" x14ac:dyDescent="0.35">
      <c r="A80" s="6">
        <v>199</v>
      </c>
      <c r="B80" s="16" t="s">
        <v>45</v>
      </c>
      <c r="C80" s="17" t="s">
        <v>50</v>
      </c>
      <c r="D80" s="16" t="s">
        <v>46</v>
      </c>
      <c r="E80" s="7">
        <v>1</v>
      </c>
      <c r="F80" s="7">
        <v>4</v>
      </c>
      <c r="G80" s="7">
        <v>2</v>
      </c>
      <c r="H80" s="10">
        <v>0</v>
      </c>
      <c r="I80" s="10">
        <v>0</v>
      </c>
      <c r="J80" s="10">
        <v>0</v>
      </c>
      <c r="K80" s="10">
        <v>1</v>
      </c>
      <c r="L80" s="10">
        <v>0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1</v>
      </c>
      <c r="T80" s="10">
        <v>0</v>
      </c>
      <c r="U80" s="10">
        <v>1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1</v>
      </c>
      <c r="AB80" s="10">
        <v>0</v>
      </c>
      <c r="AC80" s="10">
        <v>1</v>
      </c>
      <c r="AD80" s="10">
        <v>0</v>
      </c>
      <c r="AE80" s="10">
        <v>0</v>
      </c>
      <c r="AF80" s="9">
        <f t="shared" si="0"/>
        <v>0</v>
      </c>
      <c r="AG80" s="9">
        <f t="shared" si="1"/>
        <v>0.5</v>
      </c>
      <c r="AH80" s="9">
        <f t="shared" si="2"/>
        <v>0.5</v>
      </c>
      <c r="AI80" s="9">
        <f t="shared" si="3"/>
        <v>0</v>
      </c>
      <c r="AJ80" s="10">
        <v>0</v>
      </c>
      <c r="AK80" s="10">
        <v>0</v>
      </c>
      <c r="AL80" s="10">
        <v>0</v>
      </c>
      <c r="AM80" s="10">
        <v>2</v>
      </c>
      <c r="AN80" s="10">
        <v>19</v>
      </c>
      <c r="AO80" s="10">
        <v>2</v>
      </c>
      <c r="AP80" s="10">
        <v>1</v>
      </c>
    </row>
    <row r="81" spans="1:42" s="4" customFormat="1" ht="15.75" customHeight="1" x14ac:dyDescent="0.35">
      <c r="A81" s="6">
        <v>200</v>
      </c>
      <c r="B81" s="16" t="s">
        <v>45</v>
      </c>
      <c r="C81" s="17" t="s">
        <v>50</v>
      </c>
      <c r="D81" s="16" t="s">
        <v>46</v>
      </c>
      <c r="E81" s="7">
        <v>1</v>
      </c>
      <c r="F81" s="7">
        <v>4</v>
      </c>
      <c r="G81" s="7">
        <v>2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9">
        <f t="shared" si="0"/>
        <v>0.5</v>
      </c>
      <c r="AG81" s="9">
        <f t="shared" si="1"/>
        <v>0</v>
      </c>
      <c r="AH81" s="9">
        <f t="shared" si="2"/>
        <v>0</v>
      </c>
      <c r="AI81" s="9">
        <f t="shared" si="3"/>
        <v>0</v>
      </c>
      <c r="AJ81" s="10">
        <v>0</v>
      </c>
      <c r="AK81" s="10">
        <v>0</v>
      </c>
      <c r="AL81" s="10">
        <v>0</v>
      </c>
      <c r="AM81" s="10">
        <v>2</v>
      </c>
      <c r="AN81" s="10">
        <v>20</v>
      </c>
      <c r="AO81" s="10">
        <v>1</v>
      </c>
      <c r="AP81" s="10">
        <v>1</v>
      </c>
    </row>
    <row r="82" spans="1:42" s="4" customFormat="1" ht="15.75" customHeight="1" x14ac:dyDescent="0.35">
      <c r="A82" s="6">
        <v>201</v>
      </c>
      <c r="B82" s="16" t="s">
        <v>45</v>
      </c>
      <c r="C82" s="17" t="s">
        <v>50</v>
      </c>
      <c r="D82" s="16" t="s">
        <v>46</v>
      </c>
      <c r="E82" s="7">
        <v>2</v>
      </c>
      <c r="F82" s="7">
        <v>3</v>
      </c>
      <c r="G82" s="7">
        <v>1</v>
      </c>
      <c r="H82" s="10">
        <v>0</v>
      </c>
      <c r="I82" s="10">
        <v>1</v>
      </c>
      <c r="J82" s="10">
        <v>0</v>
      </c>
      <c r="K82" s="10">
        <v>1</v>
      </c>
      <c r="L82" s="10">
        <v>1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1</v>
      </c>
      <c r="S82" s="10">
        <v>1</v>
      </c>
      <c r="T82" s="10">
        <v>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</v>
      </c>
      <c r="AA82" s="10">
        <v>1</v>
      </c>
      <c r="AB82" s="10">
        <v>1</v>
      </c>
      <c r="AC82" s="10">
        <v>0</v>
      </c>
      <c r="AD82" s="10">
        <v>0</v>
      </c>
      <c r="AE82" s="10">
        <v>0</v>
      </c>
      <c r="AF82" s="9">
        <f t="shared" si="0"/>
        <v>0</v>
      </c>
      <c r="AG82" s="9">
        <f t="shared" si="1"/>
        <v>1</v>
      </c>
      <c r="AH82" s="9">
        <f t="shared" si="2"/>
        <v>0.5</v>
      </c>
      <c r="AI82" s="9">
        <f t="shared" si="3"/>
        <v>0</v>
      </c>
      <c r="AJ82" s="10">
        <v>0</v>
      </c>
      <c r="AK82" s="10">
        <v>0</v>
      </c>
      <c r="AL82" s="10">
        <v>0</v>
      </c>
      <c r="AM82" s="10">
        <v>2</v>
      </c>
      <c r="AN82" s="10">
        <v>21</v>
      </c>
      <c r="AO82" s="10">
        <v>1</v>
      </c>
      <c r="AP82" s="10">
        <v>1</v>
      </c>
    </row>
    <row r="83" spans="1:42" s="4" customFormat="1" ht="15.75" customHeight="1" x14ac:dyDescent="0.35">
      <c r="A83" s="6">
        <v>202</v>
      </c>
      <c r="B83" s="16" t="s">
        <v>45</v>
      </c>
      <c r="C83" s="17" t="s">
        <v>50</v>
      </c>
      <c r="D83" s="16" t="s">
        <v>46</v>
      </c>
      <c r="E83" s="7">
        <v>2</v>
      </c>
      <c r="F83" s="7">
        <v>3</v>
      </c>
      <c r="G83" s="7">
        <v>2</v>
      </c>
      <c r="H83" s="10">
        <v>1</v>
      </c>
      <c r="I83" s="10">
        <v>0</v>
      </c>
      <c r="J83" s="10">
        <v>0</v>
      </c>
      <c r="K83" s="10">
        <v>1</v>
      </c>
      <c r="L83" s="10">
        <v>1</v>
      </c>
      <c r="M83" s="10">
        <v>0</v>
      </c>
      <c r="N83" s="10">
        <v>1</v>
      </c>
      <c r="O83" s="10">
        <v>0</v>
      </c>
      <c r="P83" s="10">
        <v>1</v>
      </c>
      <c r="Q83" s="10">
        <v>0</v>
      </c>
      <c r="R83" s="10">
        <v>0</v>
      </c>
      <c r="S83" s="10">
        <v>1</v>
      </c>
      <c r="T83" s="10">
        <v>1</v>
      </c>
      <c r="U83" s="10">
        <v>0</v>
      </c>
      <c r="V83" s="10">
        <v>1</v>
      </c>
      <c r="W83" s="10">
        <v>0</v>
      </c>
      <c r="X83" s="10">
        <v>1</v>
      </c>
      <c r="Y83" s="10">
        <v>0</v>
      </c>
      <c r="Z83" s="10">
        <v>0</v>
      </c>
      <c r="AA83" s="10">
        <v>1</v>
      </c>
      <c r="AB83" s="10">
        <v>1</v>
      </c>
      <c r="AC83" s="10">
        <v>0</v>
      </c>
      <c r="AD83" s="10">
        <v>1</v>
      </c>
      <c r="AE83" s="10">
        <v>0</v>
      </c>
      <c r="AF83" s="9">
        <f t="shared" si="0"/>
        <v>0.5</v>
      </c>
      <c r="AG83" s="9">
        <f t="shared" si="1"/>
        <v>0.5</v>
      </c>
      <c r="AH83" s="9">
        <f t="shared" si="2"/>
        <v>0.5</v>
      </c>
      <c r="AI83" s="9">
        <f t="shared" si="3"/>
        <v>0.5</v>
      </c>
      <c r="AJ83" s="10">
        <v>0</v>
      </c>
      <c r="AK83" s="10">
        <v>0</v>
      </c>
      <c r="AL83" s="10">
        <v>0</v>
      </c>
      <c r="AM83" s="10">
        <v>1</v>
      </c>
      <c r="AN83" s="10">
        <v>19</v>
      </c>
      <c r="AO83" s="10">
        <v>1</v>
      </c>
      <c r="AP83" s="10">
        <v>1</v>
      </c>
    </row>
    <row r="84" spans="1:42" s="4" customFormat="1" ht="15.75" customHeight="1" x14ac:dyDescent="0.35">
      <c r="A84" s="6">
        <v>203</v>
      </c>
      <c r="B84" s="16" t="s">
        <v>45</v>
      </c>
      <c r="C84" s="17" t="s">
        <v>50</v>
      </c>
      <c r="D84" s="16" t="s">
        <v>46</v>
      </c>
      <c r="E84" s="7">
        <v>1</v>
      </c>
      <c r="F84" s="7">
        <v>3</v>
      </c>
      <c r="G84" s="7">
        <v>1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9">
        <f t="shared" si="0"/>
        <v>0</v>
      </c>
      <c r="AG84" s="9">
        <f t="shared" si="1"/>
        <v>0</v>
      </c>
      <c r="AH84" s="9">
        <f t="shared" si="2"/>
        <v>0</v>
      </c>
      <c r="AI84" s="9">
        <f t="shared" si="3"/>
        <v>0</v>
      </c>
      <c r="AJ84" s="10">
        <v>0</v>
      </c>
      <c r="AK84" s="10">
        <v>0</v>
      </c>
      <c r="AL84" s="10">
        <v>0</v>
      </c>
      <c r="AM84" s="10">
        <v>2</v>
      </c>
      <c r="AN84" s="10">
        <v>21</v>
      </c>
      <c r="AO84" s="10">
        <v>1</v>
      </c>
      <c r="AP84" s="10">
        <v>1</v>
      </c>
    </row>
    <row r="85" spans="1:42" s="4" customFormat="1" ht="15.75" customHeight="1" x14ac:dyDescent="0.35">
      <c r="A85" s="6">
        <v>204</v>
      </c>
      <c r="B85" s="16" t="s">
        <v>45</v>
      </c>
      <c r="C85" s="17" t="s">
        <v>50</v>
      </c>
      <c r="D85" s="16" t="s">
        <v>46</v>
      </c>
      <c r="E85" s="7">
        <v>2</v>
      </c>
      <c r="F85" s="7">
        <v>1</v>
      </c>
      <c r="G85" s="7">
        <v>2</v>
      </c>
      <c r="H85" s="10">
        <v>1</v>
      </c>
      <c r="I85" s="10">
        <v>1</v>
      </c>
      <c r="J85" s="10">
        <v>1</v>
      </c>
      <c r="K85" s="10">
        <v>0</v>
      </c>
      <c r="L85" s="10">
        <v>0</v>
      </c>
      <c r="M85" s="10">
        <v>0</v>
      </c>
      <c r="N85" s="10">
        <v>1</v>
      </c>
      <c r="O85" s="10">
        <v>1</v>
      </c>
      <c r="P85" s="10">
        <v>1</v>
      </c>
      <c r="Q85" s="10">
        <v>1</v>
      </c>
      <c r="R85" s="10">
        <v>1</v>
      </c>
      <c r="S85" s="10">
        <v>0</v>
      </c>
      <c r="T85" s="10">
        <v>0</v>
      </c>
      <c r="U85" s="10">
        <v>0</v>
      </c>
      <c r="V85" s="10">
        <v>1</v>
      </c>
      <c r="W85" s="10">
        <v>1</v>
      </c>
      <c r="X85" s="10">
        <v>1</v>
      </c>
      <c r="Y85" s="10">
        <v>1</v>
      </c>
      <c r="Z85" s="10">
        <v>1</v>
      </c>
      <c r="AA85" s="10">
        <v>0</v>
      </c>
      <c r="AB85" s="10">
        <v>0</v>
      </c>
      <c r="AC85" s="10">
        <v>0</v>
      </c>
      <c r="AD85" s="10">
        <v>1</v>
      </c>
      <c r="AE85" s="10">
        <v>1</v>
      </c>
      <c r="AF85" s="9">
        <f t="shared" si="0"/>
        <v>1</v>
      </c>
      <c r="AG85" s="9">
        <f t="shared" si="1"/>
        <v>0.5</v>
      </c>
      <c r="AH85" s="9">
        <f t="shared" si="2"/>
        <v>0</v>
      </c>
      <c r="AI85" s="9">
        <f t="shared" si="3"/>
        <v>1</v>
      </c>
      <c r="AJ85" s="10">
        <v>0</v>
      </c>
      <c r="AK85" s="10">
        <v>0</v>
      </c>
      <c r="AL85" s="10">
        <v>0</v>
      </c>
      <c r="AM85" s="10">
        <v>1</v>
      </c>
      <c r="AN85" s="10">
        <v>18</v>
      </c>
      <c r="AO85" s="10">
        <v>1</v>
      </c>
      <c r="AP85" s="10">
        <v>1</v>
      </c>
    </row>
    <row r="86" spans="1:42" s="4" customFormat="1" ht="15.75" customHeight="1" x14ac:dyDescent="0.35">
      <c r="A86" s="6">
        <v>205</v>
      </c>
      <c r="B86" s="16" t="s">
        <v>45</v>
      </c>
      <c r="C86" s="17" t="s">
        <v>50</v>
      </c>
      <c r="D86" s="16" t="s">
        <v>46</v>
      </c>
      <c r="E86" s="7">
        <v>1</v>
      </c>
      <c r="F86" s="7">
        <v>2</v>
      </c>
      <c r="G86" s="7">
        <v>2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1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1</v>
      </c>
      <c r="AD86" s="10">
        <v>0</v>
      </c>
      <c r="AE86" s="10">
        <v>0</v>
      </c>
      <c r="AF86" s="9">
        <f t="shared" si="0"/>
        <v>0</v>
      </c>
      <c r="AG86" s="9">
        <f t="shared" si="1"/>
        <v>0</v>
      </c>
      <c r="AH86" s="9">
        <f t="shared" si="2"/>
        <v>0.5</v>
      </c>
      <c r="AI86" s="9">
        <f t="shared" si="3"/>
        <v>0</v>
      </c>
      <c r="AJ86" s="10">
        <v>0</v>
      </c>
      <c r="AK86" s="10">
        <v>0</v>
      </c>
      <c r="AL86" s="10">
        <v>0</v>
      </c>
      <c r="AM86" s="10">
        <v>2</v>
      </c>
      <c r="AN86" s="10">
        <v>22</v>
      </c>
      <c r="AO86" s="10">
        <v>1</v>
      </c>
      <c r="AP86" s="10">
        <v>1</v>
      </c>
    </row>
    <row r="87" spans="1:42" s="4" customFormat="1" ht="15.75" customHeight="1" x14ac:dyDescent="0.35">
      <c r="A87" s="6">
        <v>206</v>
      </c>
      <c r="B87" s="16" t="s">
        <v>45</v>
      </c>
      <c r="C87" s="17" t="s">
        <v>50</v>
      </c>
      <c r="D87" s="16" t="s">
        <v>46</v>
      </c>
      <c r="E87" s="7">
        <v>1</v>
      </c>
      <c r="F87" s="7">
        <v>4</v>
      </c>
      <c r="G87" s="7">
        <v>2</v>
      </c>
      <c r="H87" s="10">
        <v>0</v>
      </c>
      <c r="I87" s="10">
        <v>1</v>
      </c>
      <c r="J87" s="10">
        <v>0</v>
      </c>
      <c r="K87" s="10">
        <v>0</v>
      </c>
      <c r="L87" s="10">
        <v>1</v>
      </c>
      <c r="M87" s="10">
        <v>0</v>
      </c>
      <c r="N87" s="10">
        <v>0</v>
      </c>
      <c r="O87" s="10">
        <v>0</v>
      </c>
      <c r="P87" s="10">
        <v>0</v>
      </c>
      <c r="Q87" s="10">
        <v>1</v>
      </c>
      <c r="R87" s="10">
        <v>0</v>
      </c>
      <c r="S87" s="10">
        <v>0</v>
      </c>
      <c r="T87" s="10">
        <v>1</v>
      </c>
      <c r="U87" s="10">
        <v>0</v>
      </c>
      <c r="V87" s="10">
        <v>0</v>
      </c>
      <c r="W87" s="10">
        <v>0</v>
      </c>
      <c r="X87" s="10">
        <v>0</v>
      </c>
      <c r="Y87" s="10">
        <v>1</v>
      </c>
      <c r="Z87" s="10">
        <v>0</v>
      </c>
      <c r="AA87" s="10">
        <v>0</v>
      </c>
      <c r="AB87" s="10">
        <v>1</v>
      </c>
      <c r="AC87" s="10">
        <v>0</v>
      </c>
      <c r="AD87" s="10">
        <v>0</v>
      </c>
      <c r="AE87" s="10">
        <v>0</v>
      </c>
      <c r="AF87" s="9">
        <f t="shared" si="0"/>
        <v>0.5</v>
      </c>
      <c r="AG87" s="9">
        <f t="shared" si="1"/>
        <v>0</v>
      </c>
      <c r="AH87" s="9">
        <f t="shared" si="2"/>
        <v>0.5</v>
      </c>
      <c r="AI87" s="9">
        <f t="shared" si="3"/>
        <v>0</v>
      </c>
      <c r="AJ87" s="10">
        <v>0</v>
      </c>
      <c r="AK87" s="10">
        <v>0</v>
      </c>
      <c r="AL87" s="10">
        <v>0</v>
      </c>
      <c r="AM87" s="10">
        <v>2</v>
      </c>
      <c r="AN87" s="10">
        <v>20</v>
      </c>
      <c r="AO87" s="10">
        <v>1</v>
      </c>
      <c r="AP87" s="10">
        <v>1</v>
      </c>
    </row>
    <row r="88" spans="1:42" s="4" customFormat="1" ht="15.75" customHeight="1" x14ac:dyDescent="0.35">
      <c r="A88" s="6">
        <v>207</v>
      </c>
      <c r="B88" s="16" t="s">
        <v>45</v>
      </c>
      <c r="C88" s="17" t="s">
        <v>50</v>
      </c>
      <c r="D88" s="16" t="s">
        <v>46</v>
      </c>
      <c r="E88" s="7">
        <v>2</v>
      </c>
      <c r="F88" s="7">
        <v>1</v>
      </c>
      <c r="G88" s="7">
        <v>2</v>
      </c>
      <c r="H88" s="10">
        <v>1</v>
      </c>
      <c r="I88" s="10">
        <v>0</v>
      </c>
      <c r="J88" s="10">
        <v>0</v>
      </c>
      <c r="K88" s="10">
        <v>1</v>
      </c>
      <c r="L88" s="10">
        <v>0</v>
      </c>
      <c r="M88" s="10">
        <v>0</v>
      </c>
      <c r="N88" s="10">
        <v>1</v>
      </c>
      <c r="O88" s="10">
        <v>1</v>
      </c>
      <c r="P88" s="10">
        <v>1</v>
      </c>
      <c r="Q88" s="10">
        <v>0</v>
      </c>
      <c r="R88" s="10">
        <v>0</v>
      </c>
      <c r="S88" s="10">
        <v>1</v>
      </c>
      <c r="T88" s="10">
        <v>0</v>
      </c>
      <c r="U88" s="10">
        <v>0</v>
      </c>
      <c r="V88" s="10">
        <v>1</v>
      </c>
      <c r="W88" s="10">
        <v>0</v>
      </c>
      <c r="X88" s="10">
        <v>1</v>
      </c>
      <c r="Y88" s="10">
        <v>0</v>
      </c>
      <c r="Z88" s="10">
        <v>0</v>
      </c>
      <c r="AA88" s="10">
        <v>1</v>
      </c>
      <c r="AB88" s="10">
        <v>0</v>
      </c>
      <c r="AC88" s="10">
        <v>0</v>
      </c>
      <c r="AD88" s="10">
        <v>1</v>
      </c>
      <c r="AE88" s="10">
        <v>0</v>
      </c>
      <c r="AF88" s="9">
        <f t="shared" si="0"/>
        <v>0.5</v>
      </c>
      <c r="AG88" s="9">
        <f t="shared" si="1"/>
        <v>0.5</v>
      </c>
      <c r="AH88" s="9">
        <f t="shared" si="2"/>
        <v>0</v>
      </c>
      <c r="AI88" s="9">
        <f t="shared" si="3"/>
        <v>0.5</v>
      </c>
      <c r="AJ88" s="10">
        <v>0</v>
      </c>
      <c r="AK88" s="10">
        <v>0</v>
      </c>
      <c r="AL88" s="10">
        <v>0</v>
      </c>
      <c r="AM88" s="10">
        <v>1</v>
      </c>
      <c r="AN88" s="10">
        <v>20</v>
      </c>
      <c r="AO88" s="10">
        <v>1</v>
      </c>
      <c r="AP88" s="10">
        <v>1</v>
      </c>
    </row>
    <row r="89" spans="1:42" s="4" customFormat="1" ht="15.75" customHeight="1" x14ac:dyDescent="0.35">
      <c r="A89" s="6">
        <v>208</v>
      </c>
      <c r="B89" s="16" t="s">
        <v>45</v>
      </c>
      <c r="C89" s="17" t="s">
        <v>50</v>
      </c>
      <c r="D89" s="16" t="s">
        <v>46</v>
      </c>
      <c r="E89" s="7">
        <v>1</v>
      </c>
      <c r="F89" s="7">
        <v>4</v>
      </c>
      <c r="G89" s="7">
        <v>1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1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1</v>
      </c>
      <c r="AD89" s="10">
        <v>0</v>
      </c>
      <c r="AE89" s="10">
        <v>0</v>
      </c>
      <c r="AF89" s="9">
        <f t="shared" si="0"/>
        <v>0</v>
      </c>
      <c r="AG89" s="9">
        <f t="shared" si="1"/>
        <v>0</v>
      </c>
      <c r="AH89" s="9">
        <f t="shared" si="2"/>
        <v>0.5</v>
      </c>
      <c r="AI89" s="9">
        <f t="shared" si="3"/>
        <v>0</v>
      </c>
      <c r="AJ89" s="10">
        <v>0</v>
      </c>
      <c r="AK89" s="10">
        <v>0</v>
      </c>
      <c r="AL89" s="10">
        <v>0</v>
      </c>
      <c r="AM89" s="10">
        <v>2</v>
      </c>
      <c r="AN89" s="10">
        <v>20</v>
      </c>
      <c r="AO89" s="10">
        <v>1</v>
      </c>
      <c r="AP89" s="10">
        <v>1</v>
      </c>
    </row>
    <row r="90" spans="1:42" s="4" customFormat="1" ht="15.75" customHeight="1" x14ac:dyDescent="0.35">
      <c r="A90" s="6">
        <v>209</v>
      </c>
      <c r="B90" s="16" t="s">
        <v>45</v>
      </c>
      <c r="C90" s="17" t="s">
        <v>50</v>
      </c>
      <c r="D90" s="16" t="s">
        <v>46</v>
      </c>
      <c r="E90" s="7">
        <v>1</v>
      </c>
      <c r="F90" s="7">
        <v>3</v>
      </c>
      <c r="G90" s="7">
        <v>2</v>
      </c>
      <c r="H90" s="10">
        <v>0</v>
      </c>
      <c r="I90" s="10">
        <v>1</v>
      </c>
      <c r="J90" s="10">
        <v>0</v>
      </c>
      <c r="K90" s="10">
        <v>0</v>
      </c>
      <c r="L90" s="10">
        <v>1</v>
      </c>
      <c r="M90" s="10">
        <v>0</v>
      </c>
      <c r="N90" s="10">
        <v>0</v>
      </c>
      <c r="O90" s="10">
        <v>1</v>
      </c>
      <c r="P90" s="10">
        <v>0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0</v>
      </c>
      <c r="W90" s="10">
        <v>1</v>
      </c>
      <c r="X90" s="10">
        <v>0</v>
      </c>
      <c r="Y90" s="10">
        <v>0</v>
      </c>
      <c r="Z90" s="10">
        <v>0</v>
      </c>
      <c r="AA90" s="10">
        <v>0</v>
      </c>
      <c r="AB90" s="10">
        <v>1</v>
      </c>
      <c r="AC90" s="10">
        <v>0</v>
      </c>
      <c r="AD90" s="10">
        <v>0</v>
      </c>
      <c r="AE90" s="10">
        <v>1</v>
      </c>
      <c r="AF90" s="9">
        <f t="shared" si="0"/>
        <v>0</v>
      </c>
      <c r="AG90" s="9">
        <f t="shared" si="1"/>
        <v>0</v>
      </c>
      <c r="AH90" s="9">
        <f t="shared" si="2"/>
        <v>0.5</v>
      </c>
      <c r="AI90" s="9">
        <f t="shared" si="3"/>
        <v>0.5</v>
      </c>
      <c r="AJ90" s="10">
        <v>0</v>
      </c>
      <c r="AK90" s="10">
        <v>0</v>
      </c>
      <c r="AL90" s="10">
        <v>0</v>
      </c>
      <c r="AM90" s="10">
        <v>2</v>
      </c>
      <c r="AN90" s="10">
        <v>19</v>
      </c>
      <c r="AO90" s="10">
        <v>1</v>
      </c>
      <c r="AP90" s="10">
        <v>1</v>
      </c>
    </row>
    <row r="91" spans="1:42" s="4" customFormat="1" ht="15.75" customHeight="1" x14ac:dyDescent="0.35">
      <c r="A91" s="6">
        <v>210</v>
      </c>
      <c r="B91" s="16" t="s">
        <v>45</v>
      </c>
      <c r="C91" s="17" t="s">
        <v>50</v>
      </c>
      <c r="D91" s="16" t="s">
        <v>46</v>
      </c>
      <c r="E91" s="7">
        <v>2</v>
      </c>
      <c r="F91" s="7">
        <v>1</v>
      </c>
      <c r="G91" s="7">
        <v>1</v>
      </c>
      <c r="H91" s="10">
        <v>0</v>
      </c>
      <c r="I91" s="10">
        <v>0</v>
      </c>
      <c r="J91" s="10">
        <v>0</v>
      </c>
      <c r="K91" s="10">
        <v>1</v>
      </c>
      <c r="L91" s="10">
        <v>1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9">
        <f t="shared" si="0"/>
        <v>0</v>
      </c>
      <c r="AG91" s="9">
        <f t="shared" si="1"/>
        <v>0</v>
      </c>
      <c r="AH91" s="9">
        <f t="shared" si="2"/>
        <v>0</v>
      </c>
      <c r="AI91" s="9">
        <f t="shared" si="3"/>
        <v>0</v>
      </c>
      <c r="AJ91" s="10">
        <v>0</v>
      </c>
      <c r="AK91" s="10">
        <v>0</v>
      </c>
      <c r="AL91" s="10">
        <v>0</v>
      </c>
      <c r="AM91" s="10">
        <v>1</v>
      </c>
      <c r="AN91" s="10">
        <v>19</v>
      </c>
      <c r="AO91" s="10">
        <v>1</v>
      </c>
      <c r="AP91" s="10">
        <v>1</v>
      </c>
    </row>
    <row r="92" spans="1:42" s="4" customFormat="1" ht="15.75" customHeight="1" x14ac:dyDescent="0.35">
      <c r="A92" s="6">
        <v>211</v>
      </c>
      <c r="B92" s="16" t="s">
        <v>45</v>
      </c>
      <c r="C92" s="17" t="s">
        <v>50</v>
      </c>
      <c r="D92" s="16" t="s">
        <v>46</v>
      </c>
      <c r="E92" s="7">
        <v>1</v>
      </c>
      <c r="F92" s="7">
        <v>4</v>
      </c>
      <c r="G92" s="7">
        <v>2</v>
      </c>
      <c r="H92" s="10">
        <v>0</v>
      </c>
      <c r="I92" s="10">
        <v>0</v>
      </c>
      <c r="J92" s="10">
        <v>0</v>
      </c>
      <c r="K92" s="10">
        <v>1</v>
      </c>
      <c r="L92" s="10">
        <v>1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1</v>
      </c>
      <c r="T92" s="10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1</v>
      </c>
      <c r="AB92" s="10">
        <v>1</v>
      </c>
      <c r="AC92" s="10">
        <v>0</v>
      </c>
      <c r="AD92" s="10">
        <v>0</v>
      </c>
      <c r="AE92" s="10">
        <v>0</v>
      </c>
      <c r="AF92" s="9">
        <f t="shared" si="0"/>
        <v>0</v>
      </c>
      <c r="AG92" s="9">
        <f t="shared" si="1"/>
        <v>0.5</v>
      </c>
      <c r="AH92" s="9">
        <f t="shared" si="2"/>
        <v>0.5</v>
      </c>
      <c r="AI92" s="9">
        <f t="shared" si="3"/>
        <v>0</v>
      </c>
      <c r="AJ92" s="10">
        <v>0</v>
      </c>
      <c r="AK92" s="10">
        <v>0</v>
      </c>
      <c r="AL92" s="10">
        <v>0</v>
      </c>
      <c r="AM92" s="10">
        <v>2</v>
      </c>
      <c r="AN92" s="10">
        <v>21</v>
      </c>
      <c r="AO92" s="10">
        <v>1</v>
      </c>
      <c r="AP92" s="10">
        <v>1</v>
      </c>
    </row>
    <row r="93" spans="1:42" s="4" customFormat="1" ht="15.75" customHeight="1" x14ac:dyDescent="0.35">
      <c r="A93" s="6">
        <v>212</v>
      </c>
      <c r="B93" s="16" t="s">
        <v>45</v>
      </c>
      <c r="C93" s="17" t="s">
        <v>50</v>
      </c>
      <c r="D93" s="16" t="s">
        <v>46</v>
      </c>
      <c r="E93" s="7">
        <v>1</v>
      </c>
      <c r="F93" s="7">
        <v>2</v>
      </c>
      <c r="G93" s="7">
        <v>2</v>
      </c>
      <c r="H93" s="10">
        <v>0</v>
      </c>
      <c r="I93" s="10">
        <v>0</v>
      </c>
      <c r="J93" s="10">
        <v>1</v>
      </c>
      <c r="K93" s="10">
        <v>0</v>
      </c>
      <c r="L93" s="10">
        <v>1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1</v>
      </c>
      <c r="S93" s="10">
        <v>0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1</v>
      </c>
      <c r="AA93" s="10">
        <v>0</v>
      </c>
      <c r="AB93" s="10">
        <v>1</v>
      </c>
      <c r="AC93" s="10">
        <v>0</v>
      </c>
      <c r="AD93" s="10">
        <v>0</v>
      </c>
      <c r="AE93" s="10">
        <v>0</v>
      </c>
      <c r="AF93" s="9">
        <f t="shared" si="0"/>
        <v>0</v>
      </c>
      <c r="AG93" s="9">
        <f t="shared" si="1"/>
        <v>0.5</v>
      </c>
      <c r="AH93" s="9">
        <f t="shared" si="2"/>
        <v>0.5</v>
      </c>
      <c r="AI93" s="9">
        <f t="shared" si="3"/>
        <v>0</v>
      </c>
      <c r="AJ93" s="10">
        <v>0</v>
      </c>
      <c r="AK93" s="10">
        <v>0</v>
      </c>
      <c r="AL93" s="10">
        <v>0</v>
      </c>
      <c r="AM93" s="10">
        <v>2</v>
      </c>
      <c r="AN93" s="10">
        <v>22</v>
      </c>
      <c r="AO93" s="10">
        <v>1</v>
      </c>
      <c r="AP93" s="10">
        <v>1</v>
      </c>
    </row>
    <row r="94" spans="1:42" s="4" customFormat="1" ht="15.75" customHeight="1" x14ac:dyDescent="0.35">
      <c r="A94" s="6">
        <v>213</v>
      </c>
      <c r="B94" s="16" t="s">
        <v>45</v>
      </c>
      <c r="C94" s="17" t="s">
        <v>50</v>
      </c>
      <c r="D94" s="16" t="s">
        <v>46</v>
      </c>
      <c r="E94" s="7">
        <v>1</v>
      </c>
      <c r="F94" s="7">
        <v>1</v>
      </c>
      <c r="G94" s="7">
        <v>1</v>
      </c>
      <c r="H94" s="10">
        <v>0</v>
      </c>
      <c r="I94" s="10">
        <v>0</v>
      </c>
      <c r="J94" s="10">
        <v>1</v>
      </c>
      <c r="K94" s="10">
        <v>0</v>
      </c>
      <c r="L94" s="10">
        <v>1</v>
      </c>
      <c r="M94" s="10">
        <v>0</v>
      </c>
      <c r="N94" s="10">
        <v>1</v>
      </c>
      <c r="O94" s="10">
        <v>0</v>
      </c>
      <c r="P94" s="10">
        <v>0</v>
      </c>
      <c r="Q94" s="10">
        <v>0</v>
      </c>
      <c r="R94" s="10">
        <v>1</v>
      </c>
      <c r="S94" s="10">
        <v>0</v>
      </c>
      <c r="T94" s="10">
        <v>1</v>
      </c>
      <c r="U94" s="10">
        <v>0</v>
      </c>
      <c r="V94" s="10">
        <v>1</v>
      </c>
      <c r="W94" s="10">
        <v>0</v>
      </c>
      <c r="X94" s="10">
        <v>0</v>
      </c>
      <c r="Y94" s="10">
        <v>0</v>
      </c>
      <c r="Z94" s="10">
        <v>1</v>
      </c>
      <c r="AA94" s="10">
        <v>0</v>
      </c>
      <c r="AB94" s="10">
        <v>1</v>
      </c>
      <c r="AC94" s="10">
        <v>0</v>
      </c>
      <c r="AD94" s="10">
        <v>1</v>
      </c>
      <c r="AE94" s="10">
        <v>0</v>
      </c>
      <c r="AF94" s="9">
        <f t="shared" si="0"/>
        <v>0</v>
      </c>
      <c r="AG94" s="9">
        <f t="shared" si="1"/>
        <v>0.5</v>
      </c>
      <c r="AH94" s="9">
        <f t="shared" si="2"/>
        <v>0.5</v>
      </c>
      <c r="AI94" s="9">
        <f t="shared" si="3"/>
        <v>0.5</v>
      </c>
      <c r="AJ94" s="10">
        <v>0</v>
      </c>
      <c r="AK94" s="10">
        <v>0</v>
      </c>
      <c r="AL94" s="10">
        <v>0</v>
      </c>
      <c r="AM94" s="10">
        <v>1</v>
      </c>
      <c r="AN94" s="10">
        <v>21</v>
      </c>
      <c r="AO94" s="10">
        <v>2</v>
      </c>
      <c r="AP94" s="10">
        <v>1</v>
      </c>
    </row>
    <row r="95" spans="1:42" s="4" customFormat="1" ht="15.75" customHeight="1" x14ac:dyDescent="0.35">
      <c r="A95" s="6">
        <v>214</v>
      </c>
      <c r="B95" s="16" t="s">
        <v>45</v>
      </c>
      <c r="C95" s="17" t="s">
        <v>50</v>
      </c>
      <c r="D95" s="16" t="s">
        <v>46</v>
      </c>
      <c r="E95" s="7">
        <v>2</v>
      </c>
      <c r="F95" s="7">
        <v>4</v>
      </c>
      <c r="G95" s="7">
        <v>1</v>
      </c>
      <c r="H95" s="10">
        <v>0</v>
      </c>
      <c r="I95" s="10">
        <v>1</v>
      </c>
      <c r="J95" s="10">
        <v>0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1</v>
      </c>
      <c r="R95" s="10">
        <v>0</v>
      </c>
      <c r="S95" s="10">
        <v>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1</v>
      </c>
      <c r="Z95" s="10">
        <v>0</v>
      </c>
      <c r="AA95" s="10">
        <v>1</v>
      </c>
      <c r="AB95" s="10">
        <v>0</v>
      </c>
      <c r="AC95" s="10">
        <v>0</v>
      </c>
      <c r="AD95" s="10">
        <v>0</v>
      </c>
      <c r="AE95" s="10">
        <v>0</v>
      </c>
      <c r="AF95" s="9">
        <f t="shared" si="0"/>
        <v>0.5</v>
      </c>
      <c r="AG95" s="9">
        <f t="shared" si="1"/>
        <v>0.5</v>
      </c>
      <c r="AH95" s="9">
        <f t="shared" si="2"/>
        <v>0</v>
      </c>
      <c r="AI95" s="9">
        <f t="shared" si="3"/>
        <v>0</v>
      </c>
      <c r="AJ95" s="10">
        <v>0</v>
      </c>
      <c r="AK95" s="10">
        <v>0</v>
      </c>
      <c r="AL95" s="10">
        <v>0</v>
      </c>
      <c r="AM95" s="10">
        <v>1</v>
      </c>
      <c r="AN95" s="10">
        <v>21</v>
      </c>
      <c r="AO95" s="10">
        <v>2</v>
      </c>
      <c r="AP95" s="10">
        <v>1</v>
      </c>
    </row>
    <row r="96" spans="1:42" s="4" customFormat="1" ht="15.75" customHeight="1" x14ac:dyDescent="0.35">
      <c r="A96" s="6">
        <v>215</v>
      </c>
      <c r="B96" s="16" t="s">
        <v>45</v>
      </c>
      <c r="C96" s="17" t="s">
        <v>50</v>
      </c>
      <c r="D96" s="16" t="s">
        <v>46</v>
      </c>
      <c r="E96" s="7">
        <v>2</v>
      </c>
      <c r="F96" s="7">
        <v>2</v>
      </c>
      <c r="G96" s="7">
        <v>1</v>
      </c>
      <c r="H96" s="10">
        <v>0</v>
      </c>
      <c r="I96" s="10">
        <v>1</v>
      </c>
      <c r="J96" s="10">
        <v>1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1</v>
      </c>
      <c r="R96" s="10">
        <v>1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1</v>
      </c>
      <c r="Z96" s="10">
        <v>1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9">
        <f t="shared" si="0"/>
        <v>0.5</v>
      </c>
      <c r="AG96" s="9">
        <f t="shared" si="1"/>
        <v>0.5</v>
      </c>
      <c r="AH96" s="9">
        <f t="shared" si="2"/>
        <v>0</v>
      </c>
      <c r="AI96" s="9">
        <f t="shared" si="3"/>
        <v>0</v>
      </c>
      <c r="AJ96" s="10">
        <v>0</v>
      </c>
      <c r="AK96" s="10">
        <v>0</v>
      </c>
      <c r="AL96" s="10">
        <v>0</v>
      </c>
      <c r="AM96" s="10">
        <v>1</v>
      </c>
      <c r="AN96" s="10">
        <v>20</v>
      </c>
      <c r="AO96" s="10">
        <v>2</v>
      </c>
      <c r="AP96" s="10">
        <v>1</v>
      </c>
    </row>
    <row r="97" spans="1:42" s="4" customFormat="1" ht="15.75" customHeight="1" x14ac:dyDescent="0.35">
      <c r="A97" s="6">
        <v>216</v>
      </c>
      <c r="B97" s="16" t="s">
        <v>45</v>
      </c>
      <c r="C97" s="17" t="s">
        <v>50</v>
      </c>
      <c r="D97" s="16" t="s">
        <v>46</v>
      </c>
      <c r="E97" s="7">
        <v>2</v>
      </c>
      <c r="F97" s="7">
        <v>2</v>
      </c>
      <c r="G97" s="7">
        <v>1</v>
      </c>
      <c r="H97" s="10">
        <v>1</v>
      </c>
      <c r="I97" s="10">
        <v>1</v>
      </c>
      <c r="J97" s="10">
        <v>1</v>
      </c>
      <c r="K97" s="10">
        <v>1</v>
      </c>
      <c r="L97" s="10">
        <v>0</v>
      </c>
      <c r="M97" s="10">
        <v>1</v>
      </c>
      <c r="N97" s="10">
        <v>0</v>
      </c>
      <c r="O97" s="10">
        <v>0</v>
      </c>
      <c r="P97" s="10">
        <v>1</v>
      </c>
      <c r="Q97" s="10">
        <v>1</v>
      </c>
      <c r="R97" s="10">
        <v>1</v>
      </c>
      <c r="S97" s="10">
        <v>1</v>
      </c>
      <c r="T97" s="10">
        <v>0</v>
      </c>
      <c r="U97" s="10">
        <v>1</v>
      </c>
      <c r="V97" s="10">
        <v>0</v>
      </c>
      <c r="W97" s="10">
        <v>0</v>
      </c>
      <c r="X97" s="10">
        <v>1</v>
      </c>
      <c r="Y97" s="10">
        <v>1</v>
      </c>
      <c r="Z97" s="10">
        <v>1</v>
      </c>
      <c r="AA97" s="10">
        <v>1</v>
      </c>
      <c r="AB97" s="10">
        <v>0</v>
      </c>
      <c r="AC97" s="10">
        <v>1</v>
      </c>
      <c r="AD97" s="10">
        <v>0</v>
      </c>
      <c r="AE97" s="10">
        <v>0</v>
      </c>
      <c r="AF97" s="9">
        <f t="shared" si="0"/>
        <v>1</v>
      </c>
      <c r="AG97" s="9">
        <f t="shared" si="1"/>
        <v>1</v>
      </c>
      <c r="AH97" s="9">
        <f t="shared" si="2"/>
        <v>0.5</v>
      </c>
      <c r="AI97" s="9">
        <f t="shared" si="3"/>
        <v>0</v>
      </c>
      <c r="AJ97" s="10">
        <v>0</v>
      </c>
      <c r="AK97" s="10">
        <v>0</v>
      </c>
      <c r="AL97" s="10">
        <v>0</v>
      </c>
      <c r="AM97" s="10">
        <v>1</v>
      </c>
      <c r="AN97" s="10">
        <v>20</v>
      </c>
      <c r="AO97" s="10">
        <v>1</v>
      </c>
      <c r="AP97" s="10">
        <v>1</v>
      </c>
    </row>
    <row r="98" spans="1:42" s="4" customFormat="1" ht="15.75" customHeight="1" x14ac:dyDescent="0.35">
      <c r="A98" s="10">
        <v>217</v>
      </c>
      <c r="B98" s="16" t="s">
        <v>45</v>
      </c>
      <c r="C98" s="17" t="s">
        <v>50</v>
      </c>
      <c r="D98" s="16" t="s">
        <v>46</v>
      </c>
      <c r="E98" s="7">
        <v>1</v>
      </c>
      <c r="F98" s="7">
        <v>1</v>
      </c>
      <c r="G98" s="7">
        <v>1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1</v>
      </c>
      <c r="N98" s="10">
        <v>1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1</v>
      </c>
      <c r="V98" s="10">
        <v>1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1</v>
      </c>
      <c r="AD98" s="10">
        <v>1</v>
      </c>
      <c r="AE98" s="10">
        <v>0</v>
      </c>
      <c r="AF98" s="9">
        <f t="shared" si="0"/>
        <v>0</v>
      </c>
      <c r="AG98" s="9">
        <f t="shared" si="1"/>
        <v>0</v>
      </c>
      <c r="AH98" s="9">
        <f t="shared" si="2"/>
        <v>0.5</v>
      </c>
      <c r="AI98" s="9">
        <f t="shared" si="3"/>
        <v>0.5</v>
      </c>
      <c r="AJ98" s="10">
        <v>0</v>
      </c>
      <c r="AK98" s="10">
        <v>0</v>
      </c>
      <c r="AL98" s="10">
        <v>0</v>
      </c>
      <c r="AM98" s="10">
        <v>2</v>
      </c>
      <c r="AN98" s="10">
        <v>21</v>
      </c>
      <c r="AO98" s="10">
        <v>1</v>
      </c>
      <c r="AP98" s="10">
        <v>1</v>
      </c>
    </row>
    <row r="99" spans="1:42" s="4" customFormat="1" ht="15.75" customHeight="1" x14ac:dyDescent="0.35">
      <c r="A99" s="10">
        <v>218</v>
      </c>
      <c r="B99" s="16" t="s">
        <v>45</v>
      </c>
      <c r="C99" s="17" t="s">
        <v>50</v>
      </c>
      <c r="D99" s="16" t="s">
        <v>46</v>
      </c>
      <c r="E99" s="7">
        <v>1</v>
      </c>
      <c r="F99" s="7">
        <v>1</v>
      </c>
      <c r="G99" s="7">
        <v>2</v>
      </c>
      <c r="H99" s="10">
        <v>0</v>
      </c>
      <c r="I99" s="10">
        <v>0</v>
      </c>
      <c r="J99" s="10">
        <v>0</v>
      </c>
      <c r="K99" s="10">
        <v>1</v>
      </c>
      <c r="L99" s="10">
        <v>1</v>
      </c>
      <c r="M99" s="10">
        <v>0</v>
      </c>
      <c r="N99" s="10">
        <v>0</v>
      </c>
      <c r="O99" s="10">
        <v>1</v>
      </c>
      <c r="P99" s="10">
        <v>0</v>
      </c>
      <c r="Q99" s="10">
        <v>0</v>
      </c>
      <c r="R99" s="10">
        <v>0</v>
      </c>
      <c r="S99" s="10">
        <v>1</v>
      </c>
      <c r="T99" s="10">
        <v>1</v>
      </c>
      <c r="U99" s="10">
        <v>0</v>
      </c>
      <c r="V99" s="10">
        <v>0</v>
      </c>
      <c r="W99" s="10">
        <v>1</v>
      </c>
      <c r="X99" s="10">
        <v>0</v>
      </c>
      <c r="Y99" s="10">
        <v>0</v>
      </c>
      <c r="Z99" s="10">
        <v>0</v>
      </c>
      <c r="AA99" s="10">
        <v>1</v>
      </c>
      <c r="AB99" s="10">
        <v>1</v>
      </c>
      <c r="AC99" s="10">
        <v>0</v>
      </c>
      <c r="AD99" s="10">
        <v>0</v>
      </c>
      <c r="AE99" s="10">
        <v>1</v>
      </c>
      <c r="AF99" s="9">
        <f t="shared" si="0"/>
        <v>0</v>
      </c>
      <c r="AG99" s="9">
        <f t="shared" si="1"/>
        <v>0.5</v>
      </c>
      <c r="AH99" s="9">
        <f t="shared" si="2"/>
        <v>0.5</v>
      </c>
      <c r="AI99" s="9">
        <f t="shared" si="3"/>
        <v>0.5</v>
      </c>
      <c r="AJ99" s="10">
        <v>0</v>
      </c>
      <c r="AK99" s="10">
        <v>0</v>
      </c>
      <c r="AL99" s="10">
        <v>0</v>
      </c>
      <c r="AM99" s="10">
        <v>1</v>
      </c>
      <c r="AN99" s="10">
        <v>23</v>
      </c>
      <c r="AO99" s="10">
        <v>2</v>
      </c>
      <c r="AP99" s="10">
        <v>1</v>
      </c>
    </row>
    <row r="100" spans="1:42" s="4" customFormat="1" ht="15.75" customHeight="1" x14ac:dyDescent="0.35">
      <c r="A100" s="10">
        <v>219</v>
      </c>
      <c r="B100" s="16" t="s">
        <v>45</v>
      </c>
      <c r="C100" s="17" t="s">
        <v>50</v>
      </c>
      <c r="D100" s="16" t="s">
        <v>46</v>
      </c>
      <c r="E100" s="7">
        <v>1</v>
      </c>
      <c r="F100" s="7">
        <v>4</v>
      </c>
      <c r="G100" s="7">
        <v>1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9">
        <f t="shared" si="0"/>
        <v>0</v>
      </c>
      <c r="AG100" s="9">
        <f t="shared" si="1"/>
        <v>0</v>
      </c>
      <c r="AH100" s="9">
        <f t="shared" si="2"/>
        <v>0</v>
      </c>
      <c r="AI100" s="9">
        <f t="shared" si="3"/>
        <v>0</v>
      </c>
      <c r="AJ100" s="10">
        <v>0</v>
      </c>
      <c r="AK100" s="10">
        <v>0</v>
      </c>
      <c r="AL100" s="10">
        <v>0</v>
      </c>
      <c r="AM100" s="10">
        <v>2</v>
      </c>
      <c r="AN100" s="10">
        <v>20</v>
      </c>
      <c r="AO100" s="10">
        <v>1</v>
      </c>
      <c r="AP100" s="10">
        <v>1</v>
      </c>
    </row>
    <row r="101" spans="1:42" s="4" customFormat="1" ht="15.75" customHeight="1" x14ac:dyDescent="0.35">
      <c r="A101" s="10">
        <v>220</v>
      </c>
      <c r="B101" s="16" t="s">
        <v>45</v>
      </c>
      <c r="C101" s="17" t="s">
        <v>50</v>
      </c>
      <c r="D101" s="16" t="s">
        <v>46</v>
      </c>
      <c r="E101" s="7">
        <v>2</v>
      </c>
      <c r="F101" s="7">
        <v>3</v>
      </c>
      <c r="G101" s="7">
        <v>2</v>
      </c>
      <c r="H101" s="10">
        <v>0</v>
      </c>
      <c r="I101" s="10">
        <v>0</v>
      </c>
      <c r="J101" s="10">
        <v>0</v>
      </c>
      <c r="K101" s="10">
        <v>0</v>
      </c>
      <c r="L101" s="10">
        <v>1</v>
      </c>
      <c r="M101" s="10">
        <v>0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1</v>
      </c>
      <c r="U101" s="10">
        <v>0</v>
      </c>
      <c r="V101" s="10">
        <v>1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1</v>
      </c>
      <c r="AC101" s="10">
        <v>0</v>
      </c>
      <c r="AD101" s="10">
        <v>1</v>
      </c>
      <c r="AE101" s="10">
        <v>0</v>
      </c>
      <c r="AF101" s="9">
        <f t="shared" si="0"/>
        <v>0</v>
      </c>
      <c r="AG101" s="9">
        <f t="shared" si="1"/>
        <v>0</v>
      </c>
      <c r="AH101" s="9">
        <f t="shared" si="2"/>
        <v>0.5</v>
      </c>
      <c r="AI101" s="9">
        <f t="shared" si="3"/>
        <v>0.5</v>
      </c>
      <c r="AJ101" s="10">
        <v>0</v>
      </c>
      <c r="AK101" s="10">
        <v>0</v>
      </c>
      <c r="AL101" s="10">
        <v>0</v>
      </c>
      <c r="AM101" s="10">
        <v>1</v>
      </c>
      <c r="AN101" s="10">
        <v>20</v>
      </c>
      <c r="AO101" s="10">
        <v>1</v>
      </c>
      <c r="AP101" s="10">
        <v>1</v>
      </c>
    </row>
    <row r="102" spans="1:42" s="4" customFormat="1" ht="15.75" customHeight="1" x14ac:dyDescent="0.35">
      <c r="A102" s="10">
        <v>221</v>
      </c>
      <c r="B102" s="16" t="s">
        <v>45</v>
      </c>
      <c r="C102" s="17" t="s">
        <v>50</v>
      </c>
      <c r="D102" s="16" t="s">
        <v>46</v>
      </c>
      <c r="E102" s="7">
        <v>2</v>
      </c>
      <c r="F102" s="7">
        <v>2</v>
      </c>
      <c r="G102" s="7">
        <v>1</v>
      </c>
      <c r="H102" s="10">
        <v>1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1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9">
        <f t="shared" si="0"/>
        <v>0.5</v>
      </c>
      <c r="AG102" s="9">
        <f t="shared" si="1"/>
        <v>0</v>
      </c>
      <c r="AH102" s="9">
        <f t="shared" si="2"/>
        <v>0</v>
      </c>
      <c r="AI102" s="9">
        <f t="shared" si="3"/>
        <v>0</v>
      </c>
      <c r="AJ102" s="10">
        <v>0</v>
      </c>
      <c r="AK102" s="10">
        <v>0</v>
      </c>
      <c r="AL102" s="10">
        <v>0</v>
      </c>
      <c r="AM102" s="10">
        <v>1</v>
      </c>
      <c r="AN102" s="10">
        <v>18</v>
      </c>
      <c r="AO102" s="10">
        <v>1</v>
      </c>
      <c r="AP102" s="10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39</v>
      </c>
    </row>
    <row r="2" spans="1:3" ht="14.5" x14ac:dyDescent="0.35">
      <c r="A2" s="2"/>
      <c r="B2" s="2" t="s">
        <v>40</v>
      </c>
      <c r="C2" s="2" t="s">
        <v>41</v>
      </c>
    </row>
    <row r="3" spans="1:3" ht="14.5" x14ac:dyDescent="0.35">
      <c r="A3" s="2" t="s">
        <v>42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ht="14.5" x14ac:dyDescent="0.35">
      <c r="A4" s="2" t="s">
        <v>43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ht="14.5" x14ac:dyDescent="0.35">
      <c r="A6" s="1" t="s">
        <v>44</v>
      </c>
    </row>
    <row r="7" spans="1:3" ht="14.5" x14ac:dyDescent="0.35">
      <c r="A7" s="2"/>
      <c r="B7" s="2" t="s">
        <v>40</v>
      </c>
      <c r="C7" s="2" t="s">
        <v>41</v>
      </c>
    </row>
    <row r="8" spans="1:3" ht="14.5" x14ac:dyDescent="0.35">
      <c r="A8" s="2" t="s">
        <v>42</v>
      </c>
      <c r="B8" s="3" t="e">
        <f xml:space="preserve"> AVERAGEIF(#REF!, "Concentration",#REF!)</f>
        <v>#REF!</v>
      </c>
      <c r="C8" s="3" t="e">
        <f xml:space="preserve"> AVERAGEIF(#REF!, "Suppression",#REF!)</f>
        <v>#REF!</v>
      </c>
    </row>
    <row r="9" spans="1:3" ht="14.5" x14ac:dyDescent="0.35">
      <c r="A9" s="2" t="s">
        <v>43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2025-03-21T05:47:39Z</dcterms:modified>
</cp:coreProperties>
</file>