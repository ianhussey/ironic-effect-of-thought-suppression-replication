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RRR Study 1 - cleaned\"/>
    </mc:Choice>
  </mc:AlternateContent>
  <xr:revisionPtr revIDLastSave="0" documentId="13_ncr:1_{54BE457F-2F42-41F2-87AF-6B79E84CAC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jjaYSghgsnTxQmZCdEOnn5lqX2lK7/WbkNAxET+sfo="/>
    </ext>
  </extLst>
</workbook>
</file>

<file path=xl/calcChain.xml><?xml version="1.0" encoding="utf-8"?>
<calcChain xmlns="http://schemas.openxmlformats.org/spreadsheetml/2006/main">
  <c r="AL95" i="3" l="1"/>
  <c r="AE95" i="3"/>
  <c r="AD95" i="3"/>
  <c r="AI95" i="3" s="1"/>
  <c r="AC95" i="3"/>
  <c r="AB95" i="3"/>
  <c r="AA95" i="3"/>
  <c r="Z95" i="3"/>
  <c r="AG95" i="3" s="1"/>
  <c r="Y95" i="3"/>
  <c r="X95" i="3"/>
  <c r="AL94" i="3"/>
  <c r="AE94" i="3"/>
  <c r="AD94" i="3"/>
  <c r="AI94" i="3" s="1"/>
  <c r="AC94" i="3"/>
  <c r="AB94" i="3"/>
  <c r="AA94" i="3"/>
  <c r="Z94" i="3"/>
  <c r="Y94" i="3"/>
  <c r="X94" i="3"/>
  <c r="AL93" i="3"/>
  <c r="AE93" i="3"/>
  <c r="AD93" i="3"/>
  <c r="AB93" i="3"/>
  <c r="AH93" i="3" s="1"/>
  <c r="AA93" i="3"/>
  <c r="AG93" i="3" s="1"/>
  <c r="Y93" i="3"/>
  <c r="X93" i="3"/>
  <c r="AL92" i="3"/>
  <c r="AE92" i="3"/>
  <c r="AD92" i="3"/>
  <c r="AI92" i="3" s="1"/>
  <c r="AC92" i="3"/>
  <c r="AB92" i="3"/>
  <c r="AA92" i="3"/>
  <c r="Z92" i="3"/>
  <c r="AG92" i="3" s="1"/>
  <c r="Y92" i="3"/>
  <c r="X92" i="3"/>
  <c r="AL91" i="3"/>
  <c r="AE91" i="3"/>
  <c r="AD91" i="3"/>
  <c r="AC91" i="3"/>
  <c r="AB91" i="3"/>
  <c r="AH91" i="3" s="1"/>
  <c r="AA91" i="3"/>
  <c r="Z91" i="3"/>
  <c r="Y91" i="3"/>
  <c r="X91" i="3"/>
  <c r="AF91" i="3" s="1"/>
  <c r="AL90" i="3"/>
  <c r="AF90" i="3"/>
  <c r="AE90" i="3"/>
  <c r="AD90" i="3"/>
  <c r="AI90" i="3" s="1"/>
  <c r="AC90" i="3"/>
  <c r="AB90" i="3"/>
  <c r="AA90" i="3"/>
  <c r="Z90" i="3"/>
  <c r="AG90" i="3" s="1"/>
  <c r="AL89" i="3"/>
  <c r="AE89" i="3"/>
  <c r="AD89" i="3"/>
  <c r="AC89" i="3"/>
  <c r="AB89" i="3"/>
  <c r="AA89" i="3"/>
  <c r="Z89" i="3"/>
  <c r="Y89" i="3"/>
  <c r="X89" i="3"/>
  <c r="AL88" i="3"/>
  <c r="AE88" i="3"/>
  <c r="AD88" i="3"/>
  <c r="AC88" i="3"/>
  <c r="AB88" i="3"/>
  <c r="AA88" i="3"/>
  <c r="Z88" i="3"/>
  <c r="Y88" i="3"/>
  <c r="X88" i="3"/>
  <c r="AL87" i="3"/>
  <c r="AE87" i="3"/>
  <c r="AD87" i="3"/>
  <c r="AC87" i="3"/>
  <c r="AB87" i="3"/>
  <c r="Z87" i="3"/>
  <c r="AG87" i="3" s="1"/>
  <c r="Y87" i="3"/>
  <c r="AF87" i="3" s="1"/>
  <c r="AL86" i="3"/>
  <c r="AF86" i="3"/>
  <c r="AE86" i="3"/>
  <c r="AD86" i="3"/>
  <c r="AC86" i="3"/>
  <c r="AB86" i="3"/>
  <c r="AA86" i="3"/>
  <c r="Z86" i="3"/>
  <c r="AL85" i="3"/>
  <c r="AE85" i="3"/>
  <c r="AD85" i="3"/>
  <c r="AC85" i="3"/>
  <c r="AH85" i="3" s="1"/>
  <c r="AA85" i="3"/>
  <c r="AG85" i="3" s="1"/>
  <c r="Y85" i="3"/>
  <c r="X85" i="3"/>
  <c r="AL84" i="3"/>
  <c r="AE84" i="3"/>
  <c r="AD84" i="3"/>
  <c r="AC84" i="3"/>
  <c r="AB84" i="3"/>
  <c r="AA84" i="3"/>
  <c r="Z84" i="3"/>
  <c r="Y84" i="3"/>
  <c r="X84" i="3"/>
  <c r="AL83" i="3"/>
  <c r="AF83" i="3"/>
  <c r="AE83" i="3"/>
  <c r="AD83" i="3"/>
  <c r="AC83" i="3"/>
  <c r="AH83" i="3" s="1"/>
  <c r="AA83" i="3"/>
  <c r="Z83" i="3"/>
  <c r="AL82" i="3"/>
  <c r="AE82" i="3"/>
  <c r="AD82" i="3"/>
  <c r="AC82" i="3"/>
  <c r="AB82" i="3"/>
  <c r="AA82" i="3"/>
  <c r="Z82" i="3"/>
  <c r="Y82" i="3"/>
  <c r="X82" i="3"/>
  <c r="AL81" i="3"/>
  <c r="AD81" i="3"/>
  <c r="AI81" i="3" s="1"/>
  <c r="AC81" i="3"/>
  <c r="AH81" i="3" s="1"/>
  <c r="AA81" i="3"/>
  <c r="AG81" i="3" s="1"/>
  <c r="X81" i="3"/>
  <c r="AF81" i="3" s="1"/>
  <c r="AL80" i="3"/>
  <c r="AE80" i="3"/>
  <c r="AD80" i="3"/>
  <c r="AC80" i="3"/>
  <c r="AB80" i="3"/>
  <c r="AA80" i="3"/>
  <c r="Z80" i="3"/>
  <c r="Y80" i="3"/>
  <c r="X80" i="3"/>
  <c r="AL79" i="3"/>
  <c r="AE79" i="3"/>
  <c r="AD79" i="3"/>
  <c r="AC79" i="3"/>
  <c r="AB79" i="3"/>
  <c r="AH79" i="3" s="1"/>
  <c r="AA79" i="3"/>
  <c r="Z79" i="3"/>
  <c r="Y79" i="3"/>
  <c r="X79" i="3"/>
  <c r="AF79" i="3" s="1"/>
  <c r="AL78" i="3"/>
  <c r="AE78" i="3"/>
  <c r="AI78" i="3" s="1"/>
  <c r="AC78" i="3"/>
  <c r="AB78" i="3"/>
  <c r="AH78" i="3" s="1"/>
  <c r="Z78" i="3"/>
  <c r="AG78" i="3" s="1"/>
  <c r="Y78" i="3"/>
  <c r="X78" i="3"/>
  <c r="AL77" i="3"/>
  <c r="AE77" i="3"/>
  <c r="AD77" i="3"/>
  <c r="AC77" i="3"/>
  <c r="AB77" i="3"/>
  <c r="AH77" i="3" s="1"/>
  <c r="AA77" i="3"/>
  <c r="Z77" i="3"/>
  <c r="Y77" i="3"/>
  <c r="X77" i="3"/>
  <c r="AL76" i="3"/>
  <c r="AE76" i="3"/>
  <c r="AD76" i="3"/>
  <c r="AC76" i="3"/>
  <c r="AB76" i="3"/>
  <c r="AA76" i="3"/>
  <c r="Z76" i="3"/>
  <c r="Y76" i="3"/>
  <c r="X76" i="3"/>
  <c r="AL75" i="3"/>
  <c r="AD75" i="3"/>
  <c r="AI75" i="3" s="1"/>
  <c r="AC75" i="3"/>
  <c r="AB75" i="3"/>
  <c r="AA75" i="3"/>
  <c r="AG75" i="3" s="1"/>
  <c r="Y75" i="3"/>
  <c r="X75" i="3"/>
  <c r="AL74" i="3"/>
  <c r="AE74" i="3"/>
  <c r="AD74" i="3"/>
  <c r="AC74" i="3"/>
  <c r="AB74" i="3"/>
  <c r="AA74" i="3"/>
  <c r="Z74" i="3"/>
  <c r="Y74" i="3"/>
  <c r="X74" i="3"/>
  <c r="AL73" i="3"/>
  <c r="AE73" i="3"/>
  <c r="AD73" i="3"/>
  <c r="AC73" i="3"/>
  <c r="AB73" i="3"/>
  <c r="AA73" i="3"/>
  <c r="Z73" i="3"/>
  <c r="Y73" i="3"/>
  <c r="X73" i="3"/>
  <c r="AL72" i="3"/>
  <c r="AE72" i="3"/>
  <c r="AD72" i="3"/>
  <c r="AC72" i="3"/>
  <c r="AB72" i="3"/>
  <c r="Z72" i="3"/>
  <c r="AG72" i="3" s="1"/>
  <c r="X72" i="3"/>
  <c r="AF72" i="3" s="1"/>
  <c r="AL71" i="3"/>
  <c r="AE71" i="3"/>
  <c r="AD71" i="3"/>
  <c r="AC71" i="3"/>
  <c r="AH71" i="3" s="1"/>
  <c r="Z71" i="3"/>
  <c r="AG71" i="3" s="1"/>
  <c r="Y71" i="3"/>
  <c r="X71" i="3"/>
  <c r="AL70" i="3"/>
  <c r="AE70" i="3"/>
  <c r="AD70" i="3"/>
  <c r="AC70" i="3"/>
  <c r="AB70" i="3"/>
  <c r="AA70" i="3"/>
  <c r="Z70" i="3"/>
  <c r="Y70" i="3"/>
  <c r="X70" i="3"/>
  <c r="AL69" i="3"/>
  <c r="AE69" i="3"/>
  <c r="AD69" i="3"/>
  <c r="AC69" i="3"/>
  <c r="AB69" i="3"/>
  <c r="AA69" i="3"/>
  <c r="Z69" i="3"/>
  <c r="Y69" i="3"/>
  <c r="X69" i="3"/>
  <c r="AL68" i="3"/>
  <c r="AE68" i="3"/>
  <c r="AD68" i="3"/>
  <c r="AC68" i="3"/>
  <c r="AB68" i="3"/>
  <c r="AA68" i="3"/>
  <c r="Z68" i="3"/>
  <c r="Y68" i="3"/>
  <c r="X68" i="3"/>
  <c r="AL67" i="3"/>
  <c r="AE67" i="3"/>
  <c r="AD67" i="3"/>
  <c r="AC67" i="3"/>
  <c r="AH67" i="3" s="1"/>
  <c r="AA67" i="3"/>
  <c r="AG67" i="3" s="1"/>
  <c r="Y67" i="3"/>
  <c r="X67" i="3"/>
  <c r="AL66" i="3"/>
  <c r="AE66" i="3"/>
  <c r="AD66" i="3"/>
  <c r="AC66" i="3"/>
  <c r="AB66" i="3"/>
  <c r="AA66" i="3"/>
  <c r="Z66" i="3"/>
  <c r="Y66" i="3"/>
  <c r="X66" i="3"/>
  <c r="AL65" i="3"/>
  <c r="AE65" i="3"/>
  <c r="AD65" i="3"/>
  <c r="AC65" i="3"/>
  <c r="AB65" i="3"/>
  <c r="AH65" i="3" s="1"/>
  <c r="AA65" i="3"/>
  <c r="AG65" i="3" s="1"/>
  <c r="Y65" i="3"/>
  <c r="AF65" i="3" s="1"/>
  <c r="AL64" i="3"/>
  <c r="AE64" i="3"/>
  <c r="AD64" i="3"/>
  <c r="AC64" i="3"/>
  <c r="AB64" i="3"/>
  <c r="AA64" i="3"/>
  <c r="Z64" i="3"/>
  <c r="X64" i="3"/>
  <c r="AF64" i="3" s="1"/>
  <c r="AL63" i="3"/>
  <c r="AG63" i="3"/>
  <c r="AE63" i="3"/>
  <c r="AD63" i="3"/>
  <c r="AC63" i="3"/>
  <c r="AH63" i="3" s="1"/>
  <c r="Y63" i="3"/>
  <c r="AF63" i="3" s="1"/>
  <c r="AL62" i="3"/>
  <c r="AG62" i="3"/>
  <c r="AE62" i="3"/>
  <c r="AI62" i="3" s="1"/>
  <c r="AC62" i="3"/>
  <c r="AH62" i="3" s="1"/>
  <c r="Y62" i="3"/>
  <c r="X62" i="3"/>
  <c r="AL61" i="3"/>
  <c r="AE61" i="3"/>
  <c r="AD61" i="3"/>
  <c r="AC61" i="3"/>
  <c r="AB61" i="3"/>
  <c r="AA61" i="3"/>
  <c r="Z61" i="3"/>
  <c r="Y61" i="3"/>
  <c r="X61" i="3"/>
  <c r="AL60" i="3"/>
  <c r="AE60" i="3"/>
  <c r="AI60" i="3" s="1"/>
  <c r="AC60" i="3"/>
  <c r="AB60" i="3"/>
  <c r="Z60" i="3"/>
  <c r="AG60" i="3" s="1"/>
  <c r="Y60" i="3"/>
  <c r="X60" i="3"/>
  <c r="AL59" i="3"/>
  <c r="AD59" i="3"/>
  <c r="AI59" i="3" s="1"/>
  <c r="AC59" i="3"/>
  <c r="AB59" i="3"/>
  <c r="AA59" i="3"/>
  <c r="AG59" i="3" s="1"/>
  <c r="Y59" i="3"/>
  <c r="X59" i="3"/>
  <c r="AL58" i="3"/>
  <c r="AE58" i="3"/>
  <c r="AD58" i="3"/>
  <c r="AC58" i="3"/>
  <c r="AB58" i="3"/>
  <c r="AA58" i="3"/>
  <c r="Z58" i="3"/>
  <c r="Y58" i="3"/>
  <c r="X58" i="3"/>
  <c r="AL57" i="3"/>
  <c r="AE57" i="3"/>
  <c r="AD57" i="3"/>
  <c r="AC57" i="3"/>
  <c r="AB57" i="3"/>
  <c r="AA57" i="3"/>
  <c r="Z57" i="3"/>
  <c r="Y57" i="3"/>
  <c r="X57" i="3"/>
  <c r="AF57" i="3" s="1"/>
  <c r="AL56" i="3"/>
  <c r="AD56" i="3"/>
  <c r="AI56" i="3" s="1"/>
  <c r="AC56" i="3"/>
  <c r="AB56" i="3"/>
  <c r="AA56" i="3"/>
  <c r="Z56" i="3"/>
  <c r="Y56" i="3"/>
  <c r="X56" i="3"/>
  <c r="AL55" i="3"/>
  <c r="AE55" i="3"/>
  <c r="AD55" i="3"/>
  <c r="AB55" i="3"/>
  <c r="AH55" i="3" s="1"/>
  <c r="AA55" i="3"/>
  <c r="AG55" i="3" s="1"/>
  <c r="Y55" i="3"/>
  <c r="X55" i="3"/>
  <c r="AF55" i="3" s="1"/>
  <c r="AL54" i="3"/>
  <c r="AE54" i="3"/>
  <c r="AI54" i="3" s="1"/>
  <c r="AC54" i="3"/>
  <c r="AB54" i="3"/>
  <c r="AA54" i="3"/>
  <c r="Z54" i="3"/>
  <c r="X54" i="3"/>
  <c r="AF54" i="3" s="1"/>
  <c r="AL53" i="3"/>
  <c r="AE53" i="3"/>
  <c r="AD53" i="3"/>
  <c r="AC53" i="3"/>
  <c r="AB53" i="3"/>
  <c r="AA53" i="3"/>
  <c r="Z53" i="3"/>
  <c r="Y53" i="3"/>
  <c r="X53" i="3"/>
  <c r="AL52" i="3"/>
  <c r="AE52" i="3"/>
  <c r="AD52" i="3"/>
  <c r="AC52" i="3"/>
  <c r="AB52" i="3"/>
  <c r="AA52" i="3"/>
  <c r="Z52" i="3"/>
  <c r="Y52" i="3"/>
  <c r="X52" i="3"/>
  <c r="AL51" i="3"/>
  <c r="AE51" i="3"/>
  <c r="AD51" i="3"/>
  <c r="AC51" i="3"/>
  <c r="AB51" i="3"/>
  <c r="AA51" i="3"/>
  <c r="AG51" i="3" s="1"/>
  <c r="Y51" i="3"/>
  <c r="AF51" i="3" s="1"/>
  <c r="AL50" i="3"/>
  <c r="AG50" i="3"/>
  <c r="AE50" i="3"/>
  <c r="AD50" i="3"/>
  <c r="AI50" i="3" s="1"/>
  <c r="AC50" i="3"/>
  <c r="AH50" i="3" s="1"/>
  <c r="X50" i="3"/>
  <c r="AF50" i="3" s="1"/>
  <c r="AL49" i="3"/>
  <c r="AF49" i="3"/>
  <c r="AE49" i="3"/>
  <c r="AI49" i="3" s="1"/>
  <c r="AC49" i="3"/>
  <c r="AH49" i="3" s="1"/>
  <c r="AA49" i="3"/>
  <c r="Z49" i="3"/>
  <c r="AL48" i="3"/>
  <c r="AD48" i="3"/>
  <c r="AI48" i="3" s="1"/>
  <c r="AC48" i="3"/>
  <c r="AB48" i="3"/>
  <c r="AA48" i="3"/>
  <c r="Z48" i="3"/>
  <c r="X48" i="3"/>
  <c r="AF48" i="3" s="1"/>
  <c r="AL47" i="3"/>
  <c r="AE47" i="3"/>
  <c r="AD47" i="3"/>
  <c r="AC47" i="3"/>
  <c r="AB47" i="3"/>
  <c r="AA47" i="3"/>
  <c r="Z47" i="3"/>
  <c r="Y47" i="3"/>
  <c r="X47" i="3"/>
  <c r="AL46" i="3"/>
  <c r="AG46" i="3"/>
  <c r="AD46" i="3"/>
  <c r="AI46" i="3" s="1"/>
  <c r="AC46" i="3"/>
  <c r="AH46" i="3" s="1"/>
  <c r="Y46" i="3"/>
  <c r="X46" i="3"/>
  <c r="AL45" i="3"/>
  <c r="AD45" i="3"/>
  <c r="AI45" i="3" s="1"/>
  <c r="AC45" i="3"/>
  <c r="AB45" i="3"/>
  <c r="AA45" i="3"/>
  <c r="AG45" i="3" s="1"/>
  <c r="Y45" i="3"/>
  <c r="X45" i="3"/>
  <c r="AL44" i="3"/>
  <c r="AE44" i="3"/>
  <c r="AD44" i="3"/>
  <c r="AC44" i="3"/>
  <c r="AB44" i="3"/>
  <c r="AA44" i="3"/>
  <c r="Z44" i="3"/>
  <c r="Y44" i="3"/>
  <c r="X44" i="3"/>
  <c r="AL43" i="3"/>
  <c r="AE43" i="3"/>
  <c r="AD43" i="3"/>
  <c r="AC43" i="3"/>
  <c r="AB43" i="3"/>
  <c r="AA43" i="3"/>
  <c r="Z43" i="3"/>
  <c r="Y43" i="3"/>
  <c r="X43" i="3"/>
  <c r="AL42" i="3"/>
  <c r="AF42" i="3"/>
  <c r="AE42" i="3"/>
  <c r="AD42" i="3"/>
  <c r="AC42" i="3"/>
  <c r="AB42" i="3"/>
  <c r="AA42" i="3"/>
  <c r="Z42" i="3"/>
  <c r="AL41" i="3"/>
  <c r="AF41" i="3"/>
  <c r="AE41" i="3"/>
  <c r="AD41" i="3"/>
  <c r="AC41" i="3"/>
  <c r="AB41" i="3"/>
  <c r="AA41" i="3"/>
  <c r="Z41" i="3"/>
  <c r="AL40" i="3"/>
  <c r="AE40" i="3"/>
  <c r="AD40" i="3"/>
  <c r="AC40" i="3"/>
  <c r="AB40" i="3"/>
  <c r="AA40" i="3"/>
  <c r="Z40" i="3"/>
  <c r="Y40" i="3"/>
  <c r="AL39" i="3"/>
  <c r="AE39" i="3"/>
  <c r="AD39" i="3"/>
  <c r="AC39" i="3"/>
  <c r="AH39" i="3" s="1"/>
  <c r="Z39" i="3"/>
  <c r="AG39" i="3" s="1"/>
  <c r="Y39" i="3"/>
  <c r="X39" i="3"/>
  <c r="AL38" i="3"/>
  <c r="AE38" i="3"/>
  <c r="AD38" i="3"/>
  <c r="AC38" i="3"/>
  <c r="AB38" i="3"/>
  <c r="AA38" i="3"/>
  <c r="Z38" i="3"/>
  <c r="Y38" i="3"/>
  <c r="X38" i="3"/>
  <c r="AL37" i="3"/>
  <c r="AE37" i="3"/>
  <c r="AD37" i="3"/>
  <c r="AC37" i="3"/>
  <c r="AB37" i="3"/>
  <c r="AA37" i="3"/>
  <c r="Z37" i="3"/>
  <c r="Y37" i="3"/>
  <c r="X37" i="3"/>
  <c r="AL36" i="3"/>
  <c r="AE36" i="3"/>
  <c r="AD36" i="3"/>
  <c r="AC36" i="3"/>
  <c r="AB36" i="3"/>
  <c r="AA36" i="3"/>
  <c r="Z36" i="3"/>
  <c r="Y36" i="3"/>
  <c r="X36" i="3"/>
  <c r="AL35" i="3"/>
  <c r="AE35" i="3"/>
  <c r="AD35" i="3"/>
  <c r="AC35" i="3"/>
  <c r="AB35" i="3"/>
  <c r="AA35" i="3"/>
  <c r="Z35" i="3"/>
  <c r="Y35" i="3"/>
  <c r="X35" i="3"/>
  <c r="AL34" i="3"/>
  <c r="AE34" i="3"/>
  <c r="AD34" i="3"/>
  <c r="AC34" i="3"/>
  <c r="AB34" i="3"/>
  <c r="AA34" i="3"/>
  <c r="Z34" i="3"/>
  <c r="Y34" i="3"/>
  <c r="X34" i="3"/>
  <c r="AL33" i="3"/>
  <c r="AE33" i="3"/>
  <c r="AD33" i="3"/>
  <c r="AC33" i="3"/>
  <c r="AB33" i="3"/>
  <c r="AA33" i="3"/>
  <c r="Z33" i="3"/>
  <c r="Y33" i="3"/>
  <c r="X33" i="3"/>
  <c r="AL32" i="3"/>
  <c r="AG32" i="3"/>
  <c r="AD32" i="3"/>
  <c r="AI32" i="3" s="1"/>
  <c r="AC32" i="3"/>
  <c r="AB32" i="3"/>
  <c r="Y32" i="3"/>
  <c r="AF32" i="3" s="1"/>
  <c r="AL31" i="3"/>
  <c r="AG31" i="3"/>
  <c r="AE31" i="3"/>
  <c r="AI31" i="3" s="1"/>
  <c r="AC31" i="3"/>
  <c r="AB31" i="3"/>
  <c r="X31" i="3"/>
  <c r="AF31" i="3" s="1"/>
  <c r="AL30" i="3"/>
  <c r="AE30" i="3"/>
  <c r="AD30" i="3"/>
  <c r="AI30" i="3" s="1"/>
  <c r="AC30" i="3"/>
  <c r="AB30" i="3"/>
  <c r="AA30" i="3"/>
  <c r="Z30" i="3"/>
  <c r="Y30" i="3"/>
  <c r="X30" i="3"/>
  <c r="AL29" i="3"/>
  <c r="AE29" i="3"/>
  <c r="AD29" i="3"/>
  <c r="AC29" i="3"/>
  <c r="AB29" i="3"/>
  <c r="AA29" i="3"/>
  <c r="Z29" i="3"/>
  <c r="Y29" i="3"/>
  <c r="X29" i="3"/>
  <c r="AL28" i="3"/>
  <c r="AE28" i="3"/>
  <c r="AD28" i="3"/>
  <c r="AC28" i="3"/>
  <c r="AB28" i="3"/>
  <c r="AA28" i="3"/>
  <c r="Z28" i="3"/>
  <c r="Y28" i="3"/>
  <c r="X28" i="3"/>
  <c r="AL27" i="3"/>
  <c r="AE27" i="3"/>
  <c r="AD27" i="3"/>
  <c r="AC27" i="3"/>
  <c r="AB27" i="3"/>
  <c r="AA27" i="3"/>
  <c r="Z27" i="3"/>
  <c r="Y27" i="3"/>
  <c r="X27" i="3"/>
  <c r="AL26" i="3"/>
  <c r="AE26" i="3"/>
  <c r="AI26" i="3" s="1"/>
  <c r="AC26" i="3"/>
  <c r="AB26" i="3"/>
  <c r="Z26" i="3"/>
  <c r="AG26" i="3" s="1"/>
  <c r="Y26" i="3"/>
  <c r="X26" i="3"/>
  <c r="AL25" i="3"/>
  <c r="AE25" i="3"/>
  <c r="AD25" i="3"/>
  <c r="AC25" i="3"/>
  <c r="AB25" i="3"/>
  <c r="AA25" i="3"/>
  <c r="Z25" i="3"/>
  <c r="Y25" i="3"/>
  <c r="X25" i="3"/>
  <c r="AL24" i="3"/>
  <c r="AE24" i="3"/>
  <c r="AD24" i="3"/>
  <c r="AC24" i="3"/>
  <c r="AB24" i="3"/>
  <c r="AA24" i="3"/>
  <c r="Z24" i="3"/>
  <c r="X24" i="3"/>
  <c r="AF24" i="3" s="1"/>
  <c r="AL23" i="3"/>
  <c r="AG23" i="3"/>
  <c r="AF23" i="3"/>
  <c r="AE23" i="3"/>
  <c r="AI23" i="3" s="1"/>
  <c r="AC23" i="3"/>
  <c r="AH23" i="3" s="1"/>
  <c r="AL22" i="3"/>
  <c r="AG22" i="3"/>
  <c r="AE22" i="3"/>
  <c r="AD22" i="3"/>
  <c r="AB22" i="3"/>
  <c r="AH22" i="3" s="1"/>
  <c r="X22" i="3"/>
  <c r="AF22" i="3" s="1"/>
  <c r="AL21" i="3"/>
  <c r="AE21" i="3"/>
  <c r="AD21" i="3"/>
  <c r="AC21" i="3"/>
  <c r="AB21" i="3"/>
  <c r="AA21" i="3"/>
  <c r="Z21" i="3"/>
  <c r="Y21" i="3"/>
  <c r="X21" i="3"/>
  <c r="AL20" i="3"/>
  <c r="AE20" i="3"/>
  <c r="AD20" i="3"/>
  <c r="AC20" i="3"/>
  <c r="AB20" i="3"/>
  <c r="AA20" i="3"/>
  <c r="Z20" i="3"/>
  <c r="Y20" i="3"/>
  <c r="X20" i="3"/>
  <c r="AL19" i="3"/>
  <c r="AE19" i="3"/>
  <c r="AD19" i="3"/>
  <c r="AC19" i="3"/>
  <c r="AB19" i="3"/>
  <c r="AA19" i="3"/>
  <c r="Z19" i="3"/>
  <c r="Y19" i="3"/>
  <c r="X19" i="3"/>
  <c r="AL18" i="3"/>
  <c r="AE18" i="3"/>
  <c r="AD18" i="3"/>
  <c r="AC18" i="3"/>
  <c r="AB18" i="3"/>
  <c r="AA18" i="3"/>
  <c r="Z18" i="3"/>
  <c r="Y18" i="3"/>
  <c r="X18" i="3"/>
  <c r="AL17" i="3"/>
  <c r="AE17" i="3"/>
  <c r="AD17" i="3"/>
  <c r="AC17" i="3"/>
  <c r="AB17" i="3"/>
  <c r="AA17" i="3"/>
  <c r="Z17" i="3"/>
  <c r="Y17" i="3"/>
  <c r="X17" i="3"/>
  <c r="AL16" i="3"/>
  <c r="AE16" i="3"/>
  <c r="AI16" i="3" s="1"/>
  <c r="AC16" i="3"/>
  <c r="AB16" i="3"/>
  <c r="AA16" i="3"/>
  <c r="AG16" i="3" s="1"/>
  <c r="Y16" i="3"/>
  <c r="X16" i="3"/>
  <c r="AF16" i="3" s="1"/>
  <c r="AL15" i="3"/>
  <c r="AE15" i="3"/>
  <c r="AI15" i="3" s="1"/>
  <c r="AB15" i="3"/>
  <c r="AH15" i="3" s="1"/>
  <c r="Z15" i="3"/>
  <c r="AG15" i="3" s="1"/>
  <c r="Y15" i="3"/>
  <c r="AF15" i="3" s="1"/>
  <c r="AL14" i="3"/>
  <c r="AE14" i="3"/>
  <c r="AD14" i="3"/>
  <c r="AC14" i="3"/>
  <c r="AB14" i="3"/>
  <c r="AA14" i="3"/>
  <c r="Z14" i="3"/>
  <c r="Y14" i="3"/>
  <c r="X14" i="3"/>
  <c r="AL13" i="3"/>
  <c r="AE13" i="3"/>
  <c r="AD13" i="3"/>
  <c r="AC13" i="3"/>
  <c r="AB13" i="3"/>
  <c r="AA13" i="3"/>
  <c r="Z13" i="3"/>
  <c r="Y13" i="3"/>
  <c r="X13" i="3"/>
  <c r="AL12" i="3"/>
  <c r="AE12" i="3"/>
  <c r="AD12" i="3"/>
  <c r="AC12" i="3"/>
  <c r="AB12" i="3"/>
  <c r="AA12" i="3"/>
  <c r="Z12" i="3"/>
  <c r="Y12" i="3"/>
  <c r="X12" i="3"/>
  <c r="AL11" i="3"/>
  <c r="AD11" i="3"/>
  <c r="AI11" i="3" s="1"/>
  <c r="AC11" i="3"/>
  <c r="AB11" i="3"/>
  <c r="AA11" i="3"/>
  <c r="AG11" i="3" s="1"/>
  <c r="Y11" i="3"/>
  <c r="X11" i="3"/>
  <c r="AL10" i="3"/>
  <c r="AE10" i="3"/>
  <c r="AD10" i="3"/>
  <c r="AC10" i="3"/>
  <c r="AB10" i="3"/>
  <c r="AA10" i="3"/>
  <c r="Z10" i="3"/>
  <c r="Y10" i="3"/>
  <c r="X10" i="3"/>
  <c r="AL9" i="3"/>
  <c r="AE9" i="3"/>
  <c r="AD9" i="3"/>
  <c r="AB9" i="3"/>
  <c r="AH9" i="3" s="1"/>
  <c r="AA9" i="3"/>
  <c r="AG9" i="3" s="1"/>
  <c r="Y9" i="3"/>
  <c r="X9" i="3"/>
  <c r="AL8" i="3"/>
  <c r="AF8" i="3"/>
  <c r="AE8" i="3"/>
  <c r="AD8" i="3"/>
  <c r="AC8" i="3"/>
  <c r="AB8" i="3"/>
  <c r="AA8" i="3"/>
  <c r="Z8" i="3"/>
  <c r="AL7" i="3"/>
  <c r="AE7" i="3"/>
  <c r="AI7" i="3" s="1"/>
  <c r="AC7" i="3"/>
  <c r="AB7" i="3"/>
  <c r="AA7" i="3"/>
  <c r="AG7" i="3" s="1"/>
  <c r="Y7" i="3"/>
  <c r="X7" i="3"/>
  <c r="AL6" i="3"/>
  <c r="AE6" i="3"/>
  <c r="AD6" i="3"/>
  <c r="AC6" i="3"/>
  <c r="AB6" i="3"/>
  <c r="AA6" i="3"/>
  <c r="Z6" i="3"/>
  <c r="Y6" i="3"/>
  <c r="X6" i="3"/>
  <c r="AL5" i="3"/>
  <c r="AE5" i="3"/>
  <c r="AD5" i="3"/>
  <c r="AB5" i="3"/>
  <c r="AA5" i="3"/>
  <c r="Z5" i="3"/>
  <c r="Y5" i="3"/>
  <c r="AL4" i="3"/>
  <c r="AE4" i="3"/>
  <c r="AD4" i="3"/>
  <c r="AB4" i="3"/>
  <c r="AH4" i="3" s="1"/>
  <c r="Z4" i="3"/>
  <c r="AG4" i="3" s="1"/>
  <c r="Y4" i="3"/>
  <c r="X4" i="3"/>
  <c r="AL3" i="3"/>
  <c r="AE3" i="3"/>
  <c r="AD3" i="3"/>
  <c r="AC3" i="3"/>
  <c r="AB3" i="3"/>
  <c r="AA3" i="3"/>
  <c r="Z3" i="3"/>
  <c r="Y3" i="3"/>
  <c r="X3" i="3"/>
  <c r="AL2" i="3"/>
  <c r="AE2" i="3"/>
  <c r="AD2" i="3"/>
  <c r="AC2" i="3"/>
  <c r="AB2" i="3"/>
  <c r="AA2" i="3"/>
  <c r="Z2" i="3"/>
  <c r="Y2" i="3"/>
  <c r="X2" i="3"/>
  <c r="C9" i="2"/>
  <c r="B9" i="2"/>
  <c r="C8" i="2"/>
  <c r="B8" i="2"/>
  <c r="C4" i="2"/>
  <c r="B4" i="2"/>
  <c r="C3" i="2"/>
  <c r="B3" i="2"/>
  <c r="AH56" i="3" l="1"/>
  <c r="AF77" i="3"/>
  <c r="AI91" i="3"/>
  <c r="AF3" i="3"/>
  <c r="AH90" i="3"/>
  <c r="AG57" i="3"/>
  <c r="AH57" i="3"/>
  <c r="AH3" i="3"/>
  <c r="AF5" i="3"/>
  <c r="AG36" i="3"/>
  <c r="AI44" i="3"/>
  <c r="AG58" i="3"/>
  <c r="AG94" i="3"/>
  <c r="AG13" i="3"/>
  <c r="AI38" i="3"/>
  <c r="AH51" i="3"/>
  <c r="AG54" i="3"/>
  <c r="AH75" i="3"/>
  <c r="AI9" i="3"/>
  <c r="AI14" i="3"/>
  <c r="AG25" i="3"/>
  <c r="AI25" i="3"/>
  <c r="AG27" i="3"/>
  <c r="AG33" i="3"/>
  <c r="AF39" i="3"/>
  <c r="AG42" i="3"/>
  <c r="AF43" i="3"/>
  <c r="AG52" i="3"/>
  <c r="AF67" i="3"/>
  <c r="AH73" i="3"/>
  <c r="AG10" i="3"/>
  <c r="AI10" i="3"/>
  <c r="AF14" i="3"/>
  <c r="AH14" i="3"/>
  <c r="AG28" i="3"/>
  <c r="AI27" i="3"/>
  <c r="AI43" i="3"/>
  <c r="AH47" i="3"/>
  <c r="AI51" i="3"/>
  <c r="AI55" i="3"/>
  <c r="AH60" i="3"/>
  <c r="AH64" i="3"/>
  <c r="AG70" i="3"/>
  <c r="AG74" i="3"/>
  <c r="AG76" i="3"/>
  <c r="AI76" i="3"/>
  <c r="AG89" i="3"/>
  <c r="AH5" i="3"/>
  <c r="AI13" i="3"/>
  <c r="AH16" i="3"/>
  <c r="AG18" i="3"/>
  <c r="AI18" i="3"/>
  <c r="AI67" i="3"/>
  <c r="AG2" i="3"/>
  <c r="AG29" i="3"/>
  <c r="AI34" i="3"/>
  <c r="AG37" i="3"/>
  <c r="AI37" i="3"/>
  <c r="AF44" i="3"/>
  <c r="AH44" i="3"/>
  <c r="AF46" i="3"/>
  <c r="AG47" i="3"/>
  <c r="AI47" i="3"/>
  <c r="AI63" i="3"/>
  <c r="AI64" i="3"/>
  <c r="AI65" i="3"/>
  <c r="AI68" i="3"/>
  <c r="AF70" i="3"/>
  <c r="AH70" i="3"/>
  <c r="AI72" i="3"/>
  <c r="AF74" i="3"/>
  <c r="AH74" i="3"/>
  <c r="AH8" i="3"/>
  <c r="AI21" i="3"/>
  <c r="AI24" i="3"/>
  <c r="AH36" i="3"/>
  <c r="AH43" i="3"/>
  <c r="AH48" i="3"/>
  <c r="AH69" i="3"/>
  <c r="AF78" i="3"/>
  <c r="AG82" i="3"/>
  <c r="AI85" i="3"/>
  <c r="AI89" i="3"/>
  <c r="AG3" i="3"/>
  <c r="AI4" i="3"/>
  <c r="AF7" i="3"/>
  <c r="AG8" i="3"/>
  <c r="AI8" i="3"/>
  <c r="AH10" i="3"/>
  <c r="AF12" i="3"/>
  <c r="AH12" i="3"/>
  <c r="AG19" i="3"/>
  <c r="AF21" i="3"/>
  <c r="AH21" i="3"/>
  <c r="AH24" i="3"/>
  <c r="AG48" i="3"/>
  <c r="AG53" i="3"/>
  <c r="AG56" i="3"/>
  <c r="AF60" i="3"/>
  <c r="AH72" i="3"/>
  <c r="AG73" i="3"/>
  <c r="AI73" i="3"/>
  <c r="AG91" i="3"/>
  <c r="AF92" i="3"/>
  <c r="AH92" i="3"/>
  <c r="AF94" i="3"/>
  <c r="AH94" i="3"/>
  <c r="AF2" i="3"/>
  <c r="AH2" i="3"/>
  <c r="AI6" i="3"/>
  <c r="AH18" i="3"/>
  <c r="AG20" i="3"/>
  <c r="AI20" i="3"/>
  <c r="AH25" i="3"/>
  <c r="AH27" i="3"/>
  <c r="AI29" i="3"/>
  <c r="AF30" i="3"/>
  <c r="AH30" i="3"/>
  <c r="AH35" i="3"/>
  <c r="AH41" i="3"/>
  <c r="AF45" i="3"/>
  <c r="AF52" i="3"/>
  <c r="AH52" i="3"/>
  <c r="AF59" i="3"/>
  <c r="AG61" i="3"/>
  <c r="AH66" i="3"/>
  <c r="AF68" i="3"/>
  <c r="AH68" i="3"/>
  <c r="AG69" i="3"/>
  <c r="AI69" i="3"/>
  <c r="AG80" i="3"/>
  <c r="AI80" i="3"/>
  <c r="AF82" i="3"/>
  <c r="AH82" i="3"/>
  <c r="AI83" i="3"/>
  <c r="AH84" i="3"/>
  <c r="AF89" i="3"/>
  <c r="AH89" i="3"/>
  <c r="AF93" i="3"/>
  <c r="AI93" i="3"/>
  <c r="AF95" i="3"/>
  <c r="AH95" i="3"/>
  <c r="AH11" i="3"/>
  <c r="AI17" i="3"/>
  <c r="AH31" i="3"/>
  <c r="AI33" i="3"/>
  <c r="AF34" i="3"/>
  <c r="AH34" i="3"/>
  <c r="AG35" i="3"/>
  <c r="AI35" i="3"/>
  <c r="AF36" i="3"/>
  <c r="AF38" i="3"/>
  <c r="AH38" i="3"/>
  <c r="AI40" i="3"/>
  <c r="AG49" i="3"/>
  <c r="AI58" i="3"/>
  <c r="AF61" i="3"/>
  <c r="AH61" i="3"/>
  <c r="AG64" i="3"/>
  <c r="AI66" i="3"/>
  <c r="AG84" i="3"/>
  <c r="AI84" i="3"/>
  <c r="AF85" i="3"/>
  <c r="AG86" i="3"/>
  <c r="AI86" i="3"/>
  <c r="AI87" i="3"/>
  <c r="AF88" i="3"/>
  <c r="AH88" i="3"/>
  <c r="AI2" i="3"/>
  <c r="AG5" i="3"/>
  <c r="AI5" i="3"/>
  <c r="AF6" i="3"/>
  <c r="AF9" i="3"/>
  <c r="AG12" i="3"/>
  <c r="AI12" i="3"/>
  <c r="AG14" i="3"/>
  <c r="AF17" i="3"/>
  <c r="AH17" i="3"/>
  <c r="AF25" i="3"/>
  <c r="AH28" i="3"/>
  <c r="AH32" i="3"/>
  <c r="AI39" i="3"/>
  <c r="AF40" i="3"/>
  <c r="AH40" i="3"/>
  <c r="AG43" i="3"/>
  <c r="AF47" i="3"/>
  <c r="AI53" i="3"/>
  <c r="AF56" i="3"/>
  <c r="AI57" i="3"/>
  <c r="AF58" i="3"/>
  <c r="AH58" i="3"/>
  <c r="AH59" i="3"/>
  <c r="AF66" i="3"/>
  <c r="AG68" i="3"/>
  <c r="AF69" i="3"/>
  <c r="AI70" i="3"/>
  <c r="AF71" i="3"/>
  <c r="AI71" i="3"/>
  <c r="AF73" i="3"/>
  <c r="AI74" i="3"/>
  <c r="AF75" i="3"/>
  <c r="AF76" i="3"/>
  <c r="AH76" i="3"/>
  <c r="AG77" i="3"/>
  <c r="AI77" i="3"/>
  <c r="AF80" i="3"/>
  <c r="AH80" i="3"/>
  <c r="AI3" i="3"/>
  <c r="AF4" i="3"/>
  <c r="AH7" i="3"/>
  <c r="AF10" i="3"/>
  <c r="AF18" i="3"/>
  <c r="AI19" i="3"/>
  <c r="AF20" i="3"/>
  <c r="AH20" i="3"/>
  <c r="AI22" i="3"/>
  <c r="AH26" i="3"/>
  <c r="AF27" i="3"/>
  <c r="AI28" i="3"/>
  <c r="AF29" i="3"/>
  <c r="AH29" i="3"/>
  <c r="AG30" i="3"/>
  <c r="AF33" i="3"/>
  <c r="AH33" i="3"/>
  <c r="AG34" i="3"/>
  <c r="AF35" i="3"/>
  <c r="AI36" i="3"/>
  <c r="AF37" i="3"/>
  <c r="AH37" i="3"/>
  <c r="AG41" i="3"/>
  <c r="AI41" i="3"/>
  <c r="AI42" i="3"/>
  <c r="AG44" i="3"/>
  <c r="AH45" i="3"/>
  <c r="AI52" i="3"/>
  <c r="AF53" i="3"/>
  <c r="AH53" i="3"/>
  <c r="AH54" i="3"/>
  <c r="AI61" i="3"/>
  <c r="AF62" i="3"/>
  <c r="AG79" i="3"/>
  <c r="AI79" i="3"/>
  <c r="AI82" i="3"/>
  <c r="AG83" i="3"/>
  <c r="AF84" i="3"/>
  <c r="AH86" i="3"/>
  <c r="AH87" i="3"/>
  <c r="AG88" i="3"/>
  <c r="AI88" i="3"/>
  <c r="AG6" i="3"/>
  <c r="AF13" i="3"/>
  <c r="AH13" i="3"/>
  <c r="AG17" i="3"/>
  <c r="AG21" i="3"/>
  <c r="AF26" i="3"/>
  <c r="AG38" i="3"/>
  <c r="AH42" i="3"/>
  <c r="AH6" i="3"/>
  <c r="AF11" i="3"/>
  <c r="AF19" i="3"/>
  <c r="AH19" i="3"/>
  <c r="AG24" i="3"/>
  <c r="AF28" i="3"/>
  <c r="AG40" i="3"/>
  <c r="AG66" i="3"/>
</calcChain>
</file>

<file path=xl/sharedStrings.xml><?xml version="1.0" encoding="utf-8"?>
<sst xmlns="http://schemas.openxmlformats.org/spreadsheetml/2006/main" count="340" uniqueCount="55">
  <si>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</si>
  <si>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</si>
  <si>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</si>
  <si>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</si>
  <si>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</si>
  <si>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</si>
  <si>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</si>
  <si>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</si>
  <si>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</si>
  <si>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</si>
  <si>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</si>
  <si>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</si>
  <si>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</si>
  <si>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</si>
  <si>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</si>
  <si>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</si>
  <si>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</si>
  <si>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</si>
  <si>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</si>
  <si>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</si>
  <si>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</si>
  <si>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</si>
  <si>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</si>
  <si>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</si>
  <si>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</si>
  <si>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</si>
  <si>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</si>
  <si>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</si>
  <si>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</si>
  <si>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</si>
  <si>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</si>
  <si>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</si>
  <si>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</si>
  <si>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</si>
  <si>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</si>
  <si>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</si>
  <si>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</si>
  <si>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</si>
  <si>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</si>
  <si>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</si>
  <si>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</si>
  <si>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</si>
  <si>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</si>
  <si>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</si>
  <si>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</si>
  <si>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95 to 110: No data. I assumed extra rows were created in case more data was going to be collected. These rows are now deleted</t>
  </si>
  <si>
    <t>2 rows after 110:  No data. I assumed extra rows were created in case more data was going to be collected. These rows are now deleted</t>
  </si>
  <si>
    <t>Researcher</t>
  </si>
  <si>
    <t>Lab</t>
  </si>
  <si>
    <t>Country</t>
  </si>
  <si>
    <t xml:space="preserve">Ed Hirt </t>
  </si>
  <si>
    <t>USA</t>
  </si>
  <si>
    <t>Indiana University</t>
  </si>
  <si>
    <t>Some coders did not agree. The lab made these blank cells. I made these blank cells NA.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</si>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</sst>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6" fillId="0" borderId="0" xfId="0" applyFont="1"/>
    <xf numFmtId="0" fontId="3" fillId="0" borderId="0" xfId="0" applyFont="1"/>
    <xf numFmtId="2" fontId="4" fillId="0" borderId="0" xfId="0" applyNumberFormat="1" applyFont="1"/>
    <xf numFmtId="0" fontId="0" fillId="0" borderId="0" xfId="0" applyFont="1" applyAlignment="1"/>
    <xf numFmtId="0" fontId="5" fillId="0" borderId="1" xfId="0" applyFont="1" applyFill="1" applyBorder="1" applyAlignment="1"/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7" fillId="0" borderId="1" xfId="0" applyFont="1" applyFill="1" applyBorder="1" applyAlignment="1"/>
    <xf numFmtId="2" fontId="7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0" fontId="4" fillId="0" borderId="1" xfId="0" applyFont="1" applyBorder="1"/>
    <xf numFmtId="0" fontId="0" fillId="0" borderId="1" xfId="0" applyFont="1" applyBorder="1" applyAlignment="1"/>
    <xf numFmtId="0" fontId="2" fillId="0" borderId="1" xfId="0" applyFont="1" applyBorder="1"/>
    <xf numFmtId="0" fontId="1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666666"/>
          <bgColor rgb="FF666666"/>
        </patternFill>
      </fill>
    </dxf>
    <dxf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5"/>
  <sheetViews>
    <sheetView tabSelected="1" topLeftCell="AB66" zoomScale="52" zoomScaleNormal="52" workbookViewId="0">
      <selection activeCell="AU103" sqref="AU103"/>
    </sheetView>
  </sheetViews>
  <sheetFormatPr defaultColWidth="14.453125" defaultRowHeight="15" customHeight="1" x14ac:dyDescent="0.35"/>
  <cols>
    <col min="1" max="1" width="11.81640625" customWidth="1"/>
    <col min="2" max="4" width="11.81640625" style="4" customWidth="1"/>
    <col min="5" max="5" width="12.81640625" customWidth="1"/>
    <col min="6" max="6" width="13.81640625" customWidth="1"/>
    <col min="7" max="7" width="21.1796875" customWidth="1"/>
    <col min="8" max="8" width="20.7265625" customWidth="1"/>
    <col min="9" max="9" width="20.453125" customWidth="1"/>
    <col min="10" max="10" width="21" customWidth="1"/>
    <col min="11" max="11" width="20.81640625" customWidth="1"/>
    <col min="12" max="12" width="24" customWidth="1"/>
    <col min="13" max="13" width="23.7265625" customWidth="1"/>
    <col min="14" max="14" width="24.7265625" customWidth="1"/>
    <col min="15" max="15" width="25.26953125" customWidth="1"/>
    <col min="16" max="16" width="21" customWidth="1"/>
    <col min="17" max="17" width="20.7265625" customWidth="1"/>
    <col min="18" max="19" width="21.453125" customWidth="1"/>
    <col min="20" max="20" width="24.453125" customWidth="1"/>
    <col min="21" max="21" width="24.7265625" customWidth="1"/>
    <col min="22" max="22" width="25.26953125" customWidth="1"/>
    <col min="23" max="23" width="25.7265625" customWidth="1"/>
    <col min="24" max="25" width="18.453125" customWidth="1"/>
    <col min="26" max="27" width="19.1796875" customWidth="1"/>
    <col min="28" max="29" width="22.1796875" customWidth="1"/>
    <col min="30" max="30" width="22.453125" customWidth="1"/>
    <col min="31" max="31" width="23" customWidth="1"/>
    <col min="32" max="32" width="18.1796875" customWidth="1"/>
    <col min="33" max="33" width="18.453125" customWidth="1"/>
    <col min="34" max="34" width="21.26953125" customWidth="1"/>
    <col min="35" max="35" width="22.1796875" customWidth="1"/>
    <col min="36" max="36" width="14.26953125" customWidth="1"/>
    <col min="37" max="37" width="13.453125" customWidth="1"/>
    <col min="38" max="38" width="12.453125" customWidth="1"/>
    <col min="39" max="41" width="9.1796875" customWidth="1"/>
    <col min="42" max="42" width="14.1796875" customWidth="1"/>
  </cols>
  <sheetData>
    <row r="1" spans="1:42" s="14" customFormat="1" ht="15.5" x14ac:dyDescent="0.35">
      <c r="A1" s="6" t="s">
        <v>0</v>
      </c>
      <c r="B1" s="13" t="s">
        <v>47</v>
      </c>
      <c r="C1" s="13" t="s">
        <v>48</v>
      </c>
      <c r="D1" s="13" t="s">
        <v>49</v>
      </c>
      <c r="E1" s="7" t="s">
        <v>1</v>
      </c>
      <c r="F1" s="7" t="s">
        <v>2</v>
      </c>
      <c r="G1" s="7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8" t="s">
        <v>35</v>
      </c>
      <c r="AN1" s="8" t="s">
        <v>36</v>
      </c>
      <c r="AO1" s="8" t="s">
        <v>37</v>
      </c>
      <c r="AP1" s="8" t="s">
        <v>38</v>
      </c>
    </row>
    <row r="2" spans="1:42" ht="15.75" customHeight="1" x14ac:dyDescent="0.35">
      <c r="A2" s="9">
        <v>1</v>
      </c>
      <c r="B2" s="13" t="s">
        <v>50</v>
      </c>
      <c r="C2" s="15" t="s">
        <v>52</v>
      </c>
      <c r="D2" s="13" t="s">
        <v>51</v>
      </c>
      <c r="E2" s="9">
        <v>1</v>
      </c>
      <c r="F2" s="9">
        <v>1</v>
      </c>
      <c r="G2" s="9">
        <v>1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  <c r="X2" s="10">
        <f t="shared" ref="X2:AE7" si="0">IFERROR(IF(H2=P2, H2,""),"")</f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1">
        <f t="shared" ref="AF2:AF95" si="1">AVERAGE(X2:Y2)</f>
        <v>0</v>
      </c>
      <c r="AG2" s="11">
        <f t="shared" ref="AG2:AG95" si="2">AVERAGE(Z2:AA2)</f>
        <v>0</v>
      </c>
      <c r="AH2" s="11">
        <f t="shared" ref="AH2:AH95" si="3">AVERAGE(AB2:AC2)</f>
        <v>0</v>
      </c>
      <c r="AI2" s="11">
        <f t="shared" ref="AI2:AI95" si="4">AVERAGE(AD2:AE2)</f>
        <v>0</v>
      </c>
      <c r="AJ2" s="10">
        <v>0</v>
      </c>
      <c r="AK2" s="10">
        <v>0</v>
      </c>
      <c r="AL2" s="6">
        <f t="shared" ref="AL2:AL95" si="5">IF(AJ2=AK2,AK2,"")</f>
        <v>0</v>
      </c>
      <c r="AM2" s="5">
        <v>2</v>
      </c>
      <c r="AN2" s="5">
        <v>22</v>
      </c>
      <c r="AO2" s="5">
        <v>1</v>
      </c>
      <c r="AP2" s="5">
        <v>2</v>
      </c>
    </row>
    <row r="3" spans="1:42" ht="15.5" x14ac:dyDescent="0.35">
      <c r="A3" s="9">
        <v>2</v>
      </c>
      <c r="B3" s="13" t="s">
        <v>50</v>
      </c>
      <c r="C3" s="15" t="s">
        <v>52</v>
      </c>
      <c r="D3" s="13" t="s">
        <v>51</v>
      </c>
      <c r="E3" s="9">
        <v>1</v>
      </c>
      <c r="F3" s="9">
        <v>2</v>
      </c>
      <c r="G3" s="9">
        <v>2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f t="shared" si="0"/>
        <v>0</v>
      </c>
      <c r="Y3" s="10">
        <f t="shared" si="0"/>
        <v>0</v>
      </c>
      <c r="Z3" s="10">
        <f t="shared" si="0"/>
        <v>0</v>
      </c>
      <c r="AA3" s="10">
        <f t="shared" si="0"/>
        <v>0</v>
      </c>
      <c r="AB3" s="10">
        <f t="shared" si="0"/>
        <v>0</v>
      </c>
      <c r="AC3" s="10">
        <f t="shared" si="0"/>
        <v>0</v>
      </c>
      <c r="AD3" s="10">
        <f t="shared" si="0"/>
        <v>0</v>
      </c>
      <c r="AE3" s="10">
        <f t="shared" si="0"/>
        <v>0</v>
      </c>
      <c r="AF3" s="11">
        <f t="shared" si="1"/>
        <v>0</v>
      </c>
      <c r="AG3" s="11">
        <f t="shared" si="2"/>
        <v>0</v>
      </c>
      <c r="AH3" s="11">
        <f t="shared" si="3"/>
        <v>0</v>
      </c>
      <c r="AI3" s="11">
        <f t="shared" si="4"/>
        <v>0</v>
      </c>
      <c r="AJ3" s="10">
        <v>0</v>
      </c>
      <c r="AK3" s="10">
        <v>0</v>
      </c>
      <c r="AL3" s="6">
        <f t="shared" si="5"/>
        <v>0</v>
      </c>
      <c r="AM3" s="5">
        <v>2</v>
      </c>
      <c r="AN3" s="5">
        <v>19</v>
      </c>
      <c r="AO3" s="5">
        <v>1</v>
      </c>
      <c r="AP3" s="5">
        <v>1</v>
      </c>
    </row>
    <row r="4" spans="1:42" ht="15.5" x14ac:dyDescent="0.35">
      <c r="A4" s="9">
        <v>3</v>
      </c>
      <c r="B4" s="13" t="s">
        <v>50</v>
      </c>
      <c r="C4" s="15" t="s">
        <v>52</v>
      </c>
      <c r="D4" s="13" t="s">
        <v>51</v>
      </c>
      <c r="E4" s="9">
        <v>1</v>
      </c>
      <c r="F4" s="9">
        <v>3</v>
      </c>
      <c r="G4" s="9">
        <v>1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1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</v>
      </c>
      <c r="T4" s="10">
        <v>0</v>
      </c>
      <c r="U4" s="10">
        <v>0</v>
      </c>
      <c r="V4" s="10">
        <v>0</v>
      </c>
      <c r="W4" s="10">
        <v>0</v>
      </c>
      <c r="X4" s="10">
        <f t="shared" si="0"/>
        <v>0</v>
      </c>
      <c r="Y4" s="10">
        <f t="shared" si="0"/>
        <v>0</v>
      </c>
      <c r="Z4" s="10">
        <f t="shared" si="0"/>
        <v>0</v>
      </c>
      <c r="AA4" s="10">
        <v>1</v>
      </c>
      <c r="AB4" s="10">
        <f>IFERROR(IF(L4=T4, L4,""),"")</f>
        <v>0</v>
      </c>
      <c r="AC4" s="10">
        <v>1</v>
      </c>
      <c r="AD4" s="10">
        <f t="shared" si="0"/>
        <v>0</v>
      </c>
      <c r="AE4" s="10">
        <f t="shared" si="0"/>
        <v>0</v>
      </c>
      <c r="AF4" s="11">
        <f t="shared" si="1"/>
        <v>0</v>
      </c>
      <c r="AG4" s="11">
        <f t="shared" si="2"/>
        <v>0.5</v>
      </c>
      <c r="AH4" s="11">
        <f t="shared" si="3"/>
        <v>0.5</v>
      </c>
      <c r="AI4" s="11">
        <f t="shared" si="4"/>
        <v>0</v>
      </c>
      <c r="AJ4" s="10">
        <v>0</v>
      </c>
      <c r="AK4" s="10">
        <v>0</v>
      </c>
      <c r="AL4" s="6">
        <f t="shared" si="5"/>
        <v>0</v>
      </c>
      <c r="AM4" s="5">
        <v>2</v>
      </c>
      <c r="AN4" s="5">
        <v>19</v>
      </c>
      <c r="AO4" s="5">
        <v>1</v>
      </c>
      <c r="AP4" s="5">
        <v>1</v>
      </c>
    </row>
    <row r="5" spans="1:42" ht="15.5" x14ac:dyDescent="0.35">
      <c r="A5" s="9">
        <v>4</v>
      </c>
      <c r="B5" s="13" t="s">
        <v>50</v>
      </c>
      <c r="C5" s="15" t="s">
        <v>52</v>
      </c>
      <c r="D5" s="13" t="s">
        <v>51</v>
      </c>
      <c r="E5" s="9">
        <v>1</v>
      </c>
      <c r="F5" s="9">
        <v>4</v>
      </c>
      <c r="G5" s="9">
        <v>2</v>
      </c>
      <c r="H5" s="10">
        <v>0</v>
      </c>
      <c r="I5" s="10">
        <v>0</v>
      </c>
      <c r="J5" s="10">
        <v>1</v>
      </c>
      <c r="K5" s="10">
        <v>0</v>
      </c>
      <c r="L5" s="10">
        <v>0</v>
      </c>
      <c r="M5" s="10">
        <v>1</v>
      </c>
      <c r="N5" s="10">
        <v>0</v>
      </c>
      <c r="O5" s="10">
        <v>0</v>
      </c>
      <c r="P5" s="10">
        <v>1</v>
      </c>
      <c r="Q5" s="10">
        <v>0</v>
      </c>
      <c r="R5" s="10">
        <v>1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 t="s">
        <v>54</v>
      </c>
      <c r="Y5" s="10">
        <f t="shared" si="0"/>
        <v>0</v>
      </c>
      <c r="Z5" s="10">
        <f t="shared" si="0"/>
        <v>1</v>
      </c>
      <c r="AA5" s="10">
        <f t="shared" si="0"/>
        <v>0</v>
      </c>
      <c r="AB5" s="10">
        <f t="shared" si="0"/>
        <v>0</v>
      </c>
      <c r="AC5" s="10" t="s">
        <v>54</v>
      </c>
      <c r="AD5" s="10">
        <f t="shared" si="0"/>
        <v>0</v>
      </c>
      <c r="AE5" s="10">
        <f t="shared" si="0"/>
        <v>0</v>
      </c>
      <c r="AF5" s="11">
        <f t="shared" si="1"/>
        <v>0</v>
      </c>
      <c r="AG5" s="11">
        <f t="shared" si="2"/>
        <v>0.5</v>
      </c>
      <c r="AH5" s="11">
        <f t="shared" si="3"/>
        <v>0</v>
      </c>
      <c r="AI5" s="11">
        <f t="shared" si="4"/>
        <v>0</v>
      </c>
      <c r="AJ5" s="10">
        <v>0</v>
      </c>
      <c r="AK5" s="10">
        <v>0</v>
      </c>
      <c r="AL5" s="6">
        <f t="shared" si="5"/>
        <v>0</v>
      </c>
      <c r="AM5" s="5">
        <v>2</v>
      </c>
      <c r="AN5" s="5">
        <v>18</v>
      </c>
      <c r="AO5" s="5">
        <v>1</v>
      </c>
      <c r="AP5" s="5">
        <v>1</v>
      </c>
    </row>
    <row r="6" spans="1:42" ht="15.5" x14ac:dyDescent="0.35">
      <c r="A6" s="9">
        <v>5</v>
      </c>
      <c r="B6" s="13" t="s">
        <v>50</v>
      </c>
      <c r="C6" s="15" t="s">
        <v>52</v>
      </c>
      <c r="D6" s="13" t="s">
        <v>51</v>
      </c>
      <c r="E6" s="9">
        <v>2</v>
      </c>
      <c r="F6" s="9">
        <v>1</v>
      </c>
      <c r="G6" s="9">
        <v>2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f t="shared" si="0"/>
        <v>0</v>
      </c>
      <c r="Y6" s="10">
        <f t="shared" si="0"/>
        <v>0</v>
      </c>
      <c r="Z6" s="10">
        <f t="shared" si="0"/>
        <v>0</v>
      </c>
      <c r="AA6" s="10">
        <f t="shared" si="0"/>
        <v>0</v>
      </c>
      <c r="AB6" s="10">
        <f t="shared" si="0"/>
        <v>0</v>
      </c>
      <c r="AC6" s="10">
        <f t="shared" si="0"/>
        <v>0</v>
      </c>
      <c r="AD6" s="10">
        <f t="shared" si="0"/>
        <v>0</v>
      </c>
      <c r="AE6" s="10">
        <f t="shared" si="0"/>
        <v>0</v>
      </c>
      <c r="AF6" s="11">
        <f t="shared" si="1"/>
        <v>0</v>
      </c>
      <c r="AG6" s="11">
        <f t="shared" si="2"/>
        <v>0</v>
      </c>
      <c r="AH6" s="11">
        <f t="shared" si="3"/>
        <v>0</v>
      </c>
      <c r="AI6" s="11">
        <f t="shared" si="4"/>
        <v>0</v>
      </c>
      <c r="AJ6" s="10">
        <v>0</v>
      </c>
      <c r="AK6" s="10">
        <v>0</v>
      </c>
      <c r="AL6" s="6">
        <f t="shared" si="5"/>
        <v>0</v>
      </c>
      <c r="AM6" s="5">
        <v>1</v>
      </c>
      <c r="AN6" s="5">
        <v>22</v>
      </c>
      <c r="AO6" s="5">
        <v>1</v>
      </c>
      <c r="AP6" s="5">
        <v>1</v>
      </c>
    </row>
    <row r="7" spans="1:42" ht="18" customHeight="1" x14ac:dyDescent="0.35">
      <c r="A7" s="9">
        <v>6</v>
      </c>
      <c r="B7" s="13" t="s">
        <v>50</v>
      </c>
      <c r="C7" s="15" t="s">
        <v>52</v>
      </c>
      <c r="D7" s="13" t="s">
        <v>51</v>
      </c>
      <c r="E7" s="9">
        <v>2</v>
      </c>
      <c r="F7" s="9">
        <v>2</v>
      </c>
      <c r="G7" s="9">
        <v>1</v>
      </c>
      <c r="H7" s="10">
        <v>1</v>
      </c>
      <c r="I7" s="10">
        <v>0</v>
      </c>
      <c r="J7" s="10">
        <v>0</v>
      </c>
      <c r="K7" s="10">
        <v>1</v>
      </c>
      <c r="L7" s="10">
        <v>0</v>
      </c>
      <c r="M7" s="10">
        <v>1</v>
      </c>
      <c r="N7" s="10">
        <v>1</v>
      </c>
      <c r="O7" s="10">
        <v>0</v>
      </c>
      <c r="P7" s="10">
        <v>1</v>
      </c>
      <c r="Q7" s="10">
        <v>0</v>
      </c>
      <c r="R7" s="10">
        <v>1</v>
      </c>
      <c r="S7" s="10">
        <v>1</v>
      </c>
      <c r="T7" s="10">
        <v>0</v>
      </c>
      <c r="U7" s="10">
        <v>1</v>
      </c>
      <c r="V7" s="10">
        <v>0</v>
      </c>
      <c r="W7" s="10">
        <v>0</v>
      </c>
      <c r="X7" s="10">
        <f t="shared" si="0"/>
        <v>1</v>
      </c>
      <c r="Y7" s="10">
        <f t="shared" si="0"/>
        <v>0</v>
      </c>
      <c r="Z7" s="10">
        <v>1</v>
      </c>
      <c r="AA7" s="10">
        <f t="shared" si="0"/>
        <v>1</v>
      </c>
      <c r="AB7" s="10">
        <f t="shared" si="0"/>
        <v>0</v>
      </c>
      <c r="AC7" s="10">
        <f t="shared" si="0"/>
        <v>1</v>
      </c>
      <c r="AD7" s="10">
        <v>1</v>
      </c>
      <c r="AE7" s="10">
        <f>IFERROR(IF(O7=W7, O7,""),"")</f>
        <v>0</v>
      </c>
      <c r="AF7" s="11">
        <f t="shared" si="1"/>
        <v>0.5</v>
      </c>
      <c r="AG7" s="11">
        <f t="shared" si="2"/>
        <v>1</v>
      </c>
      <c r="AH7" s="11">
        <f t="shared" si="3"/>
        <v>0.5</v>
      </c>
      <c r="AI7" s="11">
        <f t="shared" si="4"/>
        <v>0.5</v>
      </c>
      <c r="AJ7" s="10">
        <v>0</v>
      </c>
      <c r="AK7" s="10">
        <v>0</v>
      </c>
      <c r="AL7" s="6">
        <f t="shared" si="5"/>
        <v>0</v>
      </c>
      <c r="AM7" s="5">
        <v>1</v>
      </c>
      <c r="AN7" s="5">
        <v>19</v>
      </c>
      <c r="AO7" s="5">
        <v>1</v>
      </c>
      <c r="AP7" s="5">
        <v>1</v>
      </c>
    </row>
    <row r="8" spans="1:42" ht="15.5" x14ac:dyDescent="0.35">
      <c r="A8" s="9">
        <v>7</v>
      </c>
      <c r="B8" s="13" t="s">
        <v>50</v>
      </c>
      <c r="C8" s="15" t="s">
        <v>52</v>
      </c>
      <c r="D8" s="13" t="s">
        <v>51</v>
      </c>
      <c r="E8" s="9">
        <v>2</v>
      </c>
      <c r="F8" s="9">
        <v>3</v>
      </c>
      <c r="G8" s="9">
        <v>2</v>
      </c>
      <c r="H8" s="10">
        <v>0</v>
      </c>
      <c r="I8" s="10">
        <v>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1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10">
        <v>0</v>
      </c>
      <c r="Z8" s="10">
        <f t="shared" ref="Z8:AE9" si="6">IFERROR(IF(J8=R8, J8,""),"")</f>
        <v>0</v>
      </c>
      <c r="AA8" s="10">
        <f t="shared" si="6"/>
        <v>0</v>
      </c>
      <c r="AB8" s="10">
        <f t="shared" si="6"/>
        <v>0</v>
      </c>
      <c r="AC8" s="10">
        <f t="shared" si="6"/>
        <v>0</v>
      </c>
      <c r="AD8" s="10">
        <f t="shared" si="6"/>
        <v>0</v>
      </c>
      <c r="AE8" s="10">
        <f t="shared" si="6"/>
        <v>0</v>
      </c>
      <c r="AF8" s="11">
        <f t="shared" si="1"/>
        <v>0.5</v>
      </c>
      <c r="AG8" s="11">
        <f t="shared" si="2"/>
        <v>0</v>
      </c>
      <c r="AH8" s="11">
        <f t="shared" si="3"/>
        <v>0</v>
      </c>
      <c r="AI8" s="11">
        <f t="shared" si="4"/>
        <v>0</v>
      </c>
      <c r="AJ8" s="10">
        <v>0</v>
      </c>
      <c r="AK8" s="10">
        <v>0</v>
      </c>
      <c r="AL8" s="6">
        <f t="shared" si="5"/>
        <v>0</v>
      </c>
      <c r="AM8" s="5">
        <v>1</v>
      </c>
      <c r="AN8" s="5">
        <v>18</v>
      </c>
      <c r="AO8" s="5">
        <v>1</v>
      </c>
      <c r="AP8" s="5">
        <v>1</v>
      </c>
    </row>
    <row r="9" spans="1:42" ht="15.5" x14ac:dyDescent="0.35">
      <c r="A9" s="9">
        <v>8</v>
      </c>
      <c r="B9" s="13" t="s">
        <v>50</v>
      </c>
      <c r="C9" s="15" t="s">
        <v>52</v>
      </c>
      <c r="D9" s="13" t="s">
        <v>51</v>
      </c>
      <c r="E9" s="9">
        <v>2</v>
      </c>
      <c r="F9" s="9">
        <v>4</v>
      </c>
      <c r="G9" s="9">
        <v>1</v>
      </c>
      <c r="H9" s="10">
        <v>0</v>
      </c>
      <c r="I9" s="10">
        <v>1</v>
      </c>
      <c r="J9" s="10">
        <v>0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1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f t="shared" ref="X9:AE16" si="7">IFERROR(IF(H9=P9, H9,""),"")</f>
        <v>0</v>
      </c>
      <c r="Y9" s="10">
        <f t="shared" si="7"/>
        <v>1</v>
      </c>
      <c r="Z9" s="10">
        <v>1</v>
      </c>
      <c r="AA9" s="10">
        <f t="shared" si="6"/>
        <v>0</v>
      </c>
      <c r="AB9" s="10">
        <f t="shared" si="6"/>
        <v>0</v>
      </c>
      <c r="AC9" s="10">
        <v>0</v>
      </c>
      <c r="AD9" s="10">
        <f t="shared" si="6"/>
        <v>0</v>
      </c>
      <c r="AE9" s="10">
        <f t="shared" si="6"/>
        <v>0</v>
      </c>
      <c r="AF9" s="11">
        <f t="shared" si="1"/>
        <v>0.5</v>
      </c>
      <c r="AG9" s="11">
        <f t="shared" si="2"/>
        <v>0.5</v>
      </c>
      <c r="AH9" s="11">
        <f t="shared" si="3"/>
        <v>0</v>
      </c>
      <c r="AI9" s="11">
        <f t="shared" si="4"/>
        <v>0</v>
      </c>
      <c r="AJ9" s="10">
        <v>0</v>
      </c>
      <c r="AK9" s="10">
        <v>0</v>
      </c>
      <c r="AL9" s="6">
        <f t="shared" si="5"/>
        <v>0</v>
      </c>
      <c r="AM9" s="5">
        <v>1</v>
      </c>
      <c r="AN9" s="5">
        <v>19</v>
      </c>
      <c r="AO9" s="5">
        <v>1</v>
      </c>
      <c r="AP9" s="5">
        <v>1</v>
      </c>
    </row>
    <row r="10" spans="1:42" ht="15.5" x14ac:dyDescent="0.35">
      <c r="A10" s="9">
        <v>9</v>
      </c>
      <c r="B10" s="13" t="s">
        <v>50</v>
      </c>
      <c r="C10" s="15" t="s">
        <v>52</v>
      </c>
      <c r="D10" s="13" t="s">
        <v>51</v>
      </c>
      <c r="E10" s="9">
        <v>1</v>
      </c>
      <c r="F10" s="9">
        <v>1</v>
      </c>
      <c r="G10" s="9">
        <v>2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f t="shared" si="7"/>
        <v>0</v>
      </c>
      <c r="Y10" s="10">
        <f t="shared" si="7"/>
        <v>0</v>
      </c>
      <c r="Z10" s="10">
        <f t="shared" si="7"/>
        <v>0</v>
      </c>
      <c r="AA10" s="10">
        <f t="shared" si="7"/>
        <v>0</v>
      </c>
      <c r="AB10" s="10">
        <f t="shared" si="7"/>
        <v>0</v>
      </c>
      <c r="AC10" s="10">
        <f t="shared" si="7"/>
        <v>0</v>
      </c>
      <c r="AD10" s="10">
        <f t="shared" si="7"/>
        <v>0</v>
      </c>
      <c r="AE10" s="10">
        <f t="shared" si="7"/>
        <v>0</v>
      </c>
      <c r="AF10" s="11">
        <f t="shared" si="1"/>
        <v>0</v>
      </c>
      <c r="AG10" s="11">
        <f t="shared" si="2"/>
        <v>0</v>
      </c>
      <c r="AH10" s="11">
        <f t="shared" si="3"/>
        <v>0</v>
      </c>
      <c r="AI10" s="11">
        <f t="shared" si="4"/>
        <v>0</v>
      </c>
      <c r="AJ10" s="10">
        <v>0</v>
      </c>
      <c r="AK10" s="10">
        <v>0</v>
      </c>
      <c r="AL10" s="6">
        <f t="shared" si="5"/>
        <v>0</v>
      </c>
      <c r="AM10" s="5">
        <v>2</v>
      </c>
      <c r="AN10" s="5">
        <v>19</v>
      </c>
      <c r="AO10" s="5">
        <v>1</v>
      </c>
      <c r="AP10" s="5">
        <v>1</v>
      </c>
    </row>
    <row r="11" spans="1:42" ht="15.5" x14ac:dyDescent="0.35">
      <c r="A11" s="9">
        <v>10</v>
      </c>
      <c r="B11" s="13" t="s">
        <v>50</v>
      </c>
      <c r="C11" s="15" t="s">
        <v>52</v>
      </c>
      <c r="D11" s="13" t="s">
        <v>51</v>
      </c>
      <c r="E11" s="9">
        <v>1</v>
      </c>
      <c r="F11" s="9">
        <v>2</v>
      </c>
      <c r="G11" s="9">
        <v>1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1</v>
      </c>
      <c r="P11" s="10">
        <v>0</v>
      </c>
      <c r="Q11" s="10">
        <v>0</v>
      </c>
      <c r="R11" s="10">
        <v>1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f t="shared" si="7"/>
        <v>0</v>
      </c>
      <c r="Y11" s="10">
        <f t="shared" si="7"/>
        <v>0</v>
      </c>
      <c r="Z11" s="10">
        <v>1</v>
      </c>
      <c r="AA11" s="10">
        <f t="shared" si="7"/>
        <v>0</v>
      </c>
      <c r="AB11" s="10">
        <f t="shared" si="7"/>
        <v>0</v>
      </c>
      <c r="AC11" s="10">
        <f t="shared" si="7"/>
        <v>0</v>
      </c>
      <c r="AD11" s="10">
        <f t="shared" si="7"/>
        <v>0</v>
      </c>
      <c r="AE11" s="10">
        <v>1</v>
      </c>
      <c r="AF11" s="11">
        <f t="shared" si="1"/>
        <v>0</v>
      </c>
      <c r="AG11" s="11">
        <f t="shared" si="2"/>
        <v>0.5</v>
      </c>
      <c r="AH11" s="11">
        <f t="shared" si="3"/>
        <v>0</v>
      </c>
      <c r="AI11" s="11">
        <f t="shared" si="4"/>
        <v>0.5</v>
      </c>
      <c r="AJ11" s="10">
        <v>0</v>
      </c>
      <c r="AK11" s="10">
        <v>0</v>
      </c>
      <c r="AL11" s="6">
        <f t="shared" si="5"/>
        <v>0</v>
      </c>
      <c r="AM11" s="5">
        <v>2</v>
      </c>
      <c r="AN11" s="5">
        <v>19</v>
      </c>
      <c r="AO11" s="5">
        <v>1</v>
      </c>
      <c r="AP11" s="5">
        <v>1</v>
      </c>
    </row>
    <row r="12" spans="1:42" ht="15.5" x14ac:dyDescent="0.35">
      <c r="A12" s="9">
        <v>11</v>
      </c>
      <c r="B12" s="13" t="s">
        <v>50</v>
      </c>
      <c r="C12" s="15" t="s">
        <v>52</v>
      </c>
      <c r="D12" s="13" t="s">
        <v>51</v>
      </c>
      <c r="E12" s="9">
        <v>1</v>
      </c>
      <c r="F12" s="9">
        <v>3</v>
      </c>
      <c r="G12" s="9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f t="shared" si="7"/>
        <v>0</v>
      </c>
      <c r="Y12" s="10">
        <f t="shared" si="7"/>
        <v>0</v>
      </c>
      <c r="Z12" s="10">
        <f t="shared" si="7"/>
        <v>0</v>
      </c>
      <c r="AA12" s="10">
        <f t="shared" si="7"/>
        <v>0</v>
      </c>
      <c r="AB12" s="10">
        <f t="shared" si="7"/>
        <v>0</v>
      </c>
      <c r="AC12" s="10">
        <f t="shared" si="7"/>
        <v>0</v>
      </c>
      <c r="AD12" s="10">
        <f t="shared" si="7"/>
        <v>0</v>
      </c>
      <c r="AE12" s="10">
        <f t="shared" si="7"/>
        <v>0</v>
      </c>
      <c r="AF12" s="11">
        <f t="shared" si="1"/>
        <v>0</v>
      </c>
      <c r="AG12" s="11">
        <f t="shared" si="2"/>
        <v>0</v>
      </c>
      <c r="AH12" s="11">
        <f t="shared" si="3"/>
        <v>0</v>
      </c>
      <c r="AI12" s="11">
        <f t="shared" si="4"/>
        <v>0</v>
      </c>
      <c r="AJ12" s="10">
        <v>0</v>
      </c>
      <c r="AK12" s="10">
        <v>0</v>
      </c>
      <c r="AL12" s="6">
        <f t="shared" si="5"/>
        <v>0</v>
      </c>
      <c r="AM12" s="5">
        <v>2</v>
      </c>
      <c r="AN12" s="5">
        <v>21</v>
      </c>
      <c r="AO12" s="5">
        <v>2</v>
      </c>
      <c r="AP12" s="5">
        <v>1</v>
      </c>
    </row>
    <row r="13" spans="1:42" ht="15.5" x14ac:dyDescent="0.35">
      <c r="A13" s="9">
        <v>12</v>
      </c>
      <c r="B13" s="13" t="s">
        <v>50</v>
      </c>
      <c r="C13" s="15" t="s">
        <v>52</v>
      </c>
      <c r="D13" s="13" t="s">
        <v>51</v>
      </c>
      <c r="E13" s="9">
        <v>1</v>
      </c>
      <c r="F13" s="9">
        <v>4</v>
      </c>
      <c r="G13" s="9">
        <v>1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f t="shared" si="7"/>
        <v>0</v>
      </c>
      <c r="Y13" s="10">
        <f t="shared" si="7"/>
        <v>0</v>
      </c>
      <c r="Z13" s="10">
        <f t="shared" si="7"/>
        <v>0</v>
      </c>
      <c r="AA13" s="10">
        <f t="shared" si="7"/>
        <v>0</v>
      </c>
      <c r="AB13" s="10">
        <f t="shared" si="7"/>
        <v>0</v>
      </c>
      <c r="AC13" s="10">
        <f t="shared" si="7"/>
        <v>0</v>
      </c>
      <c r="AD13" s="10">
        <f t="shared" si="7"/>
        <v>0</v>
      </c>
      <c r="AE13" s="10">
        <f t="shared" si="7"/>
        <v>0</v>
      </c>
      <c r="AF13" s="11">
        <f t="shared" si="1"/>
        <v>0</v>
      </c>
      <c r="AG13" s="11">
        <f t="shared" si="2"/>
        <v>0</v>
      </c>
      <c r="AH13" s="11">
        <f t="shared" si="3"/>
        <v>0</v>
      </c>
      <c r="AI13" s="11">
        <f t="shared" si="4"/>
        <v>0</v>
      </c>
      <c r="AJ13" s="10">
        <v>0</v>
      </c>
      <c r="AK13" s="10">
        <v>0</v>
      </c>
      <c r="AL13" s="6">
        <f t="shared" si="5"/>
        <v>0</v>
      </c>
      <c r="AM13" s="5">
        <v>2</v>
      </c>
      <c r="AN13" s="5">
        <v>18</v>
      </c>
      <c r="AO13" s="5">
        <v>1</v>
      </c>
      <c r="AP13" s="5">
        <v>1</v>
      </c>
    </row>
    <row r="14" spans="1:42" ht="15.5" x14ac:dyDescent="0.35">
      <c r="A14" s="9">
        <v>13</v>
      </c>
      <c r="B14" s="13" t="s">
        <v>50</v>
      </c>
      <c r="C14" s="15" t="s">
        <v>52</v>
      </c>
      <c r="D14" s="13" t="s">
        <v>51</v>
      </c>
      <c r="E14" s="9">
        <v>2</v>
      </c>
      <c r="F14" s="9">
        <v>1</v>
      </c>
      <c r="G14" s="9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10">
        <f t="shared" si="7"/>
        <v>0</v>
      </c>
      <c r="Y14" s="10">
        <f t="shared" si="7"/>
        <v>0</v>
      </c>
      <c r="Z14" s="10">
        <f t="shared" si="7"/>
        <v>0</v>
      </c>
      <c r="AA14" s="10">
        <f t="shared" si="7"/>
        <v>0</v>
      </c>
      <c r="AB14" s="10">
        <f t="shared" si="7"/>
        <v>0</v>
      </c>
      <c r="AC14" s="10">
        <f t="shared" si="7"/>
        <v>0</v>
      </c>
      <c r="AD14" s="10">
        <f t="shared" si="7"/>
        <v>0</v>
      </c>
      <c r="AE14" s="10">
        <f t="shared" si="7"/>
        <v>0</v>
      </c>
      <c r="AF14" s="11">
        <f t="shared" si="1"/>
        <v>0</v>
      </c>
      <c r="AG14" s="11">
        <f t="shared" si="2"/>
        <v>0</v>
      </c>
      <c r="AH14" s="11">
        <f t="shared" si="3"/>
        <v>0</v>
      </c>
      <c r="AI14" s="11">
        <f t="shared" si="4"/>
        <v>0</v>
      </c>
      <c r="AJ14" s="5">
        <v>0</v>
      </c>
      <c r="AK14" s="5">
        <v>0</v>
      </c>
      <c r="AL14" s="6">
        <f t="shared" si="5"/>
        <v>0</v>
      </c>
      <c r="AM14" s="5">
        <v>1</v>
      </c>
      <c r="AN14" s="5">
        <v>18</v>
      </c>
      <c r="AO14" s="5">
        <v>1</v>
      </c>
      <c r="AP14" s="5">
        <v>1</v>
      </c>
    </row>
    <row r="15" spans="1:42" ht="15.5" x14ac:dyDescent="0.35">
      <c r="A15" s="9">
        <v>14</v>
      </c>
      <c r="B15" s="13" t="s">
        <v>50</v>
      </c>
      <c r="C15" s="15" t="s">
        <v>52</v>
      </c>
      <c r="D15" s="13" t="s">
        <v>51</v>
      </c>
      <c r="E15" s="9">
        <v>2</v>
      </c>
      <c r="F15" s="9">
        <v>2</v>
      </c>
      <c r="G15" s="9">
        <v>2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1</v>
      </c>
      <c r="N15" s="5">
        <v>1</v>
      </c>
      <c r="O15" s="5">
        <v>0</v>
      </c>
      <c r="P15" s="5">
        <v>1</v>
      </c>
      <c r="Q15" s="5">
        <v>0</v>
      </c>
      <c r="R15" s="5">
        <v>1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10">
        <v>1</v>
      </c>
      <c r="Y15" s="10">
        <f t="shared" si="7"/>
        <v>0</v>
      </c>
      <c r="Z15" s="10">
        <f t="shared" si="7"/>
        <v>1</v>
      </c>
      <c r="AA15" s="10">
        <v>1</v>
      </c>
      <c r="AB15" s="10">
        <f>IFERROR(IF(L15=T15, L15,""),"")</f>
        <v>0</v>
      </c>
      <c r="AC15" s="10">
        <v>0</v>
      </c>
      <c r="AD15" s="10">
        <v>0</v>
      </c>
      <c r="AE15" s="10">
        <f t="shared" si="7"/>
        <v>0</v>
      </c>
      <c r="AF15" s="11">
        <f t="shared" si="1"/>
        <v>0.5</v>
      </c>
      <c r="AG15" s="11">
        <f t="shared" si="2"/>
        <v>1</v>
      </c>
      <c r="AH15" s="11">
        <f t="shared" si="3"/>
        <v>0</v>
      </c>
      <c r="AI15" s="11">
        <f t="shared" si="4"/>
        <v>0</v>
      </c>
      <c r="AJ15" s="5">
        <v>0</v>
      </c>
      <c r="AK15" s="5">
        <v>0</v>
      </c>
      <c r="AL15" s="6">
        <f t="shared" si="5"/>
        <v>0</v>
      </c>
      <c r="AM15" s="5">
        <v>1</v>
      </c>
      <c r="AN15" s="5">
        <v>20</v>
      </c>
      <c r="AO15" s="5">
        <v>1</v>
      </c>
      <c r="AP15" s="5">
        <v>1</v>
      </c>
    </row>
    <row r="16" spans="1:42" ht="15.5" x14ac:dyDescent="0.35">
      <c r="A16" s="9">
        <v>15</v>
      </c>
      <c r="B16" s="13" t="s">
        <v>50</v>
      </c>
      <c r="C16" s="15" t="s">
        <v>52</v>
      </c>
      <c r="D16" s="13" t="s">
        <v>51</v>
      </c>
      <c r="E16" s="9">
        <v>2</v>
      </c>
      <c r="F16" s="9">
        <v>3</v>
      </c>
      <c r="G16" s="9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1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10">
        <f t="shared" ref="X16:AE22" si="8">IFERROR(IF(H16=P16, H16,""),"")</f>
        <v>0</v>
      </c>
      <c r="Y16" s="10">
        <f t="shared" si="8"/>
        <v>0</v>
      </c>
      <c r="Z16" s="10">
        <v>1</v>
      </c>
      <c r="AA16" s="10">
        <f t="shared" ref="AA16:AC16" si="9">IFERROR(IF(K16=S16, K16,""),"")</f>
        <v>0</v>
      </c>
      <c r="AB16" s="10">
        <f t="shared" si="9"/>
        <v>0</v>
      </c>
      <c r="AC16" s="10">
        <f t="shared" si="9"/>
        <v>0</v>
      </c>
      <c r="AD16" s="10">
        <v>1</v>
      </c>
      <c r="AE16" s="10">
        <f t="shared" si="7"/>
        <v>0</v>
      </c>
      <c r="AF16" s="11">
        <f t="shared" si="1"/>
        <v>0</v>
      </c>
      <c r="AG16" s="11">
        <f t="shared" si="2"/>
        <v>0.5</v>
      </c>
      <c r="AH16" s="11">
        <f t="shared" si="3"/>
        <v>0</v>
      </c>
      <c r="AI16" s="11">
        <f t="shared" si="4"/>
        <v>0.5</v>
      </c>
      <c r="AJ16" s="5">
        <v>0</v>
      </c>
      <c r="AK16" s="5">
        <v>0</v>
      </c>
      <c r="AL16" s="6">
        <f t="shared" si="5"/>
        <v>0</v>
      </c>
      <c r="AM16" s="5">
        <v>1</v>
      </c>
      <c r="AN16" s="5">
        <v>20</v>
      </c>
      <c r="AO16" s="5">
        <v>2</v>
      </c>
      <c r="AP16" s="5">
        <v>1</v>
      </c>
    </row>
    <row r="17" spans="1:42" ht="15.75" customHeight="1" x14ac:dyDescent="0.35">
      <c r="A17" s="9">
        <v>16</v>
      </c>
      <c r="B17" s="13" t="s">
        <v>50</v>
      </c>
      <c r="C17" s="15" t="s">
        <v>52</v>
      </c>
      <c r="D17" s="13" t="s">
        <v>51</v>
      </c>
      <c r="E17" s="9">
        <v>2</v>
      </c>
      <c r="F17" s="9">
        <v>4</v>
      </c>
      <c r="G17" s="9">
        <v>2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10">
        <f t="shared" si="8"/>
        <v>0</v>
      </c>
      <c r="Y17" s="10">
        <f t="shared" si="8"/>
        <v>0</v>
      </c>
      <c r="Z17" s="10">
        <f t="shared" si="8"/>
        <v>0</v>
      </c>
      <c r="AA17" s="10">
        <f t="shared" si="8"/>
        <v>0</v>
      </c>
      <c r="AB17" s="10">
        <f t="shared" si="8"/>
        <v>0</v>
      </c>
      <c r="AC17" s="10">
        <f t="shared" si="8"/>
        <v>0</v>
      </c>
      <c r="AD17" s="10">
        <f t="shared" si="8"/>
        <v>0</v>
      </c>
      <c r="AE17" s="10">
        <f t="shared" si="8"/>
        <v>0</v>
      </c>
      <c r="AF17" s="11">
        <f t="shared" si="1"/>
        <v>0</v>
      </c>
      <c r="AG17" s="11">
        <f t="shared" si="2"/>
        <v>0</v>
      </c>
      <c r="AH17" s="11">
        <f t="shared" si="3"/>
        <v>0</v>
      </c>
      <c r="AI17" s="11">
        <f t="shared" si="4"/>
        <v>0</v>
      </c>
      <c r="AJ17" s="5">
        <v>0</v>
      </c>
      <c r="AK17" s="5">
        <v>0</v>
      </c>
      <c r="AL17" s="6">
        <f t="shared" si="5"/>
        <v>0</v>
      </c>
      <c r="AM17" s="5">
        <v>1</v>
      </c>
      <c r="AN17" s="5">
        <v>20</v>
      </c>
      <c r="AO17" s="5">
        <v>2</v>
      </c>
      <c r="AP17" s="5">
        <v>1</v>
      </c>
    </row>
    <row r="18" spans="1:42" ht="15.75" customHeight="1" x14ac:dyDescent="0.35">
      <c r="A18" s="9">
        <v>17</v>
      </c>
      <c r="B18" s="13" t="s">
        <v>50</v>
      </c>
      <c r="C18" s="15" t="s">
        <v>52</v>
      </c>
      <c r="D18" s="13" t="s">
        <v>51</v>
      </c>
      <c r="E18" s="9">
        <v>1</v>
      </c>
      <c r="F18" s="9">
        <v>1</v>
      </c>
      <c r="G18" s="9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10">
        <f t="shared" si="8"/>
        <v>0</v>
      </c>
      <c r="Y18" s="10">
        <f t="shared" si="8"/>
        <v>0</v>
      </c>
      <c r="Z18" s="10">
        <f t="shared" si="8"/>
        <v>0</v>
      </c>
      <c r="AA18" s="10">
        <f t="shared" si="8"/>
        <v>0</v>
      </c>
      <c r="AB18" s="10">
        <f t="shared" si="8"/>
        <v>0</v>
      </c>
      <c r="AC18" s="10">
        <f t="shared" si="8"/>
        <v>0</v>
      </c>
      <c r="AD18" s="10">
        <f t="shared" si="8"/>
        <v>0</v>
      </c>
      <c r="AE18" s="10">
        <f t="shared" si="8"/>
        <v>0</v>
      </c>
      <c r="AF18" s="11">
        <f t="shared" si="1"/>
        <v>0</v>
      </c>
      <c r="AG18" s="11">
        <f t="shared" si="2"/>
        <v>0</v>
      </c>
      <c r="AH18" s="11">
        <f t="shared" si="3"/>
        <v>0</v>
      </c>
      <c r="AI18" s="11">
        <f t="shared" si="4"/>
        <v>0</v>
      </c>
      <c r="AJ18" s="5">
        <v>0</v>
      </c>
      <c r="AK18" s="5">
        <v>0</v>
      </c>
      <c r="AL18" s="6">
        <f t="shared" si="5"/>
        <v>0</v>
      </c>
      <c r="AM18" s="5">
        <v>2</v>
      </c>
      <c r="AN18" s="5">
        <v>19</v>
      </c>
      <c r="AO18" s="5">
        <v>1</v>
      </c>
      <c r="AP18" s="5">
        <v>1</v>
      </c>
    </row>
    <row r="19" spans="1:42" ht="15.75" customHeight="1" x14ac:dyDescent="0.35">
      <c r="A19" s="9">
        <v>18</v>
      </c>
      <c r="B19" s="13" t="s">
        <v>50</v>
      </c>
      <c r="C19" s="15" t="s">
        <v>52</v>
      </c>
      <c r="D19" s="13" t="s">
        <v>51</v>
      </c>
      <c r="E19" s="9">
        <v>1</v>
      </c>
      <c r="F19" s="9">
        <v>2</v>
      </c>
      <c r="G19" s="9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10">
        <f t="shared" si="8"/>
        <v>0</v>
      </c>
      <c r="Y19" s="10">
        <f t="shared" si="8"/>
        <v>0</v>
      </c>
      <c r="Z19" s="10">
        <f t="shared" si="8"/>
        <v>0</v>
      </c>
      <c r="AA19" s="10">
        <f t="shared" si="8"/>
        <v>0</v>
      </c>
      <c r="AB19" s="10">
        <f t="shared" si="8"/>
        <v>0</v>
      </c>
      <c r="AC19" s="10">
        <f t="shared" si="8"/>
        <v>0</v>
      </c>
      <c r="AD19" s="10">
        <f t="shared" si="8"/>
        <v>0</v>
      </c>
      <c r="AE19" s="10">
        <f t="shared" si="8"/>
        <v>0</v>
      </c>
      <c r="AF19" s="11">
        <f t="shared" si="1"/>
        <v>0</v>
      </c>
      <c r="AG19" s="11">
        <f t="shared" si="2"/>
        <v>0</v>
      </c>
      <c r="AH19" s="11">
        <f t="shared" si="3"/>
        <v>0</v>
      </c>
      <c r="AI19" s="11">
        <f t="shared" si="4"/>
        <v>0</v>
      </c>
      <c r="AJ19" s="5">
        <v>0</v>
      </c>
      <c r="AK19" s="5">
        <v>0</v>
      </c>
      <c r="AL19" s="6">
        <f t="shared" si="5"/>
        <v>0</v>
      </c>
      <c r="AM19" s="5">
        <v>2</v>
      </c>
      <c r="AN19" s="5">
        <v>19</v>
      </c>
      <c r="AO19" s="5">
        <v>1</v>
      </c>
      <c r="AP19" s="5">
        <v>1</v>
      </c>
    </row>
    <row r="20" spans="1:42" ht="15.75" customHeight="1" x14ac:dyDescent="0.35">
      <c r="A20" s="9">
        <v>19</v>
      </c>
      <c r="B20" s="13" t="s">
        <v>50</v>
      </c>
      <c r="C20" s="15" t="s">
        <v>52</v>
      </c>
      <c r="D20" s="13" t="s">
        <v>51</v>
      </c>
      <c r="E20" s="9">
        <v>1</v>
      </c>
      <c r="F20" s="9">
        <v>3</v>
      </c>
      <c r="G20" s="9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10">
        <f t="shared" si="8"/>
        <v>0</v>
      </c>
      <c r="Y20" s="10">
        <f t="shared" si="8"/>
        <v>0</v>
      </c>
      <c r="Z20" s="10">
        <f t="shared" si="8"/>
        <v>0</v>
      </c>
      <c r="AA20" s="10">
        <f t="shared" si="8"/>
        <v>0</v>
      </c>
      <c r="AB20" s="10">
        <f t="shared" si="8"/>
        <v>0</v>
      </c>
      <c r="AC20" s="10">
        <f t="shared" si="8"/>
        <v>0</v>
      </c>
      <c r="AD20" s="10">
        <f t="shared" si="8"/>
        <v>0</v>
      </c>
      <c r="AE20" s="10">
        <f t="shared" si="8"/>
        <v>0</v>
      </c>
      <c r="AF20" s="11">
        <f t="shared" si="1"/>
        <v>0</v>
      </c>
      <c r="AG20" s="11">
        <f t="shared" si="2"/>
        <v>0</v>
      </c>
      <c r="AH20" s="11">
        <f t="shared" si="3"/>
        <v>0</v>
      </c>
      <c r="AI20" s="11">
        <f t="shared" si="4"/>
        <v>0</v>
      </c>
      <c r="AJ20" s="5">
        <v>0</v>
      </c>
      <c r="AK20" s="5">
        <v>0</v>
      </c>
      <c r="AL20" s="6">
        <f t="shared" si="5"/>
        <v>0</v>
      </c>
      <c r="AM20" s="5">
        <v>2</v>
      </c>
      <c r="AN20" s="5">
        <v>18</v>
      </c>
      <c r="AO20" s="5">
        <v>1</v>
      </c>
      <c r="AP20" s="5">
        <v>1</v>
      </c>
    </row>
    <row r="21" spans="1:42" ht="15.75" customHeight="1" x14ac:dyDescent="0.35">
      <c r="A21" s="9">
        <v>20</v>
      </c>
      <c r="B21" s="13" t="s">
        <v>50</v>
      </c>
      <c r="C21" s="15" t="s">
        <v>52</v>
      </c>
      <c r="D21" s="13" t="s">
        <v>51</v>
      </c>
      <c r="E21" s="9">
        <v>1</v>
      </c>
      <c r="F21" s="9">
        <v>4</v>
      </c>
      <c r="G21" s="9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10">
        <f t="shared" si="8"/>
        <v>0</v>
      </c>
      <c r="Y21" s="10">
        <f t="shared" si="8"/>
        <v>0</v>
      </c>
      <c r="Z21" s="10">
        <f t="shared" si="8"/>
        <v>0</v>
      </c>
      <c r="AA21" s="10">
        <f t="shared" si="8"/>
        <v>0</v>
      </c>
      <c r="AB21" s="10">
        <f t="shared" si="8"/>
        <v>0</v>
      </c>
      <c r="AC21" s="10">
        <f t="shared" si="8"/>
        <v>0</v>
      </c>
      <c r="AD21" s="10">
        <f t="shared" si="8"/>
        <v>0</v>
      </c>
      <c r="AE21" s="10">
        <f t="shared" si="8"/>
        <v>0</v>
      </c>
      <c r="AF21" s="11">
        <f t="shared" si="1"/>
        <v>0</v>
      </c>
      <c r="AG21" s="11">
        <f t="shared" si="2"/>
        <v>0</v>
      </c>
      <c r="AH21" s="11">
        <f t="shared" si="3"/>
        <v>0</v>
      </c>
      <c r="AI21" s="11">
        <f t="shared" si="4"/>
        <v>0</v>
      </c>
      <c r="AJ21" s="5">
        <v>1</v>
      </c>
      <c r="AK21" s="5">
        <v>1</v>
      </c>
      <c r="AL21" s="6">
        <f t="shared" si="5"/>
        <v>1</v>
      </c>
      <c r="AM21" s="5">
        <v>2</v>
      </c>
      <c r="AN21" s="5">
        <v>19</v>
      </c>
      <c r="AO21" s="5">
        <v>1</v>
      </c>
      <c r="AP21" s="5">
        <v>1</v>
      </c>
    </row>
    <row r="22" spans="1:42" ht="15.75" customHeight="1" x14ac:dyDescent="0.35">
      <c r="A22" s="9">
        <v>21</v>
      </c>
      <c r="B22" s="13" t="s">
        <v>50</v>
      </c>
      <c r="C22" s="15" t="s">
        <v>52</v>
      </c>
      <c r="D22" s="13" t="s">
        <v>51</v>
      </c>
      <c r="E22" s="9">
        <v>2</v>
      </c>
      <c r="F22" s="9">
        <v>1</v>
      </c>
      <c r="G22" s="9">
        <v>2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10">
        <f>IFERROR(IF(H22=P22, H22,""),"")</f>
        <v>0</v>
      </c>
      <c r="Y22" s="10">
        <v>1</v>
      </c>
      <c r="Z22" s="10">
        <v>0</v>
      </c>
      <c r="AA22" s="10">
        <v>0</v>
      </c>
      <c r="AB22" s="10">
        <f>IFERROR(IF(L22=T22, L22,""),"")</f>
        <v>0</v>
      </c>
      <c r="AC22" s="10">
        <v>0</v>
      </c>
      <c r="AD22" s="10">
        <f t="shared" si="8"/>
        <v>0</v>
      </c>
      <c r="AE22" s="10">
        <f t="shared" si="8"/>
        <v>0</v>
      </c>
      <c r="AF22" s="11">
        <f t="shared" si="1"/>
        <v>0.5</v>
      </c>
      <c r="AG22" s="11">
        <f t="shared" si="2"/>
        <v>0</v>
      </c>
      <c r="AH22" s="11">
        <f t="shared" si="3"/>
        <v>0</v>
      </c>
      <c r="AI22" s="11">
        <f t="shared" si="4"/>
        <v>0</v>
      </c>
      <c r="AJ22" s="5">
        <v>0</v>
      </c>
      <c r="AK22" s="5">
        <v>0</v>
      </c>
      <c r="AL22" s="6">
        <f t="shared" si="5"/>
        <v>0</v>
      </c>
      <c r="AM22" s="5">
        <v>1</v>
      </c>
      <c r="AN22" s="5">
        <v>22</v>
      </c>
      <c r="AO22" s="5">
        <v>3</v>
      </c>
      <c r="AP22" s="5">
        <v>1</v>
      </c>
    </row>
    <row r="23" spans="1:42" ht="15.75" customHeight="1" x14ac:dyDescent="0.35">
      <c r="A23" s="9">
        <v>22</v>
      </c>
      <c r="B23" s="13" t="s">
        <v>50</v>
      </c>
      <c r="C23" s="15" t="s">
        <v>52</v>
      </c>
      <c r="D23" s="13" t="s">
        <v>51</v>
      </c>
      <c r="E23" s="9">
        <v>2</v>
      </c>
      <c r="F23" s="9">
        <v>2</v>
      </c>
      <c r="G23" s="9">
        <v>1</v>
      </c>
      <c r="H23" s="5">
        <v>1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1</v>
      </c>
      <c r="O23" s="5">
        <v>0</v>
      </c>
      <c r="P23" s="5">
        <v>0</v>
      </c>
      <c r="Q23" s="5">
        <v>1</v>
      </c>
      <c r="R23" s="5">
        <v>1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10">
        <v>0</v>
      </c>
      <c r="Y23" s="10">
        <v>1</v>
      </c>
      <c r="Z23" s="10">
        <v>1</v>
      </c>
      <c r="AA23" s="10">
        <v>1</v>
      </c>
      <c r="AB23" s="10">
        <v>0</v>
      </c>
      <c r="AC23" s="10">
        <f>IFERROR(IF(M23=U23, M23,""),"")</f>
        <v>0</v>
      </c>
      <c r="AD23" s="10">
        <v>1</v>
      </c>
      <c r="AE23" s="10">
        <f>IFERROR(IF(O23=W23, O23,""),"")</f>
        <v>0</v>
      </c>
      <c r="AF23" s="11">
        <f t="shared" si="1"/>
        <v>0.5</v>
      </c>
      <c r="AG23" s="11">
        <f t="shared" si="2"/>
        <v>1</v>
      </c>
      <c r="AH23" s="11">
        <f t="shared" si="3"/>
        <v>0</v>
      </c>
      <c r="AI23" s="11">
        <f t="shared" si="4"/>
        <v>0.5</v>
      </c>
      <c r="AJ23" s="5">
        <v>0</v>
      </c>
      <c r="AK23" s="5">
        <v>0</v>
      </c>
      <c r="AL23" s="6">
        <f t="shared" si="5"/>
        <v>0</v>
      </c>
      <c r="AM23" s="5">
        <v>1</v>
      </c>
      <c r="AN23" s="5">
        <v>19</v>
      </c>
      <c r="AO23" s="5">
        <v>1</v>
      </c>
      <c r="AP23" s="5">
        <v>1</v>
      </c>
    </row>
    <row r="24" spans="1:42" ht="15.75" customHeight="1" x14ac:dyDescent="0.35">
      <c r="A24" s="9">
        <v>23</v>
      </c>
      <c r="B24" s="13" t="s">
        <v>50</v>
      </c>
      <c r="C24" s="15" t="s">
        <v>52</v>
      </c>
      <c r="D24" s="13" t="s">
        <v>51</v>
      </c>
      <c r="E24" s="9">
        <v>2</v>
      </c>
      <c r="F24" s="9">
        <v>3</v>
      </c>
      <c r="G24" s="9">
        <v>2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</v>
      </c>
      <c r="Q24" s="5">
        <v>1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10">
        <f t="shared" ref="X24:AE32" si="10">IFERROR(IF(H24=P24, H24,""),"")</f>
        <v>1</v>
      </c>
      <c r="Y24" s="10">
        <v>1</v>
      </c>
      <c r="Z24" s="10">
        <f t="shared" ref="Z24:AE24" si="11">IFERROR(IF(J24=R24, J24,""),"")</f>
        <v>0</v>
      </c>
      <c r="AA24" s="10">
        <f t="shared" si="11"/>
        <v>0</v>
      </c>
      <c r="AB24" s="10">
        <f t="shared" si="11"/>
        <v>0</v>
      </c>
      <c r="AC24" s="10">
        <f t="shared" si="11"/>
        <v>0</v>
      </c>
      <c r="AD24" s="10">
        <f t="shared" si="11"/>
        <v>0</v>
      </c>
      <c r="AE24" s="10">
        <f t="shared" si="11"/>
        <v>0</v>
      </c>
      <c r="AF24" s="11">
        <f t="shared" si="1"/>
        <v>1</v>
      </c>
      <c r="AG24" s="11">
        <f t="shared" si="2"/>
        <v>0</v>
      </c>
      <c r="AH24" s="11">
        <f t="shared" si="3"/>
        <v>0</v>
      </c>
      <c r="AI24" s="11">
        <f t="shared" si="4"/>
        <v>0</v>
      </c>
      <c r="AJ24" s="5">
        <v>0</v>
      </c>
      <c r="AK24" s="5">
        <v>0</v>
      </c>
      <c r="AL24" s="6">
        <f t="shared" si="5"/>
        <v>0</v>
      </c>
      <c r="AM24" s="5">
        <v>1</v>
      </c>
      <c r="AN24" s="5">
        <v>19</v>
      </c>
      <c r="AO24" s="5">
        <v>1</v>
      </c>
      <c r="AP24" s="5">
        <v>1</v>
      </c>
    </row>
    <row r="25" spans="1:42" ht="15.75" customHeight="1" x14ac:dyDescent="0.35">
      <c r="A25" s="9">
        <v>24</v>
      </c>
      <c r="B25" s="13" t="s">
        <v>50</v>
      </c>
      <c r="C25" s="15" t="s">
        <v>52</v>
      </c>
      <c r="D25" s="13" t="s">
        <v>51</v>
      </c>
      <c r="E25" s="9">
        <v>2</v>
      </c>
      <c r="F25" s="9">
        <v>4</v>
      </c>
      <c r="G25" s="9">
        <v>1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10">
        <f t="shared" si="10"/>
        <v>0</v>
      </c>
      <c r="Y25" s="10">
        <f t="shared" si="10"/>
        <v>0</v>
      </c>
      <c r="Z25" s="10">
        <f t="shared" si="10"/>
        <v>0</v>
      </c>
      <c r="AA25" s="10">
        <f t="shared" si="10"/>
        <v>0</v>
      </c>
      <c r="AB25" s="10">
        <f t="shared" si="10"/>
        <v>0</v>
      </c>
      <c r="AC25" s="10">
        <f t="shared" si="10"/>
        <v>0</v>
      </c>
      <c r="AD25" s="10">
        <f t="shared" si="10"/>
        <v>0</v>
      </c>
      <c r="AE25" s="10">
        <f t="shared" si="10"/>
        <v>0</v>
      </c>
      <c r="AF25" s="11">
        <f t="shared" si="1"/>
        <v>0</v>
      </c>
      <c r="AG25" s="11">
        <f t="shared" si="2"/>
        <v>0</v>
      </c>
      <c r="AH25" s="11">
        <f t="shared" si="3"/>
        <v>0</v>
      </c>
      <c r="AI25" s="11">
        <f t="shared" si="4"/>
        <v>0</v>
      </c>
      <c r="AJ25" s="5">
        <v>0</v>
      </c>
      <c r="AK25" s="5">
        <v>0</v>
      </c>
      <c r="AL25" s="6">
        <f t="shared" si="5"/>
        <v>0</v>
      </c>
      <c r="AM25" s="5">
        <v>1</v>
      </c>
      <c r="AN25" s="5">
        <v>18</v>
      </c>
      <c r="AO25" s="5">
        <v>1</v>
      </c>
      <c r="AP25" s="5">
        <v>1</v>
      </c>
    </row>
    <row r="26" spans="1:42" ht="15.75" customHeight="1" x14ac:dyDescent="0.35">
      <c r="A26" s="9">
        <v>25</v>
      </c>
      <c r="B26" s="13" t="s">
        <v>50</v>
      </c>
      <c r="C26" s="15" t="s">
        <v>52</v>
      </c>
      <c r="D26" s="13" t="s">
        <v>51</v>
      </c>
      <c r="E26" s="9">
        <v>1</v>
      </c>
      <c r="F26" s="9">
        <v>1</v>
      </c>
      <c r="G26" s="9">
        <v>2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0</v>
      </c>
      <c r="W26" s="5">
        <v>0</v>
      </c>
      <c r="X26" s="10">
        <f t="shared" si="10"/>
        <v>0</v>
      </c>
      <c r="Y26" s="10">
        <f t="shared" si="10"/>
        <v>0</v>
      </c>
      <c r="Z26" s="10">
        <f t="shared" si="10"/>
        <v>0</v>
      </c>
      <c r="AA26" s="10">
        <v>1</v>
      </c>
      <c r="AB26" s="10">
        <f t="shared" si="10"/>
        <v>0</v>
      </c>
      <c r="AC26" s="10">
        <f t="shared" si="10"/>
        <v>0</v>
      </c>
      <c r="AD26" s="10">
        <v>1</v>
      </c>
      <c r="AE26" s="10">
        <f>IFERROR(IF(O26=W26, O26,""),"")</f>
        <v>0</v>
      </c>
      <c r="AF26" s="11">
        <f t="shared" si="1"/>
        <v>0</v>
      </c>
      <c r="AG26" s="11">
        <f t="shared" si="2"/>
        <v>0.5</v>
      </c>
      <c r="AH26" s="11">
        <f t="shared" si="3"/>
        <v>0</v>
      </c>
      <c r="AI26" s="11">
        <f t="shared" si="4"/>
        <v>0.5</v>
      </c>
      <c r="AJ26" s="5">
        <v>0</v>
      </c>
      <c r="AK26" s="5">
        <v>0</v>
      </c>
      <c r="AL26" s="6">
        <f t="shared" si="5"/>
        <v>0</v>
      </c>
      <c r="AM26" s="5">
        <v>2</v>
      </c>
      <c r="AN26" s="5">
        <v>19</v>
      </c>
      <c r="AO26" s="5">
        <v>2</v>
      </c>
      <c r="AP26" s="5">
        <v>1</v>
      </c>
    </row>
    <row r="27" spans="1:42" ht="15.75" customHeight="1" x14ac:dyDescent="0.35">
      <c r="A27" s="9">
        <v>26</v>
      </c>
      <c r="B27" s="13" t="s">
        <v>50</v>
      </c>
      <c r="C27" s="15" t="s">
        <v>52</v>
      </c>
      <c r="D27" s="13" t="s">
        <v>51</v>
      </c>
      <c r="E27" s="9">
        <v>1</v>
      </c>
      <c r="F27" s="9">
        <v>2</v>
      </c>
      <c r="G27" s="9">
        <v>1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10">
        <f t="shared" si="10"/>
        <v>0</v>
      </c>
      <c r="Y27" s="10">
        <f t="shared" si="10"/>
        <v>0</v>
      </c>
      <c r="Z27" s="10">
        <f t="shared" si="10"/>
        <v>0</v>
      </c>
      <c r="AA27" s="10">
        <f t="shared" si="10"/>
        <v>0</v>
      </c>
      <c r="AB27" s="10">
        <f t="shared" si="10"/>
        <v>0</v>
      </c>
      <c r="AC27" s="10">
        <f t="shared" si="10"/>
        <v>0</v>
      </c>
      <c r="AD27" s="10">
        <f t="shared" si="10"/>
        <v>0</v>
      </c>
      <c r="AE27" s="10">
        <f t="shared" si="10"/>
        <v>0</v>
      </c>
      <c r="AF27" s="11">
        <f t="shared" si="1"/>
        <v>0</v>
      </c>
      <c r="AG27" s="11">
        <f t="shared" si="2"/>
        <v>0</v>
      </c>
      <c r="AH27" s="11">
        <f t="shared" si="3"/>
        <v>0</v>
      </c>
      <c r="AI27" s="11">
        <f t="shared" si="4"/>
        <v>0</v>
      </c>
      <c r="AJ27" s="5">
        <v>0</v>
      </c>
      <c r="AK27" s="5">
        <v>0</v>
      </c>
      <c r="AL27" s="6">
        <f t="shared" si="5"/>
        <v>0</v>
      </c>
      <c r="AM27" s="5">
        <v>2</v>
      </c>
      <c r="AN27" s="5">
        <v>19</v>
      </c>
      <c r="AO27" s="5">
        <v>2</v>
      </c>
      <c r="AP27" s="5">
        <v>1</v>
      </c>
    </row>
    <row r="28" spans="1:42" ht="15.75" customHeight="1" x14ac:dyDescent="0.35">
      <c r="A28" s="9">
        <v>27</v>
      </c>
      <c r="B28" s="13" t="s">
        <v>50</v>
      </c>
      <c r="C28" s="15" t="s">
        <v>52</v>
      </c>
      <c r="D28" s="13" t="s">
        <v>51</v>
      </c>
      <c r="E28" s="9">
        <v>1</v>
      </c>
      <c r="F28" s="9">
        <v>3</v>
      </c>
      <c r="G28" s="9">
        <v>2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10">
        <f t="shared" si="10"/>
        <v>0</v>
      </c>
      <c r="Y28" s="10">
        <f t="shared" si="10"/>
        <v>0</v>
      </c>
      <c r="Z28" s="10">
        <f t="shared" si="10"/>
        <v>0</v>
      </c>
      <c r="AA28" s="10">
        <f t="shared" si="10"/>
        <v>0</v>
      </c>
      <c r="AB28" s="10">
        <f t="shared" si="10"/>
        <v>0</v>
      </c>
      <c r="AC28" s="10">
        <f t="shared" si="10"/>
        <v>0</v>
      </c>
      <c r="AD28" s="10">
        <f t="shared" si="10"/>
        <v>0</v>
      </c>
      <c r="AE28" s="10">
        <f t="shared" si="10"/>
        <v>0</v>
      </c>
      <c r="AF28" s="11">
        <f t="shared" si="1"/>
        <v>0</v>
      </c>
      <c r="AG28" s="11">
        <f t="shared" si="2"/>
        <v>0</v>
      </c>
      <c r="AH28" s="11">
        <f t="shared" si="3"/>
        <v>0</v>
      </c>
      <c r="AI28" s="11">
        <f t="shared" si="4"/>
        <v>0</v>
      </c>
      <c r="AJ28" s="5">
        <v>0</v>
      </c>
      <c r="AK28" s="5">
        <v>0</v>
      </c>
      <c r="AL28" s="6">
        <f t="shared" si="5"/>
        <v>0</v>
      </c>
      <c r="AM28" s="5">
        <v>2</v>
      </c>
      <c r="AN28" s="5">
        <v>19</v>
      </c>
      <c r="AO28" s="5">
        <v>2</v>
      </c>
      <c r="AP28" s="5">
        <v>1</v>
      </c>
    </row>
    <row r="29" spans="1:42" ht="15.75" customHeight="1" x14ac:dyDescent="0.35">
      <c r="A29" s="9">
        <v>28</v>
      </c>
      <c r="B29" s="13" t="s">
        <v>50</v>
      </c>
      <c r="C29" s="15" t="s">
        <v>52</v>
      </c>
      <c r="D29" s="13" t="s">
        <v>51</v>
      </c>
      <c r="E29" s="9">
        <v>1</v>
      </c>
      <c r="F29" s="9">
        <v>4</v>
      </c>
      <c r="G29" s="9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10">
        <f t="shared" si="10"/>
        <v>0</v>
      </c>
      <c r="Y29" s="10">
        <f t="shared" si="10"/>
        <v>0</v>
      </c>
      <c r="Z29" s="10">
        <f t="shared" si="10"/>
        <v>0</v>
      </c>
      <c r="AA29" s="10">
        <f t="shared" si="10"/>
        <v>0</v>
      </c>
      <c r="AB29" s="10">
        <f t="shared" si="10"/>
        <v>0</v>
      </c>
      <c r="AC29" s="10">
        <f t="shared" si="10"/>
        <v>0</v>
      </c>
      <c r="AD29" s="10">
        <f t="shared" si="10"/>
        <v>0</v>
      </c>
      <c r="AE29" s="10">
        <f t="shared" si="10"/>
        <v>0</v>
      </c>
      <c r="AF29" s="11">
        <f t="shared" si="1"/>
        <v>0</v>
      </c>
      <c r="AG29" s="11">
        <f t="shared" si="2"/>
        <v>0</v>
      </c>
      <c r="AH29" s="11">
        <f t="shared" si="3"/>
        <v>0</v>
      </c>
      <c r="AI29" s="11">
        <f t="shared" si="4"/>
        <v>0</v>
      </c>
      <c r="AJ29" s="5">
        <v>0</v>
      </c>
      <c r="AK29" s="5">
        <v>0</v>
      </c>
      <c r="AL29" s="6">
        <f t="shared" si="5"/>
        <v>0</v>
      </c>
      <c r="AM29" s="5">
        <v>2</v>
      </c>
      <c r="AN29" s="5">
        <v>18</v>
      </c>
      <c r="AO29" s="5">
        <v>1</v>
      </c>
      <c r="AP29" s="5">
        <v>1</v>
      </c>
    </row>
    <row r="30" spans="1:42" ht="15.75" customHeight="1" x14ac:dyDescent="0.35">
      <c r="A30" s="9">
        <v>29</v>
      </c>
      <c r="B30" s="13" t="s">
        <v>50</v>
      </c>
      <c r="C30" s="15" t="s">
        <v>52</v>
      </c>
      <c r="D30" s="13" t="s">
        <v>51</v>
      </c>
      <c r="E30" s="9">
        <v>2</v>
      </c>
      <c r="F30" s="9">
        <v>1</v>
      </c>
      <c r="G30" s="9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10">
        <f t="shared" si="10"/>
        <v>0</v>
      </c>
      <c r="Y30" s="10">
        <f t="shared" si="10"/>
        <v>0</v>
      </c>
      <c r="Z30" s="10">
        <f t="shared" si="10"/>
        <v>0</v>
      </c>
      <c r="AA30" s="10">
        <f t="shared" si="10"/>
        <v>0</v>
      </c>
      <c r="AB30" s="10">
        <f t="shared" si="10"/>
        <v>0</v>
      </c>
      <c r="AC30" s="10">
        <f t="shared" si="10"/>
        <v>0</v>
      </c>
      <c r="AD30" s="10">
        <f t="shared" si="10"/>
        <v>0</v>
      </c>
      <c r="AE30" s="10">
        <f t="shared" si="10"/>
        <v>0</v>
      </c>
      <c r="AF30" s="11">
        <f t="shared" si="1"/>
        <v>0</v>
      </c>
      <c r="AG30" s="11">
        <f t="shared" si="2"/>
        <v>0</v>
      </c>
      <c r="AH30" s="11">
        <f t="shared" si="3"/>
        <v>0</v>
      </c>
      <c r="AI30" s="11">
        <f t="shared" si="4"/>
        <v>0</v>
      </c>
      <c r="AJ30" s="5">
        <v>0</v>
      </c>
      <c r="AK30" s="5">
        <v>0</v>
      </c>
      <c r="AL30" s="6">
        <f t="shared" si="5"/>
        <v>0</v>
      </c>
      <c r="AM30" s="5">
        <v>1</v>
      </c>
      <c r="AN30" s="5">
        <v>20</v>
      </c>
      <c r="AO30" s="5">
        <v>2</v>
      </c>
      <c r="AP30" s="5">
        <v>2</v>
      </c>
    </row>
    <row r="31" spans="1:42" ht="15.75" customHeight="1" x14ac:dyDescent="0.35">
      <c r="A31" s="9">
        <v>30</v>
      </c>
      <c r="B31" s="13" t="s">
        <v>50</v>
      </c>
      <c r="C31" s="15" t="s">
        <v>52</v>
      </c>
      <c r="D31" s="13" t="s">
        <v>51</v>
      </c>
      <c r="E31" s="9">
        <v>2</v>
      </c>
      <c r="F31" s="9">
        <v>2</v>
      </c>
      <c r="G31" s="9">
        <v>2</v>
      </c>
      <c r="H31" s="5">
        <v>0</v>
      </c>
      <c r="I31" s="5">
        <v>0</v>
      </c>
      <c r="J31" s="5">
        <v>0</v>
      </c>
      <c r="K31" s="5">
        <v>1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1</v>
      </c>
      <c r="R31" s="5">
        <v>1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10">
        <f t="shared" si="10"/>
        <v>0</v>
      </c>
      <c r="Y31" s="10">
        <v>1</v>
      </c>
      <c r="Z31" s="10">
        <v>1</v>
      </c>
      <c r="AA31" s="10">
        <v>0</v>
      </c>
      <c r="AB31" s="10">
        <f t="shared" si="10"/>
        <v>0</v>
      </c>
      <c r="AC31" s="10">
        <f t="shared" si="10"/>
        <v>0</v>
      </c>
      <c r="AD31" s="10">
        <v>0</v>
      </c>
      <c r="AE31" s="10">
        <f>IFERROR(IF(O31=W31, O31,""),"")</f>
        <v>0</v>
      </c>
      <c r="AF31" s="11">
        <f t="shared" si="1"/>
        <v>0.5</v>
      </c>
      <c r="AG31" s="11">
        <f t="shared" si="2"/>
        <v>0.5</v>
      </c>
      <c r="AH31" s="11">
        <f t="shared" si="3"/>
        <v>0</v>
      </c>
      <c r="AI31" s="11">
        <f t="shared" si="4"/>
        <v>0</v>
      </c>
      <c r="AJ31" s="5">
        <v>0</v>
      </c>
      <c r="AK31" s="5">
        <v>0</v>
      </c>
      <c r="AL31" s="6">
        <f t="shared" si="5"/>
        <v>0</v>
      </c>
      <c r="AM31" s="5">
        <v>1</v>
      </c>
      <c r="AN31" s="5">
        <v>22</v>
      </c>
      <c r="AO31" s="5">
        <v>1</v>
      </c>
      <c r="AP31" s="5">
        <v>1</v>
      </c>
    </row>
    <row r="32" spans="1:42" ht="15.75" customHeight="1" x14ac:dyDescent="0.35">
      <c r="A32" s="9">
        <v>31</v>
      </c>
      <c r="B32" s="13" t="s">
        <v>50</v>
      </c>
      <c r="C32" s="15" t="s">
        <v>52</v>
      </c>
      <c r="D32" s="13" t="s">
        <v>51</v>
      </c>
      <c r="E32" s="9">
        <v>2</v>
      </c>
      <c r="F32" s="9">
        <v>3</v>
      </c>
      <c r="G32" s="9">
        <v>1</v>
      </c>
      <c r="H32" s="5">
        <v>0</v>
      </c>
      <c r="I32" s="5">
        <v>0</v>
      </c>
      <c r="J32" s="5">
        <v>0</v>
      </c>
      <c r="K32" s="5">
        <v>1</v>
      </c>
      <c r="L32" s="5">
        <v>0</v>
      </c>
      <c r="M32" s="5">
        <v>0</v>
      </c>
      <c r="N32" s="5">
        <v>0</v>
      </c>
      <c r="O32" s="5">
        <v>1</v>
      </c>
      <c r="P32" s="5">
        <v>1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10">
        <v>1</v>
      </c>
      <c r="Y32" s="10">
        <f>IFERROR(IF(I32=Q32, I32,""),"")</f>
        <v>0</v>
      </c>
      <c r="Z32" s="10">
        <v>1</v>
      </c>
      <c r="AA32" s="10">
        <v>0</v>
      </c>
      <c r="AB32" s="10">
        <f t="shared" si="10"/>
        <v>0</v>
      </c>
      <c r="AC32" s="10">
        <f t="shared" si="10"/>
        <v>0</v>
      </c>
      <c r="AD32" s="10">
        <f t="shared" si="10"/>
        <v>0</v>
      </c>
      <c r="AE32" s="10">
        <v>0</v>
      </c>
      <c r="AF32" s="11">
        <f t="shared" si="1"/>
        <v>0.5</v>
      </c>
      <c r="AG32" s="11">
        <f t="shared" si="2"/>
        <v>0.5</v>
      </c>
      <c r="AH32" s="11">
        <f t="shared" si="3"/>
        <v>0</v>
      </c>
      <c r="AI32" s="11">
        <f t="shared" si="4"/>
        <v>0</v>
      </c>
      <c r="AJ32" s="5">
        <v>0</v>
      </c>
      <c r="AK32" s="5">
        <v>0</v>
      </c>
      <c r="AL32" s="6">
        <f t="shared" si="5"/>
        <v>0</v>
      </c>
      <c r="AM32" s="5">
        <v>1</v>
      </c>
      <c r="AN32" s="5">
        <v>19</v>
      </c>
      <c r="AO32" s="5">
        <v>2</v>
      </c>
      <c r="AP32" s="5">
        <v>1</v>
      </c>
    </row>
    <row r="33" spans="1:42" ht="15.75" customHeight="1" x14ac:dyDescent="0.35">
      <c r="A33" s="9">
        <v>32</v>
      </c>
      <c r="B33" s="13" t="s">
        <v>50</v>
      </c>
      <c r="C33" s="15" t="s">
        <v>52</v>
      </c>
      <c r="D33" s="13" t="s">
        <v>51</v>
      </c>
      <c r="E33" s="9">
        <v>2</v>
      </c>
      <c r="F33" s="9">
        <v>4</v>
      </c>
      <c r="G33" s="9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10">
        <f t="shared" ref="X33:AE42" si="12">IFERROR(IF(H33=P33, H33,""),"")</f>
        <v>0</v>
      </c>
      <c r="Y33" s="10">
        <f t="shared" si="12"/>
        <v>0</v>
      </c>
      <c r="Z33" s="10">
        <f t="shared" si="12"/>
        <v>0</v>
      </c>
      <c r="AA33" s="10">
        <f t="shared" si="12"/>
        <v>0</v>
      </c>
      <c r="AB33" s="10">
        <f t="shared" si="12"/>
        <v>0</v>
      </c>
      <c r="AC33" s="10">
        <f t="shared" si="12"/>
        <v>0</v>
      </c>
      <c r="AD33" s="10">
        <f t="shared" si="12"/>
        <v>0</v>
      </c>
      <c r="AE33" s="10">
        <f t="shared" si="12"/>
        <v>0</v>
      </c>
      <c r="AF33" s="11">
        <f t="shared" si="1"/>
        <v>0</v>
      </c>
      <c r="AG33" s="11">
        <f t="shared" si="2"/>
        <v>0</v>
      </c>
      <c r="AH33" s="11">
        <f t="shared" si="3"/>
        <v>0</v>
      </c>
      <c r="AI33" s="11">
        <f t="shared" si="4"/>
        <v>0</v>
      </c>
      <c r="AJ33" s="5">
        <v>0</v>
      </c>
      <c r="AK33" s="5">
        <v>0</v>
      </c>
      <c r="AL33" s="6">
        <f t="shared" si="5"/>
        <v>0</v>
      </c>
      <c r="AM33" s="5">
        <v>1</v>
      </c>
      <c r="AN33" s="5">
        <v>18</v>
      </c>
      <c r="AO33" s="5">
        <v>1</v>
      </c>
      <c r="AP33" s="5">
        <v>1</v>
      </c>
    </row>
    <row r="34" spans="1:42" ht="15.75" customHeight="1" x14ac:dyDescent="0.35">
      <c r="A34" s="9">
        <v>33</v>
      </c>
      <c r="B34" s="13" t="s">
        <v>50</v>
      </c>
      <c r="C34" s="15" t="s">
        <v>52</v>
      </c>
      <c r="D34" s="13" t="s">
        <v>51</v>
      </c>
      <c r="E34" s="9">
        <v>1</v>
      </c>
      <c r="F34" s="9">
        <v>1</v>
      </c>
      <c r="G34" s="9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10">
        <f t="shared" si="12"/>
        <v>0</v>
      </c>
      <c r="Y34" s="10">
        <f t="shared" si="12"/>
        <v>0</v>
      </c>
      <c r="Z34" s="10">
        <f t="shared" si="12"/>
        <v>0</v>
      </c>
      <c r="AA34" s="10">
        <f t="shared" si="12"/>
        <v>0</v>
      </c>
      <c r="AB34" s="10">
        <f t="shared" si="12"/>
        <v>0</v>
      </c>
      <c r="AC34" s="10">
        <f t="shared" si="12"/>
        <v>0</v>
      </c>
      <c r="AD34" s="10">
        <f t="shared" si="12"/>
        <v>0</v>
      </c>
      <c r="AE34" s="10">
        <f t="shared" si="12"/>
        <v>0</v>
      </c>
      <c r="AF34" s="11">
        <f t="shared" si="1"/>
        <v>0</v>
      </c>
      <c r="AG34" s="11">
        <f t="shared" si="2"/>
        <v>0</v>
      </c>
      <c r="AH34" s="11">
        <f t="shared" si="3"/>
        <v>0</v>
      </c>
      <c r="AI34" s="11">
        <f t="shared" si="4"/>
        <v>0</v>
      </c>
      <c r="AJ34" s="5">
        <v>0</v>
      </c>
      <c r="AK34" s="5">
        <v>0</v>
      </c>
      <c r="AL34" s="6">
        <f t="shared" si="5"/>
        <v>0</v>
      </c>
      <c r="AM34" s="5">
        <v>2</v>
      </c>
      <c r="AN34" s="5">
        <v>19</v>
      </c>
      <c r="AO34" s="5">
        <v>1</v>
      </c>
      <c r="AP34" s="5">
        <v>1</v>
      </c>
    </row>
    <row r="35" spans="1:42" ht="15.75" customHeight="1" x14ac:dyDescent="0.35">
      <c r="A35" s="9">
        <v>34</v>
      </c>
      <c r="B35" s="13" t="s">
        <v>50</v>
      </c>
      <c r="C35" s="15" t="s">
        <v>52</v>
      </c>
      <c r="D35" s="13" t="s">
        <v>51</v>
      </c>
      <c r="E35" s="9">
        <v>1</v>
      </c>
      <c r="F35" s="9">
        <v>2</v>
      </c>
      <c r="G35" s="9">
        <v>2</v>
      </c>
      <c r="H35" s="5">
        <v>1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1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10">
        <f t="shared" si="12"/>
        <v>1</v>
      </c>
      <c r="Y35" s="10">
        <f t="shared" si="12"/>
        <v>0</v>
      </c>
      <c r="Z35" s="10">
        <f t="shared" si="12"/>
        <v>1</v>
      </c>
      <c r="AA35" s="10">
        <f t="shared" si="12"/>
        <v>0</v>
      </c>
      <c r="AB35" s="10">
        <f t="shared" si="12"/>
        <v>0</v>
      </c>
      <c r="AC35" s="10">
        <f t="shared" si="12"/>
        <v>0</v>
      </c>
      <c r="AD35" s="10">
        <f t="shared" si="12"/>
        <v>0</v>
      </c>
      <c r="AE35" s="10">
        <f t="shared" si="12"/>
        <v>0</v>
      </c>
      <c r="AF35" s="11">
        <f t="shared" si="1"/>
        <v>0.5</v>
      </c>
      <c r="AG35" s="11">
        <f t="shared" si="2"/>
        <v>0.5</v>
      </c>
      <c r="AH35" s="11">
        <f t="shared" si="3"/>
        <v>0</v>
      </c>
      <c r="AI35" s="11">
        <f t="shared" si="4"/>
        <v>0</v>
      </c>
      <c r="AJ35" s="5">
        <v>0</v>
      </c>
      <c r="AK35" s="5">
        <v>0</v>
      </c>
      <c r="AL35" s="6">
        <f t="shared" si="5"/>
        <v>0</v>
      </c>
      <c r="AM35" s="5">
        <v>2</v>
      </c>
      <c r="AN35" s="5">
        <v>20</v>
      </c>
      <c r="AO35" s="5">
        <v>2</v>
      </c>
      <c r="AP35" s="5">
        <v>1</v>
      </c>
    </row>
    <row r="36" spans="1:42" ht="15.75" customHeight="1" x14ac:dyDescent="0.35">
      <c r="A36" s="9">
        <v>35</v>
      </c>
      <c r="B36" s="13" t="s">
        <v>50</v>
      </c>
      <c r="C36" s="15" t="s">
        <v>52</v>
      </c>
      <c r="D36" s="13" t="s">
        <v>51</v>
      </c>
      <c r="E36" s="9">
        <v>1</v>
      </c>
      <c r="F36" s="9">
        <v>3</v>
      </c>
      <c r="G36" s="9">
        <v>1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10">
        <f t="shared" si="12"/>
        <v>0</v>
      </c>
      <c r="Y36" s="10">
        <f t="shared" si="12"/>
        <v>0</v>
      </c>
      <c r="Z36" s="10">
        <f t="shared" si="12"/>
        <v>0</v>
      </c>
      <c r="AA36" s="10">
        <f t="shared" si="12"/>
        <v>0</v>
      </c>
      <c r="AB36" s="10">
        <f t="shared" si="12"/>
        <v>0</v>
      </c>
      <c r="AC36" s="10">
        <f t="shared" si="12"/>
        <v>0</v>
      </c>
      <c r="AD36" s="10">
        <f t="shared" si="12"/>
        <v>0</v>
      </c>
      <c r="AE36" s="10">
        <f t="shared" si="12"/>
        <v>0</v>
      </c>
      <c r="AF36" s="11">
        <f t="shared" si="1"/>
        <v>0</v>
      </c>
      <c r="AG36" s="11">
        <f t="shared" si="2"/>
        <v>0</v>
      </c>
      <c r="AH36" s="11">
        <f t="shared" si="3"/>
        <v>0</v>
      </c>
      <c r="AI36" s="11">
        <f t="shared" si="4"/>
        <v>0</v>
      </c>
      <c r="AJ36" s="5">
        <v>0</v>
      </c>
      <c r="AK36" s="5">
        <v>0</v>
      </c>
      <c r="AL36" s="6">
        <f t="shared" si="5"/>
        <v>0</v>
      </c>
      <c r="AM36" s="5">
        <v>2</v>
      </c>
      <c r="AN36" s="5">
        <v>18</v>
      </c>
      <c r="AO36" s="5">
        <v>1</v>
      </c>
      <c r="AP36" s="5">
        <v>1</v>
      </c>
    </row>
    <row r="37" spans="1:42" ht="15.75" customHeight="1" x14ac:dyDescent="0.35">
      <c r="A37" s="9">
        <v>36</v>
      </c>
      <c r="B37" s="13" t="s">
        <v>50</v>
      </c>
      <c r="C37" s="15" t="s">
        <v>52</v>
      </c>
      <c r="D37" s="13" t="s">
        <v>51</v>
      </c>
      <c r="E37" s="9">
        <v>1</v>
      </c>
      <c r="F37" s="9">
        <v>4</v>
      </c>
      <c r="G37" s="9">
        <v>2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10">
        <f t="shared" si="12"/>
        <v>0</v>
      </c>
      <c r="Y37" s="10">
        <f t="shared" si="12"/>
        <v>0</v>
      </c>
      <c r="Z37" s="10">
        <f t="shared" si="12"/>
        <v>0</v>
      </c>
      <c r="AA37" s="10">
        <f t="shared" si="12"/>
        <v>0</v>
      </c>
      <c r="AB37" s="10">
        <f t="shared" si="12"/>
        <v>0</v>
      </c>
      <c r="AC37" s="10">
        <f t="shared" si="12"/>
        <v>0</v>
      </c>
      <c r="AD37" s="10">
        <f t="shared" si="12"/>
        <v>0</v>
      </c>
      <c r="AE37" s="10">
        <f t="shared" si="12"/>
        <v>0</v>
      </c>
      <c r="AF37" s="11">
        <f t="shared" si="1"/>
        <v>0</v>
      </c>
      <c r="AG37" s="11">
        <f t="shared" si="2"/>
        <v>0</v>
      </c>
      <c r="AH37" s="11">
        <f t="shared" si="3"/>
        <v>0</v>
      </c>
      <c r="AI37" s="11">
        <f t="shared" si="4"/>
        <v>0</v>
      </c>
      <c r="AJ37" s="5">
        <v>0</v>
      </c>
      <c r="AK37" s="5">
        <v>0</v>
      </c>
      <c r="AL37" s="6">
        <f t="shared" si="5"/>
        <v>0</v>
      </c>
      <c r="AM37" s="5">
        <v>2</v>
      </c>
      <c r="AN37" s="5">
        <v>20</v>
      </c>
      <c r="AO37" s="5">
        <v>1</v>
      </c>
      <c r="AP37" s="5">
        <v>1</v>
      </c>
    </row>
    <row r="38" spans="1:42" ht="15.75" customHeight="1" x14ac:dyDescent="0.35">
      <c r="A38" s="9">
        <v>37</v>
      </c>
      <c r="B38" s="13" t="s">
        <v>50</v>
      </c>
      <c r="C38" s="15" t="s">
        <v>52</v>
      </c>
      <c r="D38" s="13" t="s">
        <v>51</v>
      </c>
      <c r="E38" s="9">
        <v>2</v>
      </c>
      <c r="F38" s="9">
        <v>1</v>
      </c>
      <c r="G38" s="9">
        <v>2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10">
        <f t="shared" si="12"/>
        <v>0</v>
      </c>
      <c r="Y38" s="10">
        <f t="shared" si="12"/>
        <v>0</v>
      </c>
      <c r="Z38" s="10">
        <f t="shared" si="12"/>
        <v>0</v>
      </c>
      <c r="AA38" s="10">
        <f t="shared" si="12"/>
        <v>0</v>
      </c>
      <c r="AB38" s="10">
        <f t="shared" si="12"/>
        <v>0</v>
      </c>
      <c r="AC38" s="10">
        <f t="shared" si="12"/>
        <v>0</v>
      </c>
      <c r="AD38" s="10">
        <f t="shared" si="12"/>
        <v>0</v>
      </c>
      <c r="AE38" s="10">
        <f t="shared" si="12"/>
        <v>0</v>
      </c>
      <c r="AF38" s="11">
        <f t="shared" si="1"/>
        <v>0</v>
      </c>
      <c r="AG38" s="11">
        <f t="shared" si="2"/>
        <v>0</v>
      </c>
      <c r="AH38" s="11">
        <f t="shared" si="3"/>
        <v>0</v>
      </c>
      <c r="AI38" s="11">
        <f t="shared" si="4"/>
        <v>0</v>
      </c>
      <c r="AJ38" s="5">
        <v>1</v>
      </c>
      <c r="AK38" s="5">
        <v>1</v>
      </c>
      <c r="AL38" s="6">
        <f t="shared" si="5"/>
        <v>1</v>
      </c>
      <c r="AM38" s="5">
        <v>1</v>
      </c>
      <c r="AN38" s="5">
        <v>18</v>
      </c>
      <c r="AO38" s="5">
        <v>1</v>
      </c>
      <c r="AP38" s="5">
        <v>1</v>
      </c>
    </row>
    <row r="39" spans="1:42" ht="15.75" customHeight="1" x14ac:dyDescent="0.35">
      <c r="A39" s="9">
        <v>38</v>
      </c>
      <c r="B39" s="13" t="s">
        <v>50</v>
      </c>
      <c r="C39" s="15" t="s">
        <v>52</v>
      </c>
      <c r="D39" s="13" t="s">
        <v>51</v>
      </c>
      <c r="E39" s="9">
        <v>2</v>
      </c>
      <c r="F39" s="9">
        <v>2</v>
      </c>
      <c r="G39" s="9">
        <v>1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  <c r="V39" s="5">
        <v>0</v>
      </c>
      <c r="W39" s="5">
        <v>0</v>
      </c>
      <c r="X39" s="10">
        <f t="shared" si="12"/>
        <v>0</v>
      </c>
      <c r="Y39" s="10">
        <f t="shared" si="12"/>
        <v>0</v>
      </c>
      <c r="Z39" s="10">
        <f t="shared" si="12"/>
        <v>0</v>
      </c>
      <c r="AA39" s="10">
        <v>1</v>
      </c>
      <c r="AB39" s="10">
        <v>0</v>
      </c>
      <c r="AC39" s="10">
        <f t="shared" si="12"/>
        <v>0</v>
      </c>
      <c r="AD39" s="10">
        <f t="shared" si="12"/>
        <v>0</v>
      </c>
      <c r="AE39" s="10">
        <f t="shared" si="12"/>
        <v>0</v>
      </c>
      <c r="AF39" s="11">
        <f t="shared" si="1"/>
        <v>0</v>
      </c>
      <c r="AG39" s="11">
        <f t="shared" si="2"/>
        <v>0.5</v>
      </c>
      <c r="AH39" s="11">
        <f t="shared" si="3"/>
        <v>0</v>
      </c>
      <c r="AI39" s="11">
        <f t="shared" si="4"/>
        <v>0</v>
      </c>
      <c r="AJ39" s="5">
        <v>0</v>
      </c>
      <c r="AK39" s="5">
        <v>0</v>
      </c>
      <c r="AL39" s="6">
        <f t="shared" si="5"/>
        <v>0</v>
      </c>
      <c r="AM39" s="5">
        <v>1</v>
      </c>
      <c r="AN39" s="5">
        <v>19</v>
      </c>
      <c r="AO39" s="5">
        <v>2</v>
      </c>
      <c r="AP39" s="5">
        <v>1</v>
      </c>
    </row>
    <row r="40" spans="1:42" ht="15.75" customHeight="1" x14ac:dyDescent="0.35">
      <c r="A40" s="9">
        <v>39</v>
      </c>
      <c r="B40" s="13" t="s">
        <v>50</v>
      </c>
      <c r="C40" s="15" t="s">
        <v>52</v>
      </c>
      <c r="D40" s="13" t="s">
        <v>51</v>
      </c>
      <c r="E40" s="9">
        <v>2</v>
      </c>
      <c r="F40" s="9">
        <v>3</v>
      </c>
      <c r="G40" s="9">
        <v>2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10" t="s">
        <v>54</v>
      </c>
      <c r="Y40" s="10">
        <f t="shared" si="12"/>
        <v>0</v>
      </c>
      <c r="Z40" s="10">
        <f t="shared" si="12"/>
        <v>0</v>
      </c>
      <c r="AA40" s="10">
        <f t="shared" si="12"/>
        <v>0</v>
      </c>
      <c r="AB40" s="10">
        <f t="shared" si="12"/>
        <v>0</v>
      </c>
      <c r="AC40" s="10">
        <f t="shared" si="12"/>
        <v>0</v>
      </c>
      <c r="AD40" s="10">
        <f t="shared" si="12"/>
        <v>0</v>
      </c>
      <c r="AE40" s="10">
        <f t="shared" si="12"/>
        <v>0</v>
      </c>
      <c r="AF40" s="11">
        <f t="shared" si="1"/>
        <v>0</v>
      </c>
      <c r="AG40" s="11">
        <f t="shared" si="2"/>
        <v>0</v>
      </c>
      <c r="AH40" s="11">
        <f t="shared" si="3"/>
        <v>0</v>
      </c>
      <c r="AI40" s="11">
        <f t="shared" si="4"/>
        <v>0</v>
      </c>
      <c r="AJ40" s="5">
        <v>0</v>
      </c>
      <c r="AK40" s="5">
        <v>0</v>
      </c>
      <c r="AL40" s="6">
        <f t="shared" si="5"/>
        <v>0</v>
      </c>
      <c r="AM40" s="5">
        <v>1</v>
      </c>
      <c r="AN40" s="5">
        <v>19</v>
      </c>
      <c r="AO40" s="5">
        <v>1</v>
      </c>
      <c r="AP40" s="5">
        <v>1</v>
      </c>
    </row>
    <row r="41" spans="1:42" ht="15.75" customHeight="1" x14ac:dyDescent="0.35">
      <c r="A41" s="9">
        <v>40</v>
      </c>
      <c r="B41" s="13" t="s">
        <v>50</v>
      </c>
      <c r="C41" s="15" t="s">
        <v>52</v>
      </c>
      <c r="D41" s="13" t="s">
        <v>51</v>
      </c>
      <c r="E41" s="9">
        <v>2</v>
      </c>
      <c r="F41" s="9">
        <v>4</v>
      </c>
      <c r="G41" s="9">
        <v>1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1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10">
        <v>1</v>
      </c>
      <c r="Y41" s="10">
        <v>0</v>
      </c>
      <c r="Z41" s="10">
        <f t="shared" si="12"/>
        <v>0</v>
      </c>
      <c r="AA41" s="10">
        <f t="shared" si="12"/>
        <v>0</v>
      </c>
      <c r="AB41" s="10">
        <f t="shared" si="12"/>
        <v>0</v>
      </c>
      <c r="AC41" s="10">
        <f t="shared" si="12"/>
        <v>0</v>
      </c>
      <c r="AD41" s="10">
        <f t="shared" si="12"/>
        <v>0</v>
      </c>
      <c r="AE41" s="10">
        <f t="shared" si="12"/>
        <v>0</v>
      </c>
      <c r="AF41" s="11">
        <f t="shared" si="1"/>
        <v>0.5</v>
      </c>
      <c r="AG41" s="11">
        <f t="shared" si="2"/>
        <v>0</v>
      </c>
      <c r="AH41" s="11">
        <f t="shared" si="3"/>
        <v>0</v>
      </c>
      <c r="AI41" s="11">
        <f t="shared" si="4"/>
        <v>0</v>
      </c>
      <c r="AJ41" s="5">
        <v>0</v>
      </c>
      <c r="AK41" s="5">
        <v>0</v>
      </c>
      <c r="AL41" s="6">
        <f t="shared" si="5"/>
        <v>0</v>
      </c>
      <c r="AM41" s="5">
        <v>1</v>
      </c>
      <c r="AN41" s="5">
        <v>18</v>
      </c>
      <c r="AO41" s="5">
        <v>2</v>
      </c>
      <c r="AP41" s="5">
        <v>1</v>
      </c>
    </row>
    <row r="42" spans="1:42" ht="15.75" customHeight="1" x14ac:dyDescent="0.35">
      <c r="A42" s="9">
        <v>41</v>
      </c>
      <c r="B42" s="13" t="s">
        <v>50</v>
      </c>
      <c r="C42" s="15" t="s">
        <v>52</v>
      </c>
      <c r="D42" s="13" t="s">
        <v>51</v>
      </c>
      <c r="E42" s="9">
        <v>1</v>
      </c>
      <c r="F42" s="9">
        <v>1</v>
      </c>
      <c r="G42" s="9">
        <v>2</v>
      </c>
      <c r="H42" s="5">
        <v>0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10">
        <v>1</v>
      </c>
      <c r="Y42" s="10">
        <v>0</v>
      </c>
      <c r="Z42" s="10">
        <f t="shared" si="12"/>
        <v>0</v>
      </c>
      <c r="AA42" s="10">
        <f t="shared" si="12"/>
        <v>0</v>
      </c>
      <c r="AB42" s="10">
        <f t="shared" si="12"/>
        <v>0</v>
      </c>
      <c r="AC42" s="10">
        <f t="shared" si="12"/>
        <v>0</v>
      </c>
      <c r="AD42" s="10">
        <f t="shared" si="12"/>
        <v>0</v>
      </c>
      <c r="AE42" s="10">
        <f t="shared" si="12"/>
        <v>0</v>
      </c>
      <c r="AF42" s="11">
        <f t="shared" si="1"/>
        <v>0.5</v>
      </c>
      <c r="AG42" s="11">
        <f t="shared" si="2"/>
        <v>0</v>
      </c>
      <c r="AH42" s="11">
        <f t="shared" si="3"/>
        <v>0</v>
      </c>
      <c r="AI42" s="11">
        <f t="shared" si="4"/>
        <v>0</v>
      </c>
      <c r="AJ42" s="5">
        <v>1</v>
      </c>
      <c r="AK42" s="5">
        <v>1</v>
      </c>
      <c r="AL42" s="6">
        <f t="shared" si="5"/>
        <v>1</v>
      </c>
      <c r="AM42" s="5">
        <v>2</v>
      </c>
      <c r="AN42" s="5">
        <v>18</v>
      </c>
      <c r="AO42" s="5">
        <v>1</v>
      </c>
      <c r="AP42" s="5">
        <v>1</v>
      </c>
    </row>
    <row r="43" spans="1:42" ht="15.75" customHeight="1" x14ac:dyDescent="0.35">
      <c r="A43" s="9">
        <v>42</v>
      </c>
      <c r="B43" s="13" t="s">
        <v>50</v>
      </c>
      <c r="C43" s="15" t="s">
        <v>52</v>
      </c>
      <c r="D43" s="13" t="s">
        <v>51</v>
      </c>
      <c r="E43" s="9">
        <v>1</v>
      </c>
      <c r="F43" s="9">
        <v>2</v>
      </c>
      <c r="G43" s="9">
        <v>1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10">
        <f t="shared" ref="X43:AE50" si="13">IFERROR(IF(H43=P43, H43,""),"")</f>
        <v>0</v>
      </c>
      <c r="Y43" s="10">
        <f t="shared" si="13"/>
        <v>0</v>
      </c>
      <c r="Z43" s="10">
        <f t="shared" si="13"/>
        <v>0</v>
      </c>
      <c r="AA43" s="10">
        <f t="shared" si="13"/>
        <v>0</v>
      </c>
      <c r="AB43" s="10">
        <f t="shared" si="13"/>
        <v>0</v>
      </c>
      <c r="AC43" s="10">
        <f t="shared" si="13"/>
        <v>0</v>
      </c>
      <c r="AD43" s="10">
        <f t="shared" si="13"/>
        <v>0</v>
      </c>
      <c r="AE43" s="10">
        <f t="shared" si="13"/>
        <v>0</v>
      </c>
      <c r="AF43" s="11">
        <f t="shared" si="1"/>
        <v>0</v>
      </c>
      <c r="AG43" s="11">
        <f t="shared" si="2"/>
        <v>0</v>
      </c>
      <c r="AH43" s="11">
        <f t="shared" si="3"/>
        <v>0</v>
      </c>
      <c r="AI43" s="11">
        <f t="shared" si="4"/>
        <v>0</v>
      </c>
      <c r="AJ43" s="5">
        <v>0</v>
      </c>
      <c r="AK43" s="5">
        <v>0</v>
      </c>
      <c r="AL43" s="6">
        <f t="shared" si="5"/>
        <v>0</v>
      </c>
      <c r="AM43" s="5">
        <v>2</v>
      </c>
      <c r="AN43" s="5">
        <v>19</v>
      </c>
      <c r="AO43" s="5">
        <v>1</v>
      </c>
      <c r="AP43" s="5">
        <v>1</v>
      </c>
    </row>
    <row r="44" spans="1:42" ht="15.75" customHeight="1" x14ac:dyDescent="0.35">
      <c r="A44" s="9">
        <v>43</v>
      </c>
      <c r="B44" s="13" t="s">
        <v>50</v>
      </c>
      <c r="C44" s="15" t="s">
        <v>52</v>
      </c>
      <c r="D44" s="13" t="s">
        <v>51</v>
      </c>
      <c r="E44" s="9">
        <v>1</v>
      </c>
      <c r="F44" s="9">
        <v>3</v>
      </c>
      <c r="G44" s="9">
        <v>2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10">
        <f t="shared" si="13"/>
        <v>0</v>
      </c>
      <c r="Y44" s="10">
        <f t="shared" si="13"/>
        <v>0</v>
      </c>
      <c r="Z44" s="10">
        <f t="shared" si="13"/>
        <v>0</v>
      </c>
      <c r="AA44" s="10">
        <f t="shared" si="13"/>
        <v>0</v>
      </c>
      <c r="AB44" s="10">
        <f t="shared" si="13"/>
        <v>0</v>
      </c>
      <c r="AC44" s="10">
        <f t="shared" si="13"/>
        <v>0</v>
      </c>
      <c r="AD44" s="10">
        <f t="shared" si="13"/>
        <v>0</v>
      </c>
      <c r="AE44" s="10">
        <f t="shared" si="13"/>
        <v>0</v>
      </c>
      <c r="AF44" s="11">
        <f t="shared" si="1"/>
        <v>0</v>
      </c>
      <c r="AG44" s="11">
        <f t="shared" si="2"/>
        <v>0</v>
      </c>
      <c r="AH44" s="11">
        <f t="shared" si="3"/>
        <v>0</v>
      </c>
      <c r="AI44" s="11">
        <f t="shared" si="4"/>
        <v>0</v>
      </c>
      <c r="AJ44" s="5">
        <v>0</v>
      </c>
      <c r="AK44" s="5">
        <v>0</v>
      </c>
      <c r="AL44" s="6">
        <f t="shared" si="5"/>
        <v>0</v>
      </c>
      <c r="AM44" s="5">
        <v>2</v>
      </c>
      <c r="AN44" s="5">
        <v>18</v>
      </c>
      <c r="AO44" s="5">
        <v>1</v>
      </c>
      <c r="AP44" s="5">
        <v>1</v>
      </c>
    </row>
    <row r="45" spans="1:42" ht="15.75" customHeight="1" x14ac:dyDescent="0.35">
      <c r="A45" s="9">
        <v>44</v>
      </c>
      <c r="B45" s="13" t="s">
        <v>50</v>
      </c>
      <c r="C45" s="15" t="s">
        <v>52</v>
      </c>
      <c r="D45" s="13" t="s">
        <v>51</v>
      </c>
      <c r="E45" s="9">
        <v>1</v>
      </c>
      <c r="F45" s="9">
        <v>4</v>
      </c>
      <c r="G45" s="9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1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10">
        <f t="shared" si="13"/>
        <v>0</v>
      </c>
      <c r="Y45" s="10">
        <f t="shared" si="13"/>
        <v>0</v>
      </c>
      <c r="Z45" s="10">
        <v>1</v>
      </c>
      <c r="AA45" s="10">
        <f t="shared" si="13"/>
        <v>0</v>
      </c>
      <c r="AB45" s="10">
        <f t="shared" si="13"/>
        <v>0</v>
      </c>
      <c r="AC45" s="10">
        <f t="shared" si="13"/>
        <v>0</v>
      </c>
      <c r="AD45" s="10">
        <f t="shared" si="13"/>
        <v>0</v>
      </c>
      <c r="AE45" s="10">
        <v>0</v>
      </c>
      <c r="AF45" s="11">
        <f t="shared" si="1"/>
        <v>0</v>
      </c>
      <c r="AG45" s="11">
        <f t="shared" si="2"/>
        <v>0.5</v>
      </c>
      <c r="AH45" s="11">
        <f t="shared" si="3"/>
        <v>0</v>
      </c>
      <c r="AI45" s="11">
        <f t="shared" si="4"/>
        <v>0</v>
      </c>
      <c r="AJ45" s="5">
        <v>0</v>
      </c>
      <c r="AK45" s="5">
        <v>0</v>
      </c>
      <c r="AL45" s="6">
        <f t="shared" si="5"/>
        <v>0</v>
      </c>
      <c r="AM45" s="5">
        <v>2</v>
      </c>
      <c r="AN45" s="5">
        <v>18</v>
      </c>
      <c r="AO45" s="5">
        <v>1</v>
      </c>
      <c r="AP45" s="5">
        <v>1</v>
      </c>
    </row>
    <row r="46" spans="1:42" ht="15.75" customHeight="1" x14ac:dyDescent="0.35">
      <c r="A46" s="9">
        <v>45</v>
      </c>
      <c r="B46" s="13" t="s">
        <v>50</v>
      </c>
      <c r="C46" s="15" t="s">
        <v>52</v>
      </c>
      <c r="D46" s="13" t="s">
        <v>51</v>
      </c>
      <c r="E46" s="9">
        <v>2</v>
      </c>
      <c r="F46" s="9">
        <v>1</v>
      </c>
      <c r="G46" s="9">
        <v>1</v>
      </c>
      <c r="H46" s="5">
        <v>1</v>
      </c>
      <c r="I46" s="5">
        <v>1</v>
      </c>
      <c r="J46" s="5">
        <v>0</v>
      </c>
      <c r="K46" s="5">
        <v>0</v>
      </c>
      <c r="L46" s="5">
        <v>1</v>
      </c>
      <c r="M46" s="5">
        <v>0</v>
      </c>
      <c r="N46" s="5">
        <v>0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s="5">
        <v>0</v>
      </c>
      <c r="U46" s="5">
        <v>0</v>
      </c>
      <c r="V46" s="5">
        <v>0</v>
      </c>
      <c r="W46" s="5">
        <v>0</v>
      </c>
      <c r="X46" s="10">
        <f t="shared" si="13"/>
        <v>1</v>
      </c>
      <c r="Y46" s="10">
        <f t="shared" si="13"/>
        <v>1</v>
      </c>
      <c r="Z46" s="10">
        <v>1</v>
      </c>
      <c r="AA46" s="10">
        <v>1</v>
      </c>
      <c r="AB46" s="10">
        <v>0</v>
      </c>
      <c r="AC46" s="10">
        <f t="shared" si="13"/>
        <v>0</v>
      </c>
      <c r="AD46" s="10">
        <f t="shared" si="13"/>
        <v>0</v>
      </c>
      <c r="AE46" s="10">
        <v>1</v>
      </c>
      <c r="AF46" s="11">
        <f t="shared" si="1"/>
        <v>1</v>
      </c>
      <c r="AG46" s="11">
        <f t="shared" si="2"/>
        <v>1</v>
      </c>
      <c r="AH46" s="11">
        <f t="shared" si="3"/>
        <v>0</v>
      </c>
      <c r="AI46" s="11">
        <f t="shared" si="4"/>
        <v>0.5</v>
      </c>
      <c r="AJ46" s="5">
        <v>0</v>
      </c>
      <c r="AK46" s="5">
        <v>0</v>
      </c>
      <c r="AL46" s="6">
        <f t="shared" si="5"/>
        <v>0</v>
      </c>
      <c r="AM46" s="5">
        <v>1</v>
      </c>
      <c r="AN46" s="5">
        <v>27</v>
      </c>
      <c r="AO46" s="5">
        <v>2</v>
      </c>
      <c r="AP46" s="5">
        <v>1</v>
      </c>
    </row>
    <row r="47" spans="1:42" ht="15.75" customHeight="1" x14ac:dyDescent="0.35">
      <c r="A47" s="9">
        <v>46</v>
      </c>
      <c r="B47" s="13" t="s">
        <v>50</v>
      </c>
      <c r="C47" s="15" t="s">
        <v>52</v>
      </c>
      <c r="D47" s="13" t="s">
        <v>51</v>
      </c>
      <c r="E47" s="9">
        <v>2</v>
      </c>
      <c r="F47" s="9">
        <v>2</v>
      </c>
      <c r="G47" s="9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10">
        <f t="shared" si="13"/>
        <v>0</v>
      </c>
      <c r="Y47" s="10">
        <f t="shared" si="13"/>
        <v>0</v>
      </c>
      <c r="Z47" s="10">
        <f t="shared" si="13"/>
        <v>0</v>
      </c>
      <c r="AA47" s="10">
        <f t="shared" si="13"/>
        <v>0</v>
      </c>
      <c r="AB47" s="10">
        <f t="shared" si="13"/>
        <v>0</v>
      </c>
      <c r="AC47" s="10">
        <f t="shared" si="13"/>
        <v>0</v>
      </c>
      <c r="AD47" s="10">
        <f t="shared" si="13"/>
        <v>0</v>
      </c>
      <c r="AE47" s="10">
        <f t="shared" si="13"/>
        <v>0</v>
      </c>
      <c r="AF47" s="11">
        <f t="shared" si="1"/>
        <v>0</v>
      </c>
      <c r="AG47" s="11">
        <f t="shared" si="2"/>
        <v>0</v>
      </c>
      <c r="AH47" s="11">
        <f t="shared" si="3"/>
        <v>0</v>
      </c>
      <c r="AI47" s="11">
        <f t="shared" si="4"/>
        <v>0</v>
      </c>
      <c r="AJ47" s="5">
        <v>0</v>
      </c>
      <c r="AK47" s="5">
        <v>0</v>
      </c>
      <c r="AL47" s="6">
        <f t="shared" si="5"/>
        <v>0</v>
      </c>
      <c r="AM47" s="5">
        <v>1</v>
      </c>
      <c r="AN47" s="5">
        <v>27</v>
      </c>
      <c r="AO47" s="5">
        <v>2</v>
      </c>
      <c r="AP47" s="5">
        <v>1</v>
      </c>
    </row>
    <row r="48" spans="1:42" ht="15.75" customHeight="1" x14ac:dyDescent="0.35">
      <c r="A48" s="9">
        <v>47</v>
      </c>
      <c r="B48" s="13" t="s">
        <v>50</v>
      </c>
      <c r="C48" s="15" t="s">
        <v>52</v>
      </c>
      <c r="D48" s="13" t="s">
        <v>51</v>
      </c>
      <c r="E48" s="9">
        <v>2</v>
      </c>
      <c r="F48" s="9">
        <v>3</v>
      </c>
      <c r="G48" s="9">
        <v>1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10">
        <f>IFERROR(IF(H48=P48, H48,""),"")</f>
        <v>0</v>
      </c>
      <c r="Y48" s="10">
        <v>1</v>
      </c>
      <c r="Z48" s="10">
        <f t="shared" si="13"/>
        <v>0</v>
      </c>
      <c r="AA48" s="10">
        <f t="shared" si="13"/>
        <v>0</v>
      </c>
      <c r="AB48" s="10">
        <f t="shared" si="13"/>
        <v>0</v>
      </c>
      <c r="AC48" s="10">
        <f t="shared" si="13"/>
        <v>0</v>
      </c>
      <c r="AD48" s="10">
        <f t="shared" si="13"/>
        <v>0</v>
      </c>
      <c r="AE48" s="10">
        <v>0</v>
      </c>
      <c r="AF48" s="11">
        <f t="shared" si="1"/>
        <v>0.5</v>
      </c>
      <c r="AG48" s="11">
        <f t="shared" si="2"/>
        <v>0</v>
      </c>
      <c r="AH48" s="11">
        <f t="shared" si="3"/>
        <v>0</v>
      </c>
      <c r="AI48" s="11">
        <f t="shared" si="4"/>
        <v>0</v>
      </c>
      <c r="AJ48" s="5">
        <v>0</v>
      </c>
      <c r="AK48" s="5">
        <v>0</v>
      </c>
      <c r="AL48" s="6">
        <f t="shared" si="5"/>
        <v>0</v>
      </c>
      <c r="AM48" s="5">
        <v>1</v>
      </c>
      <c r="AN48" s="5">
        <v>18</v>
      </c>
      <c r="AO48" s="5">
        <v>1</v>
      </c>
      <c r="AP48" s="5">
        <v>1</v>
      </c>
    </row>
    <row r="49" spans="1:42" ht="15.75" customHeight="1" x14ac:dyDescent="0.35">
      <c r="A49" s="9">
        <v>48</v>
      </c>
      <c r="B49" s="13" t="s">
        <v>50</v>
      </c>
      <c r="C49" s="15" t="s">
        <v>52</v>
      </c>
      <c r="D49" s="13" t="s">
        <v>51</v>
      </c>
      <c r="E49" s="9">
        <v>2</v>
      </c>
      <c r="F49" s="9">
        <v>4</v>
      </c>
      <c r="G49" s="9">
        <v>2</v>
      </c>
      <c r="H49" s="5">
        <v>0</v>
      </c>
      <c r="I49" s="5">
        <v>0</v>
      </c>
      <c r="J49" s="5">
        <v>0</v>
      </c>
      <c r="K49" s="5">
        <v>0</v>
      </c>
      <c r="L49" s="5">
        <v>1</v>
      </c>
      <c r="M49" s="5">
        <v>0</v>
      </c>
      <c r="N49" s="5">
        <v>1</v>
      </c>
      <c r="O49" s="5">
        <v>0</v>
      </c>
      <c r="P49" s="5">
        <v>1</v>
      </c>
      <c r="Q49" s="5">
        <v>1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10">
        <v>1</v>
      </c>
      <c r="Y49" s="10">
        <v>1</v>
      </c>
      <c r="Z49" s="10">
        <f t="shared" si="13"/>
        <v>0</v>
      </c>
      <c r="AA49" s="10">
        <f t="shared" si="13"/>
        <v>0</v>
      </c>
      <c r="AB49" s="10">
        <v>0</v>
      </c>
      <c r="AC49" s="10">
        <f t="shared" si="13"/>
        <v>0</v>
      </c>
      <c r="AD49" s="10">
        <v>0</v>
      </c>
      <c r="AE49" s="10">
        <f>IFERROR(IF(O49=W49, O49,""),"")</f>
        <v>0</v>
      </c>
      <c r="AF49" s="11">
        <f t="shared" si="1"/>
        <v>1</v>
      </c>
      <c r="AG49" s="11">
        <f t="shared" si="2"/>
        <v>0</v>
      </c>
      <c r="AH49" s="11">
        <f t="shared" si="3"/>
        <v>0</v>
      </c>
      <c r="AI49" s="11">
        <f t="shared" si="4"/>
        <v>0</v>
      </c>
      <c r="AJ49" s="5">
        <v>0</v>
      </c>
      <c r="AK49" s="5">
        <v>0</v>
      </c>
      <c r="AL49" s="6">
        <f t="shared" si="5"/>
        <v>0</v>
      </c>
      <c r="AM49" s="5">
        <v>1</v>
      </c>
      <c r="AN49" s="5">
        <v>20</v>
      </c>
      <c r="AO49" s="5">
        <v>1</v>
      </c>
      <c r="AP49" s="5">
        <v>1</v>
      </c>
    </row>
    <row r="50" spans="1:42" ht="15.75" customHeight="1" x14ac:dyDescent="0.35">
      <c r="A50" s="9">
        <v>49</v>
      </c>
      <c r="B50" s="13" t="s">
        <v>50</v>
      </c>
      <c r="C50" s="15" t="s">
        <v>52</v>
      </c>
      <c r="D50" s="13" t="s">
        <v>51</v>
      </c>
      <c r="E50" s="9">
        <v>1</v>
      </c>
      <c r="F50" s="9">
        <v>1</v>
      </c>
      <c r="G50" s="9">
        <v>1</v>
      </c>
      <c r="H50" s="5">
        <v>0</v>
      </c>
      <c r="I50" s="5">
        <v>0</v>
      </c>
      <c r="J50" s="5">
        <v>1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5">
        <v>0</v>
      </c>
      <c r="Q50" s="5">
        <v>1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10">
        <f>IFERROR(IF(H50=P50, H50,""),"")</f>
        <v>0</v>
      </c>
      <c r="Y50" s="10">
        <v>1</v>
      </c>
      <c r="Z50" s="10">
        <v>0</v>
      </c>
      <c r="AA50" s="10">
        <v>1</v>
      </c>
      <c r="AB50" s="10">
        <v>0</v>
      </c>
      <c r="AC50" s="10">
        <f t="shared" si="13"/>
        <v>0</v>
      </c>
      <c r="AD50" s="10">
        <f t="shared" si="13"/>
        <v>0</v>
      </c>
      <c r="AE50" s="10">
        <f t="shared" si="13"/>
        <v>0</v>
      </c>
      <c r="AF50" s="11">
        <f t="shared" si="1"/>
        <v>0.5</v>
      </c>
      <c r="AG50" s="11">
        <f t="shared" si="2"/>
        <v>0.5</v>
      </c>
      <c r="AH50" s="11">
        <f t="shared" si="3"/>
        <v>0</v>
      </c>
      <c r="AI50" s="11">
        <f t="shared" si="4"/>
        <v>0</v>
      </c>
      <c r="AJ50" s="5">
        <v>0</v>
      </c>
      <c r="AK50" s="5">
        <v>0</v>
      </c>
      <c r="AL50" s="6">
        <f t="shared" si="5"/>
        <v>0</v>
      </c>
      <c r="AM50" s="5">
        <v>2</v>
      </c>
      <c r="AN50" s="5">
        <v>18</v>
      </c>
      <c r="AO50" s="5">
        <v>1</v>
      </c>
      <c r="AP50" s="5">
        <v>1</v>
      </c>
    </row>
    <row r="51" spans="1:42" ht="15.75" customHeight="1" x14ac:dyDescent="0.35">
      <c r="A51" s="9">
        <v>50</v>
      </c>
      <c r="B51" s="13" t="s">
        <v>50</v>
      </c>
      <c r="C51" s="15" t="s">
        <v>52</v>
      </c>
      <c r="D51" s="13" t="s">
        <v>51</v>
      </c>
      <c r="E51" s="9">
        <v>1</v>
      </c>
      <c r="F51" s="9">
        <v>2</v>
      </c>
      <c r="G51" s="9">
        <v>2</v>
      </c>
      <c r="H51" s="5">
        <v>0</v>
      </c>
      <c r="I51" s="5">
        <v>1</v>
      </c>
      <c r="J51" s="5">
        <v>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10">
        <v>1</v>
      </c>
      <c r="Y51" s="10">
        <f>IFERROR(IF(I51=Q51, I51,""),"")</f>
        <v>1</v>
      </c>
      <c r="Z51" s="10">
        <v>0</v>
      </c>
      <c r="AA51" s="10">
        <f t="shared" ref="AA51:AE51" si="14">IFERROR(IF(K51=S51, K51,""),"")</f>
        <v>0</v>
      </c>
      <c r="AB51" s="10">
        <f t="shared" si="14"/>
        <v>0</v>
      </c>
      <c r="AC51" s="10">
        <f t="shared" si="14"/>
        <v>0</v>
      </c>
      <c r="AD51" s="10">
        <f t="shared" si="14"/>
        <v>0</v>
      </c>
      <c r="AE51" s="10">
        <f t="shared" si="14"/>
        <v>0</v>
      </c>
      <c r="AF51" s="11">
        <f t="shared" si="1"/>
        <v>1</v>
      </c>
      <c r="AG51" s="11">
        <f t="shared" si="2"/>
        <v>0</v>
      </c>
      <c r="AH51" s="11">
        <f t="shared" si="3"/>
        <v>0</v>
      </c>
      <c r="AI51" s="11">
        <f t="shared" si="4"/>
        <v>0</v>
      </c>
      <c r="AJ51" s="5">
        <v>0</v>
      </c>
      <c r="AK51" s="5">
        <v>0</v>
      </c>
      <c r="AL51" s="6">
        <f t="shared" si="5"/>
        <v>0</v>
      </c>
      <c r="AM51" s="5">
        <v>2</v>
      </c>
      <c r="AN51" s="5">
        <v>18</v>
      </c>
      <c r="AO51" s="5">
        <v>1</v>
      </c>
      <c r="AP51" s="5">
        <v>1</v>
      </c>
    </row>
    <row r="52" spans="1:42" ht="15.75" customHeight="1" x14ac:dyDescent="0.35">
      <c r="A52" s="9">
        <v>51</v>
      </c>
      <c r="B52" s="13" t="s">
        <v>50</v>
      </c>
      <c r="C52" s="15" t="s">
        <v>52</v>
      </c>
      <c r="D52" s="13" t="s">
        <v>51</v>
      </c>
      <c r="E52" s="9">
        <v>1</v>
      </c>
      <c r="F52" s="9">
        <v>3</v>
      </c>
      <c r="G52" s="9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10">
        <f t="shared" ref="X52:AE63" si="15">IFERROR(IF(H52=P52, H52,""),"")</f>
        <v>0</v>
      </c>
      <c r="Y52" s="10">
        <f t="shared" si="15"/>
        <v>0</v>
      </c>
      <c r="Z52" s="10">
        <f t="shared" si="15"/>
        <v>0</v>
      </c>
      <c r="AA52" s="10">
        <f t="shared" si="15"/>
        <v>0</v>
      </c>
      <c r="AB52" s="10">
        <f t="shared" si="15"/>
        <v>0</v>
      </c>
      <c r="AC52" s="10">
        <f t="shared" si="15"/>
        <v>0</v>
      </c>
      <c r="AD52" s="10">
        <f t="shared" si="15"/>
        <v>0</v>
      </c>
      <c r="AE52" s="10">
        <f t="shared" si="15"/>
        <v>0</v>
      </c>
      <c r="AF52" s="11">
        <f t="shared" si="1"/>
        <v>0</v>
      </c>
      <c r="AG52" s="11">
        <f t="shared" si="2"/>
        <v>0</v>
      </c>
      <c r="AH52" s="11">
        <f t="shared" si="3"/>
        <v>0</v>
      </c>
      <c r="AI52" s="11">
        <f t="shared" si="4"/>
        <v>0</v>
      </c>
      <c r="AJ52" s="5">
        <v>0</v>
      </c>
      <c r="AK52" s="5">
        <v>0</v>
      </c>
      <c r="AL52" s="6">
        <f t="shared" si="5"/>
        <v>0</v>
      </c>
      <c r="AM52" s="5">
        <v>2</v>
      </c>
      <c r="AN52" s="5">
        <v>19</v>
      </c>
      <c r="AO52" s="5">
        <v>2</v>
      </c>
      <c r="AP52" s="5">
        <v>2</v>
      </c>
    </row>
    <row r="53" spans="1:42" ht="15.75" customHeight="1" x14ac:dyDescent="0.35">
      <c r="A53" s="9">
        <v>52</v>
      </c>
      <c r="B53" s="13" t="s">
        <v>50</v>
      </c>
      <c r="C53" s="15" t="s">
        <v>52</v>
      </c>
      <c r="D53" s="13" t="s">
        <v>51</v>
      </c>
      <c r="E53" s="9">
        <v>1</v>
      </c>
      <c r="F53" s="9">
        <v>4</v>
      </c>
      <c r="G53" s="9">
        <v>2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10">
        <f t="shared" si="15"/>
        <v>0</v>
      </c>
      <c r="Y53" s="10">
        <f t="shared" si="15"/>
        <v>0</v>
      </c>
      <c r="Z53" s="10">
        <f t="shared" si="15"/>
        <v>0</v>
      </c>
      <c r="AA53" s="10">
        <f t="shared" si="15"/>
        <v>0</v>
      </c>
      <c r="AB53" s="10">
        <f t="shared" si="15"/>
        <v>0</v>
      </c>
      <c r="AC53" s="10">
        <f t="shared" si="15"/>
        <v>0</v>
      </c>
      <c r="AD53" s="10">
        <f t="shared" si="15"/>
        <v>0</v>
      </c>
      <c r="AE53" s="10">
        <f t="shared" si="15"/>
        <v>0</v>
      </c>
      <c r="AF53" s="11">
        <f t="shared" si="1"/>
        <v>0</v>
      </c>
      <c r="AG53" s="11">
        <f t="shared" si="2"/>
        <v>0</v>
      </c>
      <c r="AH53" s="11">
        <f t="shared" si="3"/>
        <v>0</v>
      </c>
      <c r="AI53" s="11">
        <f t="shared" si="4"/>
        <v>0</v>
      </c>
      <c r="AJ53" s="5">
        <v>0</v>
      </c>
      <c r="AK53" s="5">
        <v>0</v>
      </c>
      <c r="AL53" s="6">
        <f t="shared" si="5"/>
        <v>0</v>
      </c>
      <c r="AM53" s="5">
        <v>2</v>
      </c>
      <c r="AN53" s="5">
        <v>18</v>
      </c>
      <c r="AO53" s="5">
        <v>1</v>
      </c>
      <c r="AP53" s="5">
        <v>1</v>
      </c>
    </row>
    <row r="54" spans="1:42" ht="15.75" customHeight="1" x14ac:dyDescent="0.35">
      <c r="A54" s="9">
        <v>53</v>
      </c>
      <c r="B54" s="13" t="s">
        <v>50</v>
      </c>
      <c r="C54" s="15" t="s">
        <v>52</v>
      </c>
      <c r="D54" s="13" t="s">
        <v>51</v>
      </c>
      <c r="E54" s="9">
        <v>2</v>
      </c>
      <c r="F54" s="9">
        <v>1</v>
      </c>
      <c r="G54" s="9">
        <v>2</v>
      </c>
      <c r="H54" s="5">
        <v>1</v>
      </c>
      <c r="I54" s="5">
        <v>0</v>
      </c>
      <c r="J54" s="5">
        <v>1</v>
      </c>
      <c r="K54" s="5">
        <v>0</v>
      </c>
      <c r="L54" s="5">
        <v>0</v>
      </c>
      <c r="M54" s="5">
        <v>0</v>
      </c>
      <c r="N54" s="5">
        <v>1</v>
      </c>
      <c r="O54" s="5">
        <v>0</v>
      </c>
      <c r="P54" s="5">
        <v>1</v>
      </c>
      <c r="Q54" s="5">
        <v>1</v>
      </c>
      <c r="R54" s="5">
        <v>1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10">
        <f t="shared" si="15"/>
        <v>1</v>
      </c>
      <c r="Y54" s="10">
        <v>1</v>
      </c>
      <c r="Z54" s="10">
        <f t="shared" si="15"/>
        <v>1</v>
      </c>
      <c r="AA54" s="10">
        <f t="shared" si="15"/>
        <v>0</v>
      </c>
      <c r="AB54" s="10">
        <f t="shared" si="15"/>
        <v>0</v>
      </c>
      <c r="AC54" s="10">
        <f t="shared" si="15"/>
        <v>0</v>
      </c>
      <c r="AD54" s="10">
        <v>0</v>
      </c>
      <c r="AE54" s="10">
        <f>IFERROR(IF(O54=W54, O54,""),"")</f>
        <v>0</v>
      </c>
      <c r="AF54" s="11">
        <f t="shared" si="1"/>
        <v>1</v>
      </c>
      <c r="AG54" s="11">
        <f t="shared" si="2"/>
        <v>0.5</v>
      </c>
      <c r="AH54" s="11">
        <f t="shared" si="3"/>
        <v>0</v>
      </c>
      <c r="AI54" s="11">
        <f t="shared" si="4"/>
        <v>0</v>
      </c>
      <c r="AJ54" s="5">
        <v>0</v>
      </c>
      <c r="AK54" s="5">
        <v>0</v>
      </c>
      <c r="AL54" s="6">
        <f t="shared" si="5"/>
        <v>0</v>
      </c>
      <c r="AM54" s="5">
        <v>1</v>
      </c>
      <c r="AN54" s="5">
        <v>18</v>
      </c>
      <c r="AO54" s="5">
        <v>1</v>
      </c>
      <c r="AP54" s="5">
        <v>1</v>
      </c>
    </row>
    <row r="55" spans="1:42" ht="15.75" customHeight="1" x14ac:dyDescent="0.35">
      <c r="A55" s="9">
        <v>54</v>
      </c>
      <c r="B55" s="13" t="s">
        <v>50</v>
      </c>
      <c r="C55" s="15" t="s">
        <v>52</v>
      </c>
      <c r="D55" s="13" t="s">
        <v>51</v>
      </c>
      <c r="E55" s="9">
        <v>2</v>
      </c>
      <c r="F55" s="9">
        <v>2</v>
      </c>
      <c r="G55" s="9">
        <v>1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10">
        <f t="shared" si="15"/>
        <v>0</v>
      </c>
      <c r="Y55" s="10">
        <f t="shared" si="15"/>
        <v>0</v>
      </c>
      <c r="Z55" s="10">
        <v>1</v>
      </c>
      <c r="AA55" s="10">
        <f t="shared" si="15"/>
        <v>0</v>
      </c>
      <c r="AB55" s="10">
        <f t="shared" si="15"/>
        <v>0</v>
      </c>
      <c r="AC55" s="10">
        <v>0</v>
      </c>
      <c r="AD55" s="10">
        <f t="shared" ref="AD55:AE55" si="16">IFERROR(IF(N55=V55, N55,""),"")</f>
        <v>0</v>
      </c>
      <c r="AE55" s="10">
        <f t="shared" si="16"/>
        <v>0</v>
      </c>
      <c r="AF55" s="11">
        <f t="shared" si="1"/>
        <v>0</v>
      </c>
      <c r="AG55" s="11">
        <f t="shared" si="2"/>
        <v>0.5</v>
      </c>
      <c r="AH55" s="11">
        <f t="shared" si="3"/>
        <v>0</v>
      </c>
      <c r="AI55" s="11">
        <f t="shared" si="4"/>
        <v>0</v>
      </c>
      <c r="AJ55" s="5">
        <v>0</v>
      </c>
      <c r="AK55" s="5">
        <v>0</v>
      </c>
      <c r="AL55" s="6">
        <f t="shared" si="5"/>
        <v>0</v>
      </c>
      <c r="AM55" s="5">
        <v>1</v>
      </c>
      <c r="AN55" s="5">
        <v>18</v>
      </c>
      <c r="AO55" s="5">
        <v>2</v>
      </c>
      <c r="AP55" s="5">
        <v>1</v>
      </c>
    </row>
    <row r="56" spans="1:42" ht="15.75" customHeight="1" x14ac:dyDescent="0.35">
      <c r="A56" s="9">
        <v>55</v>
      </c>
      <c r="B56" s="13" t="s">
        <v>50</v>
      </c>
      <c r="C56" s="15" t="s">
        <v>52</v>
      </c>
      <c r="D56" s="13" t="s">
        <v>51</v>
      </c>
      <c r="E56" s="9">
        <v>2</v>
      </c>
      <c r="F56" s="9">
        <v>3</v>
      </c>
      <c r="G56" s="9">
        <v>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1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10">
        <f t="shared" si="15"/>
        <v>0</v>
      </c>
      <c r="Y56" s="10">
        <f t="shared" si="15"/>
        <v>0</v>
      </c>
      <c r="Z56" s="10">
        <f t="shared" si="15"/>
        <v>0</v>
      </c>
      <c r="AA56" s="10">
        <f t="shared" si="15"/>
        <v>0</v>
      </c>
      <c r="AB56" s="10">
        <f t="shared" si="15"/>
        <v>0</v>
      </c>
      <c r="AC56" s="10">
        <f t="shared" si="15"/>
        <v>0</v>
      </c>
      <c r="AD56" s="10">
        <f t="shared" si="15"/>
        <v>0</v>
      </c>
      <c r="AE56" s="10">
        <v>1</v>
      </c>
      <c r="AF56" s="11">
        <f t="shared" si="1"/>
        <v>0</v>
      </c>
      <c r="AG56" s="11">
        <f t="shared" si="2"/>
        <v>0</v>
      </c>
      <c r="AH56" s="11">
        <f t="shared" si="3"/>
        <v>0</v>
      </c>
      <c r="AI56" s="11">
        <f t="shared" si="4"/>
        <v>0.5</v>
      </c>
      <c r="AJ56" s="5">
        <v>0</v>
      </c>
      <c r="AK56" s="5">
        <v>0</v>
      </c>
      <c r="AL56" s="6">
        <f t="shared" si="5"/>
        <v>0</v>
      </c>
      <c r="AM56" s="5">
        <v>1</v>
      </c>
      <c r="AN56" s="5">
        <v>18</v>
      </c>
      <c r="AO56" s="5">
        <v>1</v>
      </c>
      <c r="AP56" s="5">
        <v>1</v>
      </c>
    </row>
    <row r="57" spans="1:42" ht="15.75" customHeight="1" x14ac:dyDescent="0.35">
      <c r="A57" s="9">
        <v>56</v>
      </c>
      <c r="B57" s="13" t="s">
        <v>50</v>
      </c>
      <c r="C57" s="15" t="s">
        <v>52</v>
      </c>
      <c r="D57" s="13" t="s">
        <v>51</v>
      </c>
      <c r="E57" s="9">
        <v>2</v>
      </c>
      <c r="F57" s="9">
        <v>4</v>
      </c>
      <c r="G57" s="9">
        <v>1</v>
      </c>
      <c r="H57" s="5">
        <v>0</v>
      </c>
      <c r="I57" s="5">
        <v>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10">
        <f t="shared" si="15"/>
        <v>0</v>
      </c>
      <c r="Y57" s="10">
        <f t="shared" si="15"/>
        <v>1</v>
      </c>
      <c r="Z57" s="10">
        <f t="shared" si="15"/>
        <v>0</v>
      </c>
      <c r="AA57" s="10">
        <f t="shared" si="15"/>
        <v>0</v>
      </c>
      <c r="AB57" s="10">
        <f t="shared" si="15"/>
        <v>0</v>
      </c>
      <c r="AC57" s="10">
        <f t="shared" si="15"/>
        <v>0</v>
      </c>
      <c r="AD57" s="10">
        <f t="shared" si="15"/>
        <v>0</v>
      </c>
      <c r="AE57" s="10">
        <f t="shared" si="15"/>
        <v>0</v>
      </c>
      <c r="AF57" s="11">
        <f t="shared" si="1"/>
        <v>0.5</v>
      </c>
      <c r="AG57" s="11">
        <f t="shared" si="2"/>
        <v>0</v>
      </c>
      <c r="AH57" s="11">
        <f t="shared" si="3"/>
        <v>0</v>
      </c>
      <c r="AI57" s="11">
        <f t="shared" si="4"/>
        <v>0</v>
      </c>
      <c r="AJ57" s="5">
        <v>0</v>
      </c>
      <c r="AK57" s="5">
        <v>0</v>
      </c>
      <c r="AL57" s="6">
        <f t="shared" si="5"/>
        <v>0</v>
      </c>
      <c r="AM57" s="5">
        <v>1</v>
      </c>
      <c r="AN57" s="5">
        <v>18</v>
      </c>
      <c r="AO57" s="5">
        <v>1</v>
      </c>
      <c r="AP57" s="5">
        <v>1</v>
      </c>
    </row>
    <row r="58" spans="1:42" ht="15.75" customHeight="1" x14ac:dyDescent="0.35">
      <c r="A58" s="9">
        <v>57</v>
      </c>
      <c r="B58" s="13" t="s">
        <v>50</v>
      </c>
      <c r="C58" s="15" t="s">
        <v>52</v>
      </c>
      <c r="D58" s="13" t="s">
        <v>51</v>
      </c>
      <c r="E58" s="9">
        <v>1</v>
      </c>
      <c r="F58" s="9">
        <v>1</v>
      </c>
      <c r="G58" s="9">
        <v>2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10">
        <f t="shared" si="15"/>
        <v>0</v>
      </c>
      <c r="Y58" s="10">
        <f t="shared" si="15"/>
        <v>0</v>
      </c>
      <c r="Z58" s="10">
        <f t="shared" si="15"/>
        <v>0</v>
      </c>
      <c r="AA58" s="10">
        <f t="shared" si="15"/>
        <v>0</v>
      </c>
      <c r="AB58" s="10">
        <f t="shared" si="15"/>
        <v>0</v>
      </c>
      <c r="AC58" s="10">
        <f t="shared" si="15"/>
        <v>0</v>
      </c>
      <c r="AD58" s="10">
        <f t="shared" si="15"/>
        <v>0</v>
      </c>
      <c r="AE58" s="10">
        <f t="shared" si="15"/>
        <v>0</v>
      </c>
      <c r="AF58" s="11">
        <f t="shared" si="1"/>
        <v>0</v>
      </c>
      <c r="AG58" s="11">
        <f t="shared" si="2"/>
        <v>0</v>
      </c>
      <c r="AH58" s="11">
        <f t="shared" si="3"/>
        <v>0</v>
      </c>
      <c r="AI58" s="11">
        <f t="shared" si="4"/>
        <v>0</v>
      </c>
      <c r="AJ58" s="5">
        <v>0</v>
      </c>
      <c r="AK58" s="5">
        <v>0</v>
      </c>
      <c r="AL58" s="6">
        <f t="shared" si="5"/>
        <v>0</v>
      </c>
      <c r="AM58" s="5">
        <v>2</v>
      </c>
      <c r="AN58" s="5">
        <v>18</v>
      </c>
      <c r="AO58" s="5">
        <v>1</v>
      </c>
      <c r="AP58" s="5">
        <v>1</v>
      </c>
    </row>
    <row r="59" spans="1:42" ht="15.75" customHeight="1" x14ac:dyDescent="0.35">
      <c r="A59" s="9">
        <v>58</v>
      </c>
      <c r="B59" s="13" t="s">
        <v>50</v>
      </c>
      <c r="C59" s="15" t="s">
        <v>52</v>
      </c>
      <c r="D59" s="13" t="s">
        <v>51</v>
      </c>
      <c r="E59" s="9">
        <v>1</v>
      </c>
      <c r="F59" s="9">
        <v>2</v>
      </c>
      <c r="G59" s="9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1</v>
      </c>
      <c r="P59" s="5">
        <v>0</v>
      </c>
      <c r="Q59" s="5">
        <v>0</v>
      </c>
      <c r="R59" s="5">
        <v>1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10">
        <f t="shared" si="15"/>
        <v>0</v>
      </c>
      <c r="Y59" s="10">
        <f t="shared" si="15"/>
        <v>0</v>
      </c>
      <c r="Z59" s="10">
        <v>1</v>
      </c>
      <c r="AA59" s="10">
        <f t="shared" si="15"/>
        <v>0</v>
      </c>
      <c r="AB59" s="10">
        <f t="shared" si="15"/>
        <v>0</v>
      </c>
      <c r="AC59" s="10">
        <f t="shared" si="15"/>
        <v>0</v>
      </c>
      <c r="AD59" s="10">
        <f t="shared" si="15"/>
        <v>0</v>
      </c>
      <c r="AE59" s="10">
        <v>0</v>
      </c>
      <c r="AF59" s="11">
        <f t="shared" si="1"/>
        <v>0</v>
      </c>
      <c r="AG59" s="11">
        <f t="shared" si="2"/>
        <v>0.5</v>
      </c>
      <c r="AH59" s="11">
        <f t="shared" si="3"/>
        <v>0</v>
      </c>
      <c r="AI59" s="11">
        <f t="shared" si="4"/>
        <v>0</v>
      </c>
      <c r="AJ59" s="5">
        <v>0</v>
      </c>
      <c r="AK59" s="5">
        <v>0</v>
      </c>
      <c r="AL59" s="6">
        <f t="shared" si="5"/>
        <v>0</v>
      </c>
      <c r="AM59" s="5">
        <v>2</v>
      </c>
      <c r="AN59" s="5">
        <v>18</v>
      </c>
      <c r="AO59" s="5">
        <v>1</v>
      </c>
      <c r="AP59" s="5">
        <v>1</v>
      </c>
    </row>
    <row r="60" spans="1:42" ht="15.75" customHeight="1" x14ac:dyDescent="0.35">
      <c r="A60" s="9">
        <v>59</v>
      </c>
      <c r="B60" s="13" t="s">
        <v>50</v>
      </c>
      <c r="C60" s="15" t="s">
        <v>52</v>
      </c>
      <c r="D60" s="13" t="s">
        <v>51</v>
      </c>
      <c r="E60" s="9">
        <v>1</v>
      </c>
      <c r="F60" s="9">
        <v>3</v>
      </c>
      <c r="G60" s="9">
        <v>2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1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10">
        <f t="shared" si="15"/>
        <v>0</v>
      </c>
      <c r="Y60" s="10">
        <f t="shared" si="15"/>
        <v>0</v>
      </c>
      <c r="Z60" s="10">
        <f t="shared" si="15"/>
        <v>0</v>
      </c>
      <c r="AA60" s="10">
        <v>1</v>
      </c>
      <c r="AB60" s="10">
        <f t="shared" si="15"/>
        <v>0</v>
      </c>
      <c r="AC60" s="10">
        <f t="shared" si="15"/>
        <v>0</v>
      </c>
      <c r="AD60" s="10">
        <v>0</v>
      </c>
      <c r="AE60" s="10">
        <f>IFERROR(IF(O60=W60, O60,""),"")</f>
        <v>0</v>
      </c>
      <c r="AF60" s="11">
        <f t="shared" si="1"/>
        <v>0</v>
      </c>
      <c r="AG60" s="11">
        <f t="shared" si="2"/>
        <v>0.5</v>
      </c>
      <c r="AH60" s="11">
        <f t="shared" si="3"/>
        <v>0</v>
      </c>
      <c r="AI60" s="11">
        <f t="shared" si="4"/>
        <v>0</v>
      </c>
      <c r="AJ60" s="5">
        <v>0</v>
      </c>
      <c r="AK60" s="5">
        <v>0</v>
      </c>
      <c r="AL60" s="6">
        <f t="shared" si="5"/>
        <v>0</v>
      </c>
      <c r="AM60" s="5">
        <v>2</v>
      </c>
      <c r="AN60" s="5">
        <v>18</v>
      </c>
      <c r="AO60" s="5">
        <v>1</v>
      </c>
      <c r="AP60" s="5">
        <v>1</v>
      </c>
    </row>
    <row r="61" spans="1:42" ht="15.75" customHeight="1" x14ac:dyDescent="0.35">
      <c r="A61" s="9">
        <v>60</v>
      </c>
      <c r="B61" s="13" t="s">
        <v>50</v>
      </c>
      <c r="C61" s="15" t="s">
        <v>52</v>
      </c>
      <c r="D61" s="13" t="s">
        <v>51</v>
      </c>
      <c r="E61" s="9">
        <v>1</v>
      </c>
      <c r="F61" s="9">
        <v>4</v>
      </c>
      <c r="G61" s="9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10">
        <f t="shared" si="15"/>
        <v>0</v>
      </c>
      <c r="Y61" s="10">
        <f t="shared" si="15"/>
        <v>0</v>
      </c>
      <c r="Z61" s="10">
        <f t="shared" si="15"/>
        <v>0</v>
      </c>
      <c r="AA61" s="10">
        <f t="shared" si="15"/>
        <v>0</v>
      </c>
      <c r="AB61" s="10">
        <f t="shared" si="15"/>
        <v>0</v>
      </c>
      <c r="AC61" s="10">
        <f t="shared" si="15"/>
        <v>0</v>
      </c>
      <c r="AD61" s="10">
        <f t="shared" si="15"/>
        <v>0</v>
      </c>
      <c r="AE61" s="10">
        <f t="shared" si="15"/>
        <v>0</v>
      </c>
      <c r="AF61" s="11">
        <f t="shared" si="1"/>
        <v>0</v>
      </c>
      <c r="AG61" s="11">
        <f t="shared" si="2"/>
        <v>0</v>
      </c>
      <c r="AH61" s="11">
        <f t="shared" si="3"/>
        <v>0</v>
      </c>
      <c r="AI61" s="11">
        <f t="shared" si="4"/>
        <v>0</v>
      </c>
      <c r="AJ61" s="5">
        <v>0</v>
      </c>
      <c r="AK61" s="5">
        <v>0</v>
      </c>
      <c r="AL61" s="6">
        <f t="shared" si="5"/>
        <v>0</v>
      </c>
      <c r="AM61" s="5">
        <v>2</v>
      </c>
      <c r="AN61" s="5">
        <v>19</v>
      </c>
      <c r="AO61" s="5">
        <v>2</v>
      </c>
      <c r="AP61" s="5">
        <v>1</v>
      </c>
    </row>
    <row r="62" spans="1:42" ht="15.75" customHeight="1" x14ac:dyDescent="0.35">
      <c r="A62" s="9">
        <v>61</v>
      </c>
      <c r="B62" s="13" t="s">
        <v>50</v>
      </c>
      <c r="C62" s="15" t="s">
        <v>52</v>
      </c>
      <c r="D62" s="13" t="s">
        <v>51</v>
      </c>
      <c r="E62" s="9">
        <v>2</v>
      </c>
      <c r="F62" s="9">
        <v>1</v>
      </c>
      <c r="G62" s="9">
        <v>1</v>
      </c>
      <c r="H62" s="5">
        <v>1</v>
      </c>
      <c r="I62" s="5">
        <v>1</v>
      </c>
      <c r="J62" s="5">
        <v>0</v>
      </c>
      <c r="K62" s="5">
        <v>0</v>
      </c>
      <c r="L62" s="5">
        <v>1</v>
      </c>
      <c r="M62" s="5">
        <v>0</v>
      </c>
      <c r="N62" s="5">
        <v>1</v>
      </c>
      <c r="O62" s="5">
        <v>0</v>
      </c>
      <c r="P62" s="5">
        <v>1</v>
      </c>
      <c r="Q62" s="5">
        <v>1</v>
      </c>
      <c r="R62" s="5">
        <v>1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  <c r="X62" s="10">
        <f t="shared" si="15"/>
        <v>1</v>
      </c>
      <c r="Y62" s="10">
        <f t="shared" si="15"/>
        <v>1</v>
      </c>
      <c r="Z62" s="10">
        <v>1</v>
      </c>
      <c r="AA62" s="10">
        <v>1</v>
      </c>
      <c r="AB62" s="10">
        <v>0</v>
      </c>
      <c r="AC62" s="10">
        <f t="shared" si="15"/>
        <v>0</v>
      </c>
      <c r="AD62" s="10">
        <v>1</v>
      </c>
      <c r="AE62" s="10">
        <f>IFERROR(IF(O62=W62, O62,""),"")</f>
        <v>0</v>
      </c>
      <c r="AF62" s="11">
        <f t="shared" si="1"/>
        <v>1</v>
      </c>
      <c r="AG62" s="11">
        <f t="shared" si="2"/>
        <v>1</v>
      </c>
      <c r="AH62" s="11">
        <f t="shared" si="3"/>
        <v>0</v>
      </c>
      <c r="AI62" s="11">
        <f t="shared" si="4"/>
        <v>0.5</v>
      </c>
      <c r="AJ62" s="5">
        <v>0</v>
      </c>
      <c r="AK62" s="5">
        <v>0</v>
      </c>
      <c r="AL62" s="6">
        <f t="shared" si="5"/>
        <v>0</v>
      </c>
      <c r="AM62" s="5">
        <v>1</v>
      </c>
      <c r="AN62" s="5">
        <v>19</v>
      </c>
      <c r="AO62" s="5">
        <v>1</v>
      </c>
      <c r="AP62" s="5">
        <v>1</v>
      </c>
    </row>
    <row r="63" spans="1:42" ht="15.75" customHeight="1" x14ac:dyDescent="0.35">
      <c r="A63" s="9">
        <v>62</v>
      </c>
      <c r="B63" s="13" t="s">
        <v>50</v>
      </c>
      <c r="C63" s="15" t="s">
        <v>52</v>
      </c>
      <c r="D63" s="13" t="s">
        <v>51</v>
      </c>
      <c r="E63" s="9">
        <v>2</v>
      </c>
      <c r="F63" s="9">
        <v>2</v>
      </c>
      <c r="G63" s="9">
        <v>2</v>
      </c>
      <c r="H63" s="5">
        <v>0</v>
      </c>
      <c r="I63" s="5">
        <v>1</v>
      </c>
      <c r="J63" s="5">
        <v>0</v>
      </c>
      <c r="K63" s="5">
        <v>1</v>
      </c>
      <c r="L63" s="5">
        <v>1</v>
      </c>
      <c r="M63" s="5">
        <v>0</v>
      </c>
      <c r="N63" s="5">
        <v>0</v>
      </c>
      <c r="O63" s="5">
        <v>0</v>
      </c>
      <c r="P63" s="5">
        <v>1</v>
      </c>
      <c r="Q63" s="5">
        <v>1</v>
      </c>
      <c r="R63" s="5">
        <v>1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10">
        <v>1</v>
      </c>
      <c r="Y63" s="10">
        <f t="shared" si="15"/>
        <v>1</v>
      </c>
      <c r="Z63" s="10">
        <v>1</v>
      </c>
      <c r="AA63" s="10">
        <v>0</v>
      </c>
      <c r="AB63" s="10">
        <v>0</v>
      </c>
      <c r="AC63" s="10">
        <f t="shared" si="15"/>
        <v>0</v>
      </c>
      <c r="AD63" s="10">
        <f t="shared" si="15"/>
        <v>0</v>
      </c>
      <c r="AE63" s="10">
        <f t="shared" si="15"/>
        <v>0</v>
      </c>
      <c r="AF63" s="11">
        <f t="shared" si="1"/>
        <v>1</v>
      </c>
      <c r="AG63" s="11">
        <f t="shared" si="2"/>
        <v>0.5</v>
      </c>
      <c r="AH63" s="11">
        <f t="shared" si="3"/>
        <v>0</v>
      </c>
      <c r="AI63" s="11">
        <f t="shared" si="4"/>
        <v>0</v>
      </c>
      <c r="AJ63" s="5">
        <v>0</v>
      </c>
      <c r="AK63" s="5">
        <v>0</v>
      </c>
      <c r="AL63" s="6">
        <f t="shared" si="5"/>
        <v>0</v>
      </c>
      <c r="AM63" s="5">
        <v>1</v>
      </c>
      <c r="AN63" s="5">
        <v>18</v>
      </c>
      <c r="AO63" s="5">
        <v>1</v>
      </c>
      <c r="AP63" s="5">
        <v>1</v>
      </c>
    </row>
    <row r="64" spans="1:42" ht="15.75" customHeight="1" x14ac:dyDescent="0.35">
      <c r="A64" s="9">
        <v>63</v>
      </c>
      <c r="B64" s="13" t="s">
        <v>50</v>
      </c>
      <c r="C64" s="15" t="s">
        <v>52</v>
      </c>
      <c r="D64" s="13" t="s">
        <v>51</v>
      </c>
      <c r="E64" s="9">
        <v>2</v>
      </c>
      <c r="F64" s="9">
        <v>3</v>
      </c>
      <c r="G64" s="9">
        <v>1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1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10">
        <f>IFERROR(IF(H64=P64, H64,""),"")</f>
        <v>0</v>
      </c>
      <c r="Y64" s="10">
        <v>1</v>
      </c>
      <c r="Z64" s="10">
        <f t="shared" ref="Z64:AE65" si="17">IFERROR(IF(J64=R64, J64,""),"")</f>
        <v>0</v>
      </c>
      <c r="AA64" s="10">
        <f t="shared" si="17"/>
        <v>0</v>
      </c>
      <c r="AB64" s="10">
        <f t="shared" si="17"/>
        <v>0</v>
      </c>
      <c r="AC64" s="10">
        <f t="shared" si="17"/>
        <v>0</v>
      </c>
      <c r="AD64" s="10">
        <f t="shared" si="17"/>
        <v>0</v>
      </c>
      <c r="AE64" s="10">
        <f t="shared" si="17"/>
        <v>0</v>
      </c>
      <c r="AF64" s="11">
        <f t="shared" si="1"/>
        <v>0.5</v>
      </c>
      <c r="AG64" s="11">
        <f t="shared" si="2"/>
        <v>0</v>
      </c>
      <c r="AH64" s="11">
        <f t="shared" si="3"/>
        <v>0</v>
      </c>
      <c r="AI64" s="11">
        <f t="shared" si="4"/>
        <v>0</v>
      </c>
      <c r="AJ64" s="5">
        <v>0</v>
      </c>
      <c r="AK64" s="5">
        <v>0</v>
      </c>
      <c r="AL64" s="6">
        <f t="shared" si="5"/>
        <v>0</v>
      </c>
      <c r="AM64" s="5">
        <v>1</v>
      </c>
      <c r="AN64" s="5">
        <v>20</v>
      </c>
      <c r="AO64" s="5">
        <v>1</v>
      </c>
      <c r="AP64" s="5">
        <v>1</v>
      </c>
    </row>
    <row r="65" spans="1:42" ht="15.75" customHeight="1" x14ac:dyDescent="0.35">
      <c r="A65" s="9">
        <v>64</v>
      </c>
      <c r="B65" s="13" t="s">
        <v>50</v>
      </c>
      <c r="C65" s="15" t="s">
        <v>52</v>
      </c>
      <c r="D65" s="13" t="s">
        <v>51</v>
      </c>
      <c r="E65" s="9">
        <v>2</v>
      </c>
      <c r="F65" s="9">
        <v>4</v>
      </c>
      <c r="G65" s="9">
        <v>2</v>
      </c>
      <c r="H65" s="5">
        <v>0</v>
      </c>
      <c r="I65" s="5">
        <v>0</v>
      </c>
      <c r="J65" s="5">
        <v>1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1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10">
        <v>1</v>
      </c>
      <c r="Y65" s="10">
        <f>IFERROR(IF(I65=Q65, I65,""),"")</f>
        <v>0</v>
      </c>
      <c r="Z65" s="10">
        <v>0</v>
      </c>
      <c r="AA65" s="10">
        <f t="shared" si="17"/>
        <v>0</v>
      </c>
      <c r="AB65" s="10">
        <f t="shared" si="17"/>
        <v>0</v>
      </c>
      <c r="AC65" s="10">
        <f t="shared" si="17"/>
        <v>0</v>
      </c>
      <c r="AD65" s="10">
        <f t="shared" si="17"/>
        <v>0</v>
      </c>
      <c r="AE65" s="10">
        <f t="shared" si="17"/>
        <v>0</v>
      </c>
      <c r="AF65" s="11">
        <f t="shared" si="1"/>
        <v>0.5</v>
      </c>
      <c r="AG65" s="11">
        <f t="shared" si="2"/>
        <v>0</v>
      </c>
      <c r="AH65" s="11">
        <f t="shared" si="3"/>
        <v>0</v>
      </c>
      <c r="AI65" s="11">
        <f t="shared" si="4"/>
        <v>0</v>
      </c>
      <c r="AJ65" s="5">
        <v>0</v>
      </c>
      <c r="AK65" s="5">
        <v>0</v>
      </c>
      <c r="AL65" s="6">
        <f t="shared" si="5"/>
        <v>0</v>
      </c>
      <c r="AM65" s="5">
        <v>1</v>
      </c>
      <c r="AN65" s="5">
        <v>19</v>
      </c>
      <c r="AO65" s="5">
        <v>1</v>
      </c>
      <c r="AP65" s="5">
        <v>1</v>
      </c>
    </row>
    <row r="66" spans="1:42" ht="15.75" customHeight="1" x14ac:dyDescent="0.35">
      <c r="A66" s="9">
        <v>65</v>
      </c>
      <c r="B66" s="13" t="s">
        <v>50</v>
      </c>
      <c r="C66" s="15" t="s">
        <v>52</v>
      </c>
      <c r="D66" s="13" t="s">
        <v>51</v>
      </c>
      <c r="E66" s="9">
        <v>1</v>
      </c>
      <c r="F66" s="9">
        <v>1</v>
      </c>
      <c r="G66" s="9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10">
        <f t="shared" ref="X66:AE81" si="18">IFERROR(IF(H66=P66, H66,""),"")</f>
        <v>0</v>
      </c>
      <c r="Y66" s="10">
        <f t="shared" si="18"/>
        <v>0</v>
      </c>
      <c r="Z66" s="10">
        <f t="shared" si="18"/>
        <v>0</v>
      </c>
      <c r="AA66" s="10">
        <f t="shared" si="18"/>
        <v>0</v>
      </c>
      <c r="AB66" s="10">
        <f t="shared" si="18"/>
        <v>0</v>
      </c>
      <c r="AC66" s="10">
        <f t="shared" si="18"/>
        <v>0</v>
      </c>
      <c r="AD66" s="10">
        <f t="shared" si="18"/>
        <v>0</v>
      </c>
      <c r="AE66" s="10">
        <f t="shared" si="18"/>
        <v>0</v>
      </c>
      <c r="AF66" s="11">
        <f t="shared" si="1"/>
        <v>0</v>
      </c>
      <c r="AG66" s="11">
        <f t="shared" si="2"/>
        <v>0</v>
      </c>
      <c r="AH66" s="11">
        <f t="shared" si="3"/>
        <v>0</v>
      </c>
      <c r="AI66" s="11">
        <f t="shared" si="4"/>
        <v>0</v>
      </c>
      <c r="AJ66" s="5">
        <v>0</v>
      </c>
      <c r="AK66" s="5">
        <v>0</v>
      </c>
      <c r="AL66" s="6">
        <f t="shared" si="5"/>
        <v>0</v>
      </c>
      <c r="AM66" s="5">
        <v>2</v>
      </c>
      <c r="AN66" s="5">
        <v>20</v>
      </c>
      <c r="AO66" s="5">
        <v>1</v>
      </c>
      <c r="AP66" s="5">
        <v>1</v>
      </c>
    </row>
    <row r="67" spans="1:42" ht="15.75" customHeight="1" x14ac:dyDescent="0.35">
      <c r="A67" s="9">
        <v>66</v>
      </c>
      <c r="B67" s="13" t="s">
        <v>50</v>
      </c>
      <c r="C67" s="15" t="s">
        <v>52</v>
      </c>
      <c r="D67" s="13" t="s">
        <v>51</v>
      </c>
      <c r="E67" s="9">
        <v>1</v>
      </c>
      <c r="F67" s="9">
        <v>2</v>
      </c>
      <c r="G67" s="9">
        <v>2</v>
      </c>
      <c r="H67" s="5">
        <v>0</v>
      </c>
      <c r="I67" s="5">
        <v>1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5">
        <v>0</v>
      </c>
      <c r="Q67" s="5">
        <v>1</v>
      </c>
      <c r="R67" s="5">
        <v>1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10">
        <f t="shared" si="18"/>
        <v>0</v>
      </c>
      <c r="Y67" s="10">
        <f t="shared" si="18"/>
        <v>1</v>
      </c>
      <c r="Z67" s="10">
        <v>1</v>
      </c>
      <c r="AA67" s="10">
        <f>IFERROR(IF(K67=S67, K67,""),"")</f>
        <v>0</v>
      </c>
      <c r="AB67" s="10">
        <v>0</v>
      </c>
      <c r="AC67" s="10">
        <f t="shared" si="18"/>
        <v>0</v>
      </c>
      <c r="AD67" s="10">
        <f t="shared" si="18"/>
        <v>0</v>
      </c>
      <c r="AE67" s="10">
        <f t="shared" si="18"/>
        <v>0</v>
      </c>
      <c r="AF67" s="11">
        <f t="shared" si="1"/>
        <v>0.5</v>
      </c>
      <c r="AG67" s="11">
        <f t="shared" si="2"/>
        <v>0.5</v>
      </c>
      <c r="AH67" s="11">
        <f t="shared" si="3"/>
        <v>0</v>
      </c>
      <c r="AI67" s="11">
        <f t="shared" si="4"/>
        <v>0</v>
      </c>
      <c r="AJ67" s="5">
        <v>0</v>
      </c>
      <c r="AK67" s="5">
        <v>0</v>
      </c>
      <c r="AL67" s="6">
        <f t="shared" si="5"/>
        <v>0</v>
      </c>
      <c r="AM67" s="5">
        <v>2</v>
      </c>
      <c r="AN67" s="5">
        <v>18</v>
      </c>
      <c r="AO67" s="5">
        <v>2</v>
      </c>
      <c r="AP67" s="5">
        <v>1</v>
      </c>
    </row>
    <row r="68" spans="1:42" ht="15.75" customHeight="1" x14ac:dyDescent="0.35">
      <c r="A68" s="9">
        <v>67</v>
      </c>
      <c r="B68" s="13" t="s">
        <v>50</v>
      </c>
      <c r="C68" s="15" t="s">
        <v>52</v>
      </c>
      <c r="D68" s="13" t="s">
        <v>51</v>
      </c>
      <c r="E68" s="9">
        <v>1</v>
      </c>
      <c r="F68" s="9">
        <v>3</v>
      </c>
      <c r="G68" s="9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10">
        <f t="shared" si="18"/>
        <v>0</v>
      </c>
      <c r="Y68" s="10">
        <f t="shared" si="18"/>
        <v>0</v>
      </c>
      <c r="Z68" s="10">
        <f t="shared" si="18"/>
        <v>0</v>
      </c>
      <c r="AA68" s="10">
        <f t="shared" si="18"/>
        <v>0</v>
      </c>
      <c r="AB68" s="10">
        <f t="shared" si="18"/>
        <v>0</v>
      </c>
      <c r="AC68" s="10">
        <f t="shared" si="18"/>
        <v>0</v>
      </c>
      <c r="AD68" s="10">
        <f t="shared" si="18"/>
        <v>0</v>
      </c>
      <c r="AE68" s="10">
        <f t="shared" si="18"/>
        <v>0</v>
      </c>
      <c r="AF68" s="11">
        <f t="shared" si="1"/>
        <v>0</v>
      </c>
      <c r="AG68" s="11">
        <f t="shared" si="2"/>
        <v>0</v>
      </c>
      <c r="AH68" s="11">
        <f t="shared" si="3"/>
        <v>0</v>
      </c>
      <c r="AI68" s="11">
        <f t="shared" si="4"/>
        <v>0</v>
      </c>
      <c r="AJ68" s="5">
        <v>0</v>
      </c>
      <c r="AK68" s="5">
        <v>0</v>
      </c>
      <c r="AL68" s="6">
        <f t="shared" si="5"/>
        <v>0</v>
      </c>
      <c r="AM68" s="5">
        <v>2</v>
      </c>
      <c r="AN68" s="5">
        <v>21</v>
      </c>
      <c r="AO68" s="5">
        <v>1</v>
      </c>
      <c r="AP68" s="5">
        <v>1</v>
      </c>
    </row>
    <row r="69" spans="1:42" ht="15.75" customHeight="1" x14ac:dyDescent="0.35">
      <c r="A69" s="9">
        <v>68</v>
      </c>
      <c r="B69" s="13" t="s">
        <v>50</v>
      </c>
      <c r="C69" s="15" t="s">
        <v>52</v>
      </c>
      <c r="D69" s="13" t="s">
        <v>51</v>
      </c>
      <c r="E69" s="9">
        <v>1</v>
      </c>
      <c r="F69" s="9">
        <v>4</v>
      </c>
      <c r="G69" s="9">
        <v>2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10">
        <f t="shared" si="18"/>
        <v>0</v>
      </c>
      <c r="Y69" s="10">
        <f t="shared" si="18"/>
        <v>0</v>
      </c>
      <c r="Z69" s="10">
        <f t="shared" si="18"/>
        <v>0</v>
      </c>
      <c r="AA69" s="10">
        <f t="shared" si="18"/>
        <v>0</v>
      </c>
      <c r="AB69" s="10">
        <f t="shared" si="18"/>
        <v>0</v>
      </c>
      <c r="AC69" s="10">
        <f t="shared" si="18"/>
        <v>0</v>
      </c>
      <c r="AD69" s="10">
        <f t="shared" si="18"/>
        <v>0</v>
      </c>
      <c r="AE69" s="10">
        <f t="shared" si="18"/>
        <v>0</v>
      </c>
      <c r="AF69" s="11">
        <f t="shared" si="1"/>
        <v>0</v>
      </c>
      <c r="AG69" s="11">
        <f t="shared" si="2"/>
        <v>0</v>
      </c>
      <c r="AH69" s="11">
        <f t="shared" si="3"/>
        <v>0</v>
      </c>
      <c r="AI69" s="11">
        <f t="shared" si="4"/>
        <v>0</v>
      </c>
      <c r="AJ69" s="5">
        <v>0</v>
      </c>
      <c r="AK69" s="5">
        <v>0</v>
      </c>
      <c r="AL69" s="6">
        <f t="shared" si="5"/>
        <v>0</v>
      </c>
      <c r="AM69" s="5">
        <v>2</v>
      </c>
      <c r="AN69" s="5">
        <v>18</v>
      </c>
      <c r="AO69" s="5">
        <v>2</v>
      </c>
      <c r="AP69" s="5">
        <v>1</v>
      </c>
    </row>
    <row r="70" spans="1:42" ht="15.75" customHeight="1" x14ac:dyDescent="0.35">
      <c r="A70" s="9">
        <v>69</v>
      </c>
      <c r="B70" s="13" t="s">
        <v>50</v>
      </c>
      <c r="C70" s="15" t="s">
        <v>52</v>
      </c>
      <c r="D70" s="13" t="s">
        <v>51</v>
      </c>
      <c r="E70" s="9">
        <v>2</v>
      </c>
      <c r="F70" s="9">
        <v>1</v>
      </c>
      <c r="G70" s="9">
        <v>2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10">
        <f t="shared" si="18"/>
        <v>0</v>
      </c>
      <c r="Y70" s="10">
        <f t="shared" si="18"/>
        <v>0</v>
      </c>
      <c r="Z70" s="10">
        <f t="shared" si="18"/>
        <v>0</v>
      </c>
      <c r="AA70" s="10">
        <f t="shared" si="18"/>
        <v>0</v>
      </c>
      <c r="AB70" s="10">
        <f t="shared" si="18"/>
        <v>0</v>
      </c>
      <c r="AC70" s="10">
        <f t="shared" si="18"/>
        <v>0</v>
      </c>
      <c r="AD70" s="10">
        <f t="shared" si="18"/>
        <v>0</v>
      </c>
      <c r="AE70" s="10">
        <f t="shared" si="18"/>
        <v>0</v>
      </c>
      <c r="AF70" s="11">
        <f t="shared" si="1"/>
        <v>0</v>
      </c>
      <c r="AG70" s="11">
        <f t="shared" si="2"/>
        <v>0</v>
      </c>
      <c r="AH70" s="11">
        <f t="shared" si="3"/>
        <v>0</v>
      </c>
      <c r="AI70" s="11">
        <f t="shared" si="4"/>
        <v>0</v>
      </c>
      <c r="AJ70" s="5">
        <v>0</v>
      </c>
      <c r="AK70" s="5">
        <v>0</v>
      </c>
      <c r="AL70" s="6">
        <f t="shared" si="5"/>
        <v>0</v>
      </c>
      <c r="AM70" s="5">
        <v>1</v>
      </c>
      <c r="AN70" s="5">
        <v>18</v>
      </c>
      <c r="AO70" s="5">
        <v>1</v>
      </c>
      <c r="AP70" s="5">
        <v>1</v>
      </c>
    </row>
    <row r="71" spans="1:42" ht="15.75" customHeight="1" x14ac:dyDescent="0.35">
      <c r="A71" s="9">
        <v>70</v>
      </c>
      <c r="B71" s="13" t="s">
        <v>50</v>
      </c>
      <c r="C71" s="15" t="s">
        <v>52</v>
      </c>
      <c r="D71" s="13" t="s">
        <v>51</v>
      </c>
      <c r="E71" s="9">
        <v>2</v>
      </c>
      <c r="F71" s="9">
        <v>2</v>
      </c>
      <c r="G71" s="9">
        <v>1</v>
      </c>
      <c r="H71" s="5">
        <v>0</v>
      </c>
      <c r="I71" s="5">
        <v>0</v>
      </c>
      <c r="J71" s="5">
        <v>0</v>
      </c>
      <c r="K71" s="5">
        <v>0</v>
      </c>
      <c r="L71" s="5">
        <v>1</v>
      </c>
      <c r="M71" s="5">
        <v>0</v>
      </c>
      <c r="N71" s="5">
        <v>0</v>
      </c>
      <c r="O71" s="5">
        <v>0</v>
      </c>
      <c r="P71" s="12">
        <v>0</v>
      </c>
      <c r="Q71" s="12">
        <v>0</v>
      </c>
      <c r="R71" s="12">
        <v>0</v>
      </c>
      <c r="S71" s="12">
        <v>1</v>
      </c>
      <c r="T71" s="12">
        <v>0</v>
      </c>
      <c r="U71" s="12">
        <v>0</v>
      </c>
      <c r="V71" s="12">
        <v>0</v>
      </c>
      <c r="W71" s="12">
        <v>0</v>
      </c>
      <c r="X71" s="10">
        <f t="shared" si="18"/>
        <v>0</v>
      </c>
      <c r="Y71" s="10">
        <f t="shared" si="18"/>
        <v>0</v>
      </c>
      <c r="Z71" s="10">
        <f t="shared" si="18"/>
        <v>0</v>
      </c>
      <c r="AA71" s="10">
        <v>1</v>
      </c>
      <c r="AB71" s="10">
        <v>0</v>
      </c>
      <c r="AC71" s="10">
        <f t="shared" si="18"/>
        <v>0</v>
      </c>
      <c r="AD71" s="10">
        <f t="shared" si="18"/>
        <v>0</v>
      </c>
      <c r="AE71" s="10">
        <f t="shared" si="18"/>
        <v>0</v>
      </c>
      <c r="AF71" s="11">
        <f t="shared" si="1"/>
        <v>0</v>
      </c>
      <c r="AG71" s="11">
        <f t="shared" si="2"/>
        <v>0.5</v>
      </c>
      <c r="AH71" s="11">
        <f t="shared" si="3"/>
        <v>0</v>
      </c>
      <c r="AI71" s="11">
        <f t="shared" si="4"/>
        <v>0</v>
      </c>
      <c r="AJ71" s="5">
        <v>0</v>
      </c>
      <c r="AK71" s="5">
        <v>0</v>
      </c>
      <c r="AL71" s="6">
        <f t="shared" si="5"/>
        <v>0</v>
      </c>
      <c r="AM71" s="5">
        <v>1</v>
      </c>
      <c r="AN71" s="5">
        <v>18</v>
      </c>
      <c r="AO71" s="5">
        <v>1</v>
      </c>
      <c r="AP71" s="5">
        <v>1</v>
      </c>
    </row>
    <row r="72" spans="1:42" ht="15.75" customHeight="1" x14ac:dyDescent="0.35">
      <c r="A72" s="9">
        <v>71</v>
      </c>
      <c r="B72" s="13" t="s">
        <v>50</v>
      </c>
      <c r="C72" s="15" t="s">
        <v>52</v>
      </c>
      <c r="D72" s="13" t="s">
        <v>51</v>
      </c>
      <c r="E72" s="9">
        <v>2</v>
      </c>
      <c r="F72" s="9">
        <v>3</v>
      </c>
      <c r="G72" s="9">
        <v>2</v>
      </c>
      <c r="H72" s="5">
        <v>0</v>
      </c>
      <c r="I72" s="5">
        <v>0</v>
      </c>
      <c r="J72" s="5">
        <v>0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12">
        <v>0</v>
      </c>
      <c r="Q72" s="12">
        <v>1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0">
        <f t="shared" si="18"/>
        <v>0</v>
      </c>
      <c r="Y72" s="10">
        <v>1</v>
      </c>
      <c r="Z72" s="10">
        <f>IFERROR(IF(J72=R72, J72,""),"")</f>
        <v>0</v>
      </c>
      <c r="AA72" s="10">
        <v>0</v>
      </c>
      <c r="AB72" s="10">
        <f t="shared" ref="AB72:AE72" si="19">IFERROR(IF(L72=T72, L72,""),"")</f>
        <v>0</v>
      </c>
      <c r="AC72" s="10">
        <f t="shared" si="19"/>
        <v>0</v>
      </c>
      <c r="AD72" s="10">
        <f t="shared" si="19"/>
        <v>0</v>
      </c>
      <c r="AE72" s="10">
        <f t="shared" si="19"/>
        <v>0</v>
      </c>
      <c r="AF72" s="11">
        <f t="shared" si="1"/>
        <v>0.5</v>
      </c>
      <c r="AG72" s="11">
        <f t="shared" si="2"/>
        <v>0</v>
      </c>
      <c r="AH72" s="11">
        <f t="shared" si="3"/>
        <v>0</v>
      </c>
      <c r="AI72" s="11">
        <f t="shared" si="4"/>
        <v>0</v>
      </c>
      <c r="AJ72" s="5">
        <v>0</v>
      </c>
      <c r="AK72" s="5">
        <v>0</v>
      </c>
      <c r="AL72" s="6">
        <f t="shared" si="5"/>
        <v>0</v>
      </c>
      <c r="AM72" s="5">
        <v>1</v>
      </c>
      <c r="AN72" s="5">
        <v>18</v>
      </c>
      <c r="AO72" s="5">
        <v>1</v>
      </c>
      <c r="AP72" s="5">
        <v>1</v>
      </c>
    </row>
    <row r="73" spans="1:42" ht="15.75" customHeight="1" x14ac:dyDescent="0.35">
      <c r="A73" s="9">
        <v>72</v>
      </c>
      <c r="B73" s="13" t="s">
        <v>50</v>
      </c>
      <c r="C73" s="15" t="s">
        <v>52</v>
      </c>
      <c r="D73" s="13" t="s">
        <v>51</v>
      </c>
      <c r="E73" s="9">
        <v>2</v>
      </c>
      <c r="F73" s="9">
        <v>4</v>
      </c>
      <c r="G73" s="9">
        <v>1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0">
        <f t="shared" si="18"/>
        <v>0</v>
      </c>
      <c r="Y73" s="10">
        <f t="shared" si="18"/>
        <v>0</v>
      </c>
      <c r="Z73" s="10">
        <f t="shared" si="18"/>
        <v>0</v>
      </c>
      <c r="AA73" s="10">
        <f t="shared" si="18"/>
        <v>0</v>
      </c>
      <c r="AB73" s="10">
        <f t="shared" si="18"/>
        <v>0</v>
      </c>
      <c r="AC73" s="10">
        <f t="shared" si="18"/>
        <v>0</v>
      </c>
      <c r="AD73" s="10">
        <f t="shared" si="18"/>
        <v>0</v>
      </c>
      <c r="AE73" s="10">
        <f t="shared" si="18"/>
        <v>0</v>
      </c>
      <c r="AF73" s="11">
        <f t="shared" si="1"/>
        <v>0</v>
      </c>
      <c r="AG73" s="11">
        <f t="shared" si="2"/>
        <v>0</v>
      </c>
      <c r="AH73" s="11">
        <f t="shared" si="3"/>
        <v>0</v>
      </c>
      <c r="AI73" s="11">
        <f t="shared" si="4"/>
        <v>0</v>
      </c>
      <c r="AJ73" s="5">
        <v>0</v>
      </c>
      <c r="AK73" s="5">
        <v>0</v>
      </c>
      <c r="AL73" s="6">
        <f t="shared" si="5"/>
        <v>0</v>
      </c>
      <c r="AM73" s="5">
        <v>1</v>
      </c>
      <c r="AN73" s="5">
        <v>18</v>
      </c>
      <c r="AO73" s="5">
        <v>1</v>
      </c>
      <c r="AP73" s="5">
        <v>1</v>
      </c>
    </row>
    <row r="74" spans="1:42" ht="15.75" customHeight="1" x14ac:dyDescent="0.35">
      <c r="A74" s="9">
        <v>73</v>
      </c>
      <c r="B74" s="13" t="s">
        <v>50</v>
      </c>
      <c r="C74" s="15" t="s">
        <v>52</v>
      </c>
      <c r="D74" s="13" t="s">
        <v>51</v>
      </c>
      <c r="E74" s="9">
        <v>1</v>
      </c>
      <c r="F74" s="9">
        <v>1</v>
      </c>
      <c r="G74" s="9">
        <v>2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10">
        <f t="shared" si="18"/>
        <v>0</v>
      </c>
      <c r="Y74" s="10">
        <f t="shared" si="18"/>
        <v>0</v>
      </c>
      <c r="Z74" s="10">
        <f t="shared" si="18"/>
        <v>0</v>
      </c>
      <c r="AA74" s="10">
        <f t="shared" si="18"/>
        <v>0</v>
      </c>
      <c r="AB74" s="10">
        <f t="shared" si="18"/>
        <v>0</v>
      </c>
      <c r="AC74" s="10">
        <f t="shared" si="18"/>
        <v>0</v>
      </c>
      <c r="AD74" s="10">
        <f t="shared" si="18"/>
        <v>0</v>
      </c>
      <c r="AE74" s="10">
        <f t="shared" si="18"/>
        <v>0</v>
      </c>
      <c r="AF74" s="11">
        <f t="shared" si="1"/>
        <v>0</v>
      </c>
      <c r="AG74" s="11">
        <f t="shared" si="2"/>
        <v>0</v>
      </c>
      <c r="AH74" s="11">
        <f t="shared" si="3"/>
        <v>0</v>
      </c>
      <c r="AI74" s="11">
        <f t="shared" si="4"/>
        <v>0</v>
      </c>
      <c r="AJ74" s="5">
        <v>0</v>
      </c>
      <c r="AK74" s="5">
        <v>0</v>
      </c>
      <c r="AL74" s="6">
        <f t="shared" si="5"/>
        <v>0</v>
      </c>
      <c r="AM74" s="5">
        <v>2</v>
      </c>
      <c r="AN74" s="5">
        <v>18</v>
      </c>
      <c r="AO74" s="5">
        <v>1</v>
      </c>
      <c r="AP74" s="5">
        <v>1</v>
      </c>
    </row>
    <row r="75" spans="1:42" ht="15.75" customHeight="1" x14ac:dyDescent="0.35">
      <c r="A75" s="9">
        <v>74</v>
      </c>
      <c r="B75" s="13" t="s">
        <v>50</v>
      </c>
      <c r="C75" s="15" t="s">
        <v>52</v>
      </c>
      <c r="D75" s="13" t="s">
        <v>51</v>
      </c>
      <c r="E75" s="9">
        <v>1</v>
      </c>
      <c r="F75" s="9">
        <v>2</v>
      </c>
      <c r="G75" s="9">
        <v>1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1</v>
      </c>
      <c r="P75" s="5">
        <v>0</v>
      </c>
      <c r="Q75" s="5">
        <v>1</v>
      </c>
      <c r="R75" s="5">
        <v>1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10">
        <f t="shared" si="18"/>
        <v>0</v>
      </c>
      <c r="Y75" s="10">
        <f t="shared" si="18"/>
        <v>1</v>
      </c>
      <c r="Z75" s="10">
        <v>1</v>
      </c>
      <c r="AA75" s="10">
        <f t="shared" si="18"/>
        <v>0</v>
      </c>
      <c r="AB75" s="10">
        <f t="shared" si="18"/>
        <v>0</v>
      </c>
      <c r="AC75" s="10">
        <f t="shared" si="18"/>
        <v>0</v>
      </c>
      <c r="AD75" s="10">
        <f t="shared" si="18"/>
        <v>0</v>
      </c>
      <c r="AE75" s="10">
        <v>0</v>
      </c>
      <c r="AF75" s="11">
        <f t="shared" si="1"/>
        <v>0.5</v>
      </c>
      <c r="AG75" s="11">
        <f t="shared" si="2"/>
        <v>0.5</v>
      </c>
      <c r="AH75" s="11">
        <f t="shared" si="3"/>
        <v>0</v>
      </c>
      <c r="AI75" s="11">
        <f t="shared" si="4"/>
        <v>0</v>
      </c>
      <c r="AJ75" s="5">
        <v>0</v>
      </c>
      <c r="AK75" s="5">
        <v>0</v>
      </c>
      <c r="AL75" s="6">
        <f t="shared" si="5"/>
        <v>0</v>
      </c>
      <c r="AM75" s="5">
        <v>2</v>
      </c>
      <c r="AN75" s="5">
        <v>18</v>
      </c>
      <c r="AO75" s="5">
        <v>1</v>
      </c>
      <c r="AP75" s="5">
        <v>1</v>
      </c>
    </row>
    <row r="76" spans="1:42" ht="15.75" customHeight="1" x14ac:dyDescent="0.35">
      <c r="A76" s="9">
        <v>75</v>
      </c>
      <c r="B76" s="13" t="s">
        <v>50</v>
      </c>
      <c r="C76" s="15" t="s">
        <v>52</v>
      </c>
      <c r="D76" s="13" t="s">
        <v>51</v>
      </c>
      <c r="E76" s="9">
        <v>1</v>
      </c>
      <c r="F76" s="9">
        <v>3</v>
      </c>
      <c r="G76" s="9">
        <v>2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10">
        <f t="shared" si="18"/>
        <v>0</v>
      </c>
      <c r="Y76" s="10">
        <f t="shared" si="18"/>
        <v>0</v>
      </c>
      <c r="Z76" s="10">
        <f t="shared" si="18"/>
        <v>0</v>
      </c>
      <c r="AA76" s="10">
        <f t="shared" si="18"/>
        <v>0</v>
      </c>
      <c r="AB76" s="10">
        <f t="shared" si="18"/>
        <v>0</v>
      </c>
      <c r="AC76" s="10">
        <f t="shared" si="18"/>
        <v>0</v>
      </c>
      <c r="AD76" s="10">
        <f t="shared" si="18"/>
        <v>0</v>
      </c>
      <c r="AE76" s="10">
        <f t="shared" si="18"/>
        <v>0</v>
      </c>
      <c r="AF76" s="11">
        <f t="shared" si="1"/>
        <v>0</v>
      </c>
      <c r="AG76" s="11">
        <f t="shared" si="2"/>
        <v>0</v>
      </c>
      <c r="AH76" s="11">
        <f t="shared" si="3"/>
        <v>0</v>
      </c>
      <c r="AI76" s="11">
        <f t="shared" si="4"/>
        <v>0</v>
      </c>
      <c r="AJ76" s="5">
        <v>0</v>
      </c>
      <c r="AK76" s="5">
        <v>0</v>
      </c>
      <c r="AL76" s="6">
        <f t="shared" si="5"/>
        <v>0</v>
      </c>
      <c r="AM76" s="5">
        <v>2</v>
      </c>
      <c r="AN76" s="5">
        <v>19</v>
      </c>
      <c r="AO76" s="5">
        <v>1</v>
      </c>
      <c r="AP76" s="5">
        <v>1</v>
      </c>
    </row>
    <row r="77" spans="1:42" ht="15.75" customHeight="1" x14ac:dyDescent="0.35">
      <c r="A77" s="9">
        <v>76</v>
      </c>
      <c r="B77" s="13" t="s">
        <v>50</v>
      </c>
      <c r="C77" s="15" t="s">
        <v>52</v>
      </c>
      <c r="D77" s="13" t="s">
        <v>51</v>
      </c>
      <c r="E77" s="9">
        <v>1</v>
      </c>
      <c r="F77" s="9">
        <v>4</v>
      </c>
      <c r="G77" s="9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10">
        <f t="shared" si="18"/>
        <v>0</v>
      </c>
      <c r="Y77" s="10">
        <f t="shared" si="18"/>
        <v>0</v>
      </c>
      <c r="Z77" s="10">
        <f t="shared" si="18"/>
        <v>0</v>
      </c>
      <c r="AA77" s="10">
        <f t="shared" si="18"/>
        <v>0</v>
      </c>
      <c r="AB77" s="10">
        <f t="shared" si="18"/>
        <v>0</v>
      </c>
      <c r="AC77" s="10">
        <f t="shared" si="18"/>
        <v>0</v>
      </c>
      <c r="AD77" s="10">
        <f t="shared" si="18"/>
        <v>0</v>
      </c>
      <c r="AE77" s="10">
        <f t="shared" si="18"/>
        <v>0</v>
      </c>
      <c r="AF77" s="11">
        <f t="shared" si="1"/>
        <v>0</v>
      </c>
      <c r="AG77" s="11">
        <f t="shared" si="2"/>
        <v>0</v>
      </c>
      <c r="AH77" s="11">
        <f t="shared" si="3"/>
        <v>0</v>
      </c>
      <c r="AI77" s="11">
        <f t="shared" si="4"/>
        <v>0</v>
      </c>
      <c r="AJ77" s="5">
        <v>0</v>
      </c>
      <c r="AK77" s="5">
        <v>0</v>
      </c>
      <c r="AL77" s="6">
        <f t="shared" si="5"/>
        <v>0</v>
      </c>
      <c r="AM77" s="5">
        <v>2</v>
      </c>
      <c r="AN77" s="5">
        <v>20</v>
      </c>
      <c r="AO77" s="5">
        <v>1</v>
      </c>
      <c r="AP77" s="5">
        <v>1</v>
      </c>
    </row>
    <row r="78" spans="1:42" ht="15.75" customHeight="1" x14ac:dyDescent="0.35">
      <c r="A78" s="9">
        <v>77</v>
      </c>
      <c r="B78" s="13" t="s">
        <v>50</v>
      </c>
      <c r="C78" s="15" t="s">
        <v>52</v>
      </c>
      <c r="D78" s="13" t="s">
        <v>51</v>
      </c>
      <c r="E78" s="9">
        <v>2</v>
      </c>
      <c r="F78" s="9">
        <v>1</v>
      </c>
      <c r="G78" s="9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0</v>
      </c>
      <c r="Q78" s="5">
        <v>0</v>
      </c>
      <c r="R78" s="5">
        <v>0</v>
      </c>
      <c r="S78" s="5">
        <v>1</v>
      </c>
      <c r="T78" s="5">
        <v>0</v>
      </c>
      <c r="U78" s="5">
        <v>0</v>
      </c>
      <c r="V78" s="5">
        <v>0</v>
      </c>
      <c r="W78" s="5">
        <v>0</v>
      </c>
      <c r="X78" s="10">
        <f t="shared" si="18"/>
        <v>0</v>
      </c>
      <c r="Y78" s="10">
        <f t="shared" si="18"/>
        <v>0</v>
      </c>
      <c r="Z78" s="10">
        <f t="shared" si="18"/>
        <v>0</v>
      </c>
      <c r="AA78" s="10">
        <v>1</v>
      </c>
      <c r="AB78" s="10">
        <f t="shared" si="18"/>
        <v>0</v>
      </c>
      <c r="AC78" s="10">
        <f t="shared" si="18"/>
        <v>0</v>
      </c>
      <c r="AD78" s="10">
        <v>0</v>
      </c>
      <c r="AE78" s="10">
        <f>IFERROR(IF(O78=W78, O78,""),"")</f>
        <v>0</v>
      </c>
      <c r="AF78" s="11">
        <f t="shared" si="1"/>
        <v>0</v>
      </c>
      <c r="AG78" s="11">
        <f t="shared" si="2"/>
        <v>0.5</v>
      </c>
      <c r="AH78" s="11">
        <f t="shared" si="3"/>
        <v>0</v>
      </c>
      <c r="AI78" s="11">
        <f t="shared" si="4"/>
        <v>0</v>
      </c>
      <c r="AJ78" s="5">
        <v>0</v>
      </c>
      <c r="AK78" s="5">
        <v>0</v>
      </c>
      <c r="AL78" s="6">
        <f t="shared" si="5"/>
        <v>0</v>
      </c>
      <c r="AM78" s="5">
        <v>1</v>
      </c>
      <c r="AN78" s="5">
        <v>18</v>
      </c>
      <c r="AO78" s="5">
        <v>1</v>
      </c>
      <c r="AP78" s="5">
        <v>1</v>
      </c>
    </row>
    <row r="79" spans="1:42" ht="15.75" customHeight="1" x14ac:dyDescent="0.35">
      <c r="A79" s="9">
        <v>78</v>
      </c>
      <c r="B79" s="13" t="s">
        <v>50</v>
      </c>
      <c r="C79" s="15" t="s">
        <v>52</v>
      </c>
      <c r="D79" s="13" t="s">
        <v>51</v>
      </c>
      <c r="E79" s="9">
        <v>2</v>
      </c>
      <c r="F79" s="9">
        <v>2</v>
      </c>
      <c r="G79" s="9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10">
        <f t="shared" si="18"/>
        <v>0</v>
      </c>
      <c r="Y79" s="10">
        <f t="shared" si="18"/>
        <v>0</v>
      </c>
      <c r="Z79" s="10">
        <f t="shared" si="18"/>
        <v>0</v>
      </c>
      <c r="AA79" s="10">
        <f t="shared" si="18"/>
        <v>0</v>
      </c>
      <c r="AB79" s="10">
        <f t="shared" si="18"/>
        <v>0</v>
      </c>
      <c r="AC79" s="10">
        <f t="shared" si="18"/>
        <v>0</v>
      </c>
      <c r="AD79" s="10">
        <f t="shared" si="18"/>
        <v>0</v>
      </c>
      <c r="AE79" s="10">
        <f t="shared" si="18"/>
        <v>0</v>
      </c>
      <c r="AF79" s="11">
        <f t="shared" si="1"/>
        <v>0</v>
      </c>
      <c r="AG79" s="11">
        <f t="shared" si="2"/>
        <v>0</v>
      </c>
      <c r="AH79" s="11">
        <f t="shared" si="3"/>
        <v>0</v>
      </c>
      <c r="AI79" s="11">
        <f t="shared" si="4"/>
        <v>0</v>
      </c>
      <c r="AJ79" s="5">
        <v>0</v>
      </c>
      <c r="AK79" s="5">
        <v>0</v>
      </c>
      <c r="AL79" s="6">
        <f t="shared" si="5"/>
        <v>0</v>
      </c>
      <c r="AM79" s="5">
        <v>1</v>
      </c>
      <c r="AN79" s="5">
        <v>18</v>
      </c>
      <c r="AO79" s="5">
        <v>1</v>
      </c>
      <c r="AP79" s="5">
        <v>1</v>
      </c>
    </row>
    <row r="80" spans="1:42" ht="15.75" customHeight="1" x14ac:dyDescent="0.35">
      <c r="A80" s="9">
        <v>79</v>
      </c>
      <c r="B80" s="13" t="s">
        <v>50</v>
      </c>
      <c r="C80" s="15" t="s">
        <v>52</v>
      </c>
      <c r="D80" s="13" t="s">
        <v>51</v>
      </c>
      <c r="E80" s="9">
        <v>2</v>
      </c>
      <c r="F80" s="9">
        <v>3</v>
      </c>
      <c r="G80" s="9">
        <v>1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10">
        <f t="shared" si="18"/>
        <v>0</v>
      </c>
      <c r="Y80" s="10">
        <f t="shared" si="18"/>
        <v>0</v>
      </c>
      <c r="Z80" s="10">
        <f t="shared" si="18"/>
        <v>0</v>
      </c>
      <c r="AA80" s="10">
        <f t="shared" si="18"/>
        <v>0</v>
      </c>
      <c r="AB80" s="10">
        <f t="shared" si="18"/>
        <v>0</v>
      </c>
      <c r="AC80" s="10">
        <f t="shared" si="18"/>
        <v>0</v>
      </c>
      <c r="AD80" s="10">
        <f t="shared" si="18"/>
        <v>0</v>
      </c>
      <c r="AE80" s="10">
        <f t="shared" si="18"/>
        <v>0</v>
      </c>
      <c r="AF80" s="11">
        <f t="shared" si="1"/>
        <v>0</v>
      </c>
      <c r="AG80" s="11">
        <f t="shared" si="2"/>
        <v>0</v>
      </c>
      <c r="AH80" s="11">
        <f t="shared" si="3"/>
        <v>0</v>
      </c>
      <c r="AI80" s="11">
        <f t="shared" si="4"/>
        <v>0</v>
      </c>
      <c r="AJ80" s="5">
        <v>0</v>
      </c>
      <c r="AK80" s="5">
        <v>0</v>
      </c>
      <c r="AL80" s="6">
        <f t="shared" si="5"/>
        <v>0</v>
      </c>
      <c r="AM80" s="5">
        <v>1</v>
      </c>
      <c r="AN80" s="5">
        <v>18</v>
      </c>
      <c r="AO80" s="5">
        <v>1</v>
      </c>
      <c r="AP80" s="5">
        <v>1</v>
      </c>
    </row>
    <row r="81" spans="1:42" ht="15.75" customHeight="1" x14ac:dyDescent="0.35">
      <c r="A81" s="9">
        <v>80</v>
      </c>
      <c r="B81" s="13" t="s">
        <v>50</v>
      </c>
      <c r="C81" s="15" t="s">
        <v>52</v>
      </c>
      <c r="D81" s="13" t="s">
        <v>51</v>
      </c>
      <c r="E81" s="9">
        <v>2</v>
      </c>
      <c r="F81" s="9">
        <v>4</v>
      </c>
      <c r="G81" s="9">
        <v>2</v>
      </c>
      <c r="H81" s="5">
        <v>0</v>
      </c>
      <c r="I81" s="5">
        <v>0</v>
      </c>
      <c r="J81" s="5">
        <v>0</v>
      </c>
      <c r="K81" s="5">
        <v>1</v>
      </c>
      <c r="L81" s="5">
        <v>1</v>
      </c>
      <c r="M81" s="5">
        <v>0</v>
      </c>
      <c r="N81" s="5">
        <v>0</v>
      </c>
      <c r="O81" s="5">
        <v>1</v>
      </c>
      <c r="P81" s="5">
        <v>0</v>
      </c>
      <c r="Q81" s="5">
        <v>1</v>
      </c>
      <c r="R81" s="5">
        <v>1</v>
      </c>
      <c r="S81" s="5">
        <v>1</v>
      </c>
      <c r="T81" s="5">
        <v>0</v>
      </c>
      <c r="U81" s="5">
        <v>0</v>
      </c>
      <c r="V81" s="5">
        <v>0</v>
      </c>
      <c r="W81" s="5">
        <v>0</v>
      </c>
      <c r="X81" s="10">
        <f t="shared" si="18"/>
        <v>0</v>
      </c>
      <c r="Y81" s="10">
        <v>1</v>
      </c>
      <c r="Z81" s="10">
        <v>1</v>
      </c>
      <c r="AA81" s="10">
        <f>IFERROR(IF(K81=S81, K81,""),"")</f>
        <v>1</v>
      </c>
      <c r="AB81" s="10">
        <v>1</v>
      </c>
      <c r="AC81" s="10">
        <f t="shared" si="18"/>
        <v>0</v>
      </c>
      <c r="AD81" s="10">
        <f t="shared" si="18"/>
        <v>0</v>
      </c>
      <c r="AE81" s="10">
        <v>0</v>
      </c>
      <c r="AF81" s="11">
        <f t="shared" si="1"/>
        <v>0.5</v>
      </c>
      <c r="AG81" s="11">
        <f t="shared" si="2"/>
        <v>1</v>
      </c>
      <c r="AH81" s="11">
        <f t="shared" si="3"/>
        <v>0.5</v>
      </c>
      <c r="AI81" s="11">
        <f t="shared" si="4"/>
        <v>0</v>
      </c>
      <c r="AJ81" s="5">
        <v>0</v>
      </c>
      <c r="AK81" s="5">
        <v>0</v>
      </c>
      <c r="AL81" s="6">
        <f t="shared" si="5"/>
        <v>0</v>
      </c>
      <c r="AM81" s="5">
        <v>1</v>
      </c>
      <c r="AN81" s="5">
        <v>19</v>
      </c>
      <c r="AO81" s="5">
        <v>2</v>
      </c>
      <c r="AP81" s="5">
        <v>1</v>
      </c>
    </row>
    <row r="82" spans="1:42" ht="15.75" customHeight="1" x14ac:dyDescent="0.35">
      <c r="A82" s="9">
        <v>81</v>
      </c>
      <c r="B82" s="13" t="s">
        <v>50</v>
      </c>
      <c r="C82" s="15" t="s">
        <v>52</v>
      </c>
      <c r="D82" s="13" t="s">
        <v>51</v>
      </c>
      <c r="E82" s="9">
        <v>1</v>
      </c>
      <c r="F82" s="9">
        <v>1</v>
      </c>
      <c r="G82" s="9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10">
        <f t="shared" ref="X82:AE83" si="20">IFERROR(IF(H82=P82, H82,""),"")</f>
        <v>0</v>
      </c>
      <c r="Y82" s="10">
        <f t="shared" si="20"/>
        <v>0</v>
      </c>
      <c r="Z82" s="10">
        <f t="shared" si="20"/>
        <v>0</v>
      </c>
      <c r="AA82" s="10">
        <f t="shared" si="20"/>
        <v>0</v>
      </c>
      <c r="AB82" s="10">
        <f t="shared" si="20"/>
        <v>0</v>
      </c>
      <c r="AC82" s="10">
        <f t="shared" si="20"/>
        <v>0</v>
      </c>
      <c r="AD82" s="10">
        <f t="shared" si="20"/>
        <v>0</v>
      </c>
      <c r="AE82" s="10">
        <f t="shared" si="20"/>
        <v>0</v>
      </c>
      <c r="AF82" s="11">
        <f t="shared" si="1"/>
        <v>0</v>
      </c>
      <c r="AG82" s="11">
        <f t="shared" si="2"/>
        <v>0</v>
      </c>
      <c r="AH82" s="11">
        <f t="shared" si="3"/>
        <v>0</v>
      </c>
      <c r="AI82" s="11">
        <f t="shared" si="4"/>
        <v>0</v>
      </c>
      <c r="AJ82" s="5">
        <v>0</v>
      </c>
      <c r="AK82" s="5">
        <v>0</v>
      </c>
      <c r="AL82" s="6">
        <f t="shared" si="5"/>
        <v>0</v>
      </c>
      <c r="AM82" s="5">
        <v>2</v>
      </c>
      <c r="AN82" s="5">
        <v>18</v>
      </c>
      <c r="AO82" s="5">
        <v>2</v>
      </c>
      <c r="AP82" s="5">
        <v>1</v>
      </c>
    </row>
    <row r="83" spans="1:42" ht="15.75" customHeight="1" x14ac:dyDescent="0.35">
      <c r="A83" s="9">
        <v>82</v>
      </c>
      <c r="B83" s="13" t="s">
        <v>50</v>
      </c>
      <c r="C83" s="15" t="s">
        <v>52</v>
      </c>
      <c r="D83" s="13" t="s">
        <v>51</v>
      </c>
      <c r="E83" s="9">
        <v>1</v>
      </c>
      <c r="F83" s="9">
        <v>2</v>
      </c>
      <c r="G83" s="9">
        <v>2</v>
      </c>
      <c r="H83" s="5">
        <v>0</v>
      </c>
      <c r="I83" s="5">
        <v>1</v>
      </c>
      <c r="J83" s="5">
        <v>1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5">
        <v>1</v>
      </c>
      <c r="Q83" s="5">
        <v>0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10">
        <v>1</v>
      </c>
      <c r="Y83" s="10">
        <v>1</v>
      </c>
      <c r="Z83" s="10">
        <f t="shared" si="20"/>
        <v>1</v>
      </c>
      <c r="AA83" s="10">
        <f t="shared" si="20"/>
        <v>0</v>
      </c>
      <c r="AB83" s="10">
        <v>1</v>
      </c>
      <c r="AC83" s="10">
        <f t="shared" si="20"/>
        <v>0</v>
      </c>
      <c r="AD83" s="10">
        <f t="shared" si="20"/>
        <v>0</v>
      </c>
      <c r="AE83" s="10">
        <f t="shared" si="20"/>
        <v>0</v>
      </c>
      <c r="AF83" s="11">
        <f t="shared" si="1"/>
        <v>1</v>
      </c>
      <c r="AG83" s="11">
        <f t="shared" si="2"/>
        <v>0.5</v>
      </c>
      <c r="AH83" s="11">
        <f t="shared" si="3"/>
        <v>0.5</v>
      </c>
      <c r="AI83" s="11">
        <f t="shared" si="4"/>
        <v>0</v>
      </c>
      <c r="AJ83" s="5">
        <v>0</v>
      </c>
      <c r="AK83" s="5">
        <v>0</v>
      </c>
      <c r="AL83" s="6">
        <f t="shared" si="5"/>
        <v>0</v>
      </c>
      <c r="AM83" s="5">
        <v>2</v>
      </c>
      <c r="AN83" s="5">
        <v>18</v>
      </c>
      <c r="AO83" s="5">
        <v>1</v>
      </c>
      <c r="AP83" s="5">
        <v>1</v>
      </c>
    </row>
    <row r="84" spans="1:42" ht="15.75" customHeight="1" x14ac:dyDescent="0.35">
      <c r="A84" s="9">
        <v>83</v>
      </c>
      <c r="B84" s="13" t="s">
        <v>50</v>
      </c>
      <c r="C84" s="15" t="s">
        <v>52</v>
      </c>
      <c r="D84" s="13" t="s">
        <v>51</v>
      </c>
      <c r="E84" s="9">
        <v>1</v>
      </c>
      <c r="F84" s="9">
        <v>3</v>
      </c>
      <c r="G84" s="9">
        <v>1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10">
        <f t="shared" ref="X84:AE85" si="21">IFERROR(IF(H84=P84, H84,""),"")</f>
        <v>0</v>
      </c>
      <c r="Y84" s="10">
        <f t="shared" si="21"/>
        <v>0</v>
      </c>
      <c r="Z84" s="10">
        <f t="shared" si="21"/>
        <v>0</v>
      </c>
      <c r="AA84" s="10">
        <f t="shared" si="21"/>
        <v>0</v>
      </c>
      <c r="AB84" s="10">
        <f t="shared" si="21"/>
        <v>0</v>
      </c>
      <c r="AC84" s="10">
        <f t="shared" si="21"/>
        <v>0</v>
      </c>
      <c r="AD84" s="10">
        <f t="shared" si="21"/>
        <v>0</v>
      </c>
      <c r="AE84" s="10">
        <f t="shared" si="21"/>
        <v>0</v>
      </c>
      <c r="AF84" s="11">
        <f t="shared" si="1"/>
        <v>0</v>
      </c>
      <c r="AG84" s="11">
        <f t="shared" si="2"/>
        <v>0</v>
      </c>
      <c r="AH84" s="11">
        <f t="shared" si="3"/>
        <v>0</v>
      </c>
      <c r="AI84" s="11">
        <f t="shared" si="4"/>
        <v>0</v>
      </c>
      <c r="AJ84" s="5">
        <v>0</v>
      </c>
      <c r="AK84" s="5">
        <v>0</v>
      </c>
      <c r="AL84" s="6">
        <f t="shared" si="5"/>
        <v>0</v>
      </c>
      <c r="AM84" s="5">
        <v>2</v>
      </c>
      <c r="AN84" s="5">
        <v>18</v>
      </c>
      <c r="AO84" s="5">
        <v>1</v>
      </c>
      <c r="AP84" s="5">
        <v>1</v>
      </c>
    </row>
    <row r="85" spans="1:42" ht="15.75" customHeight="1" x14ac:dyDescent="0.35">
      <c r="A85" s="9">
        <v>84</v>
      </c>
      <c r="B85" s="13" t="s">
        <v>50</v>
      </c>
      <c r="C85" s="15" t="s">
        <v>52</v>
      </c>
      <c r="D85" s="13" t="s">
        <v>51</v>
      </c>
      <c r="E85" s="9">
        <v>1</v>
      </c>
      <c r="F85" s="9">
        <v>4</v>
      </c>
      <c r="G85" s="9">
        <v>2</v>
      </c>
      <c r="H85" s="5">
        <v>0</v>
      </c>
      <c r="I85" s="5">
        <v>0</v>
      </c>
      <c r="J85" s="5">
        <v>0</v>
      </c>
      <c r="K85" s="5">
        <v>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10">
        <f t="shared" si="21"/>
        <v>0</v>
      </c>
      <c r="Y85" s="10">
        <f t="shared" si="21"/>
        <v>0</v>
      </c>
      <c r="Z85" s="10">
        <v>1</v>
      </c>
      <c r="AA85" s="10">
        <f>IFERROR(IF(K85=S85, K85,""),"")</f>
        <v>0</v>
      </c>
      <c r="AB85" s="10">
        <v>0</v>
      </c>
      <c r="AC85" s="10">
        <f t="shared" si="21"/>
        <v>0</v>
      </c>
      <c r="AD85" s="10">
        <f t="shared" si="21"/>
        <v>0</v>
      </c>
      <c r="AE85" s="10">
        <f t="shared" si="21"/>
        <v>0</v>
      </c>
      <c r="AF85" s="11">
        <f t="shared" si="1"/>
        <v>0</v>
      </c>
      <c r="AG85" s="11">
        <f t="shared" si="2"/>
        <v>0.5</v>
      </c>
      <c r="AH85" s="11">
        <f t="shared" si="3"/>
        <v>0</v>
      </c>
      <c r="AI85" s="11">
        <f t="shared" si="4"/>
        <v>0</v>
      </c>
      <c r="AJ85" s="5">
        <v>0</v>
      </c>
      <c r="AK85" s="5">
        <v>0</v>
      </c>
      <c r="AL85" s="6">
        <f t="shared" si="5"/>
        <v>0</v>
      </c>
      <c r="AM85" s="5">
        <v>2</v>
      </c>
      <c r="AN85" s="5">
        <v>19</v>
      </c>
      <c r="AO85" s="5">
        <v>1</v>
      </c>
      <c r="AP85" s="5">
        <v>1</v>
      </c>
    </row>
    <row r="86" spans="1:42" ht="15.75" customHeight="1" x14ac:dyDescent="0.35">
      <c r="A86" s="9">
        <v>85</v>
      </c>
      <c r="B86" s="13" t="s">
        <v>50</v>
      </c>
      <c r="C86" s="15" t="s">
        <v>52</v>
      </c>
      <c r="D86" s="13" t="s">
        <v>51</v>
      </c>
      <c r="E86" s="9">
        <v>2</v>
      </c>
      <c r="F86" s="9">
        <v>1</v>
      </c>
      <c r="G86" s="9">
        <v>2</v>
      </c>
      <c r="H86" s="5">
        <v>0</v>
      </c>
      <c r="I86" s="5">
        <v>1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1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10">
        <v>1</v>
      </c>
      <c r="Y86" s="10">
        <v>0</v>
      </c>
      <c r="Z86" s="10">
        <f t="shared" ref="Z86:AE87" si="22">IFERROR(IF(J86=R86, J86,""),"")</f>
        <v>0</v>
      </c>
      <c r="AA86" s="10">
        <f t="shared" si="22"/>
        <v>0</v>
      </c>
      <c r="AB86" s="10">
        <f t="shared" si="22"/>
        <v>0</v>
      </c>
      <c r="AC86" s="10">
        <f t="shared" si="22"/>
        <v>0</v>
      </c>
      <c r="AD86" s="10">
        <f t="shared" si="22"/>
        <v>0</v>
      </c>
      <c r="AE86" s="10">
        <f t="shared" si="22"/>
        <v>0</v>
      </c>
      <c r="AF86" s="11">
        <f t="shared" si="1"/>
        <v>0.5</v>
      </c>
      <c r="AG86" s="11">
        <f t="shared" si="2"/>
        <v>0</v>
      </c>
      <c r="AH86" s="11">
        <f t="shared" si="3"/>
        <v>0</v>
      </c>
      <c r="AI86" s="11">
        <f t="shared" si="4"/>
        <v>0</v>
      </c>
      <c r="AJ86" s="5">
        <v>0</v>
      </c>
      <c r="AK86" s="5">
        <v>0</v>
      </c>
      <c r="AL86" s="6">
        <f t="shared" si="5"/>
        <v>0</v>
      </c>
      <c r="AM86" s="5">
        <v>1</v>
      </c>
      <c r="AN86" s="5">
        <v>18</v>
      </c>
      <c r="AO86" s="5">
        <v>1</v>
      </c>
      <c r="AP86" s="5">
        <v>1</v>
      </c>
    </row>
    <row r="87" spans="1:42" ht="15.75" customHeight="1" x14ac:dyDescent="0.35">
      <c r="A87" s="9">
        <v>86</v>
      </c>
      <c r="B87" s="13" t="s">
        <v>50</v>
      </c>
      <c r="C87" s="15" t="s">
        <v>52</v>
      </c>
      <c r="D87" s="13" t="s">
        <v>51</v>
      </c>
      <c r="E87" s="9">
        <v>2</v>
      </c>
      <c r="F87" s="9">
        <v>2</v>
      </c>
      <c r="G87" s="9">
        <v>1</v>
      </c>
      <c r="H87" s="5">
        <v>0</v>
      </c>
      <c r="I87" s="5">
        <v>0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10">
        <v>1</v>
      </c>
      <c r="Y87" s="10">
        <f t="shared" ref="Y87:Z87" si="23">IFERROR(IF(I87=Q87, I87,""),"")</f>
        <v>0</v>
      </c>
      <c r="Z87" s="10">
        <f t="shared" si="23"/>
        <v>0</v>
      </c>
      <c r="AA87" s="10">
        <v>0</v>
      </c>
      <c r="AB87" s="10">
        <f t="shared" si="22"/>
        <v>0</v>
      </c>
      <c r="AC87" s="10">
        <f t="shared" si="22"/>
        <v>0</v>
      </c>
      <c r="AD87" s="10">
        <f t="shared" si="22"/>
        <v>0</v>
      </c>
      <c r="AE87" s="10">
        <f t="shared" si="22"/>
        <v>0</v>
      </c>
      <c r="AF87" s="11">
        <f t="shared" si="1"/>
        <v>0.5</v>
      </c>
      <c r="AG87" s="11">
        <f t="shared" si="2"/>
        <v>0</v>
      </c>
      <c r="AH87" s="11">
        <f t="shared" si="3"/>
        <v>0</v>
      </c>
      <c r="AI87" s="11">
        <f t="shared" si="4"/>
        <v>0</v>
      </c>
      <c r="AJ87" s="5">
        <v>0</v>
      </c>
      <c r="AK87" s="5">
        <v>0</v>
      </c>
      <c r="AL87" s="6">
        <f t="shared" si="5"/>
        <v>0</v>
      </c>
      <c r="AM87" s="5">
        <v>1</v>
      </c>
      <c r="AN87" s="5">
        <v>18</v>
      </c>
      <c r="AO87" s="5">
        <v>2</v>
      </c>
      <c r="AP87" s="5">
        <v>1</v>
      </c>
    </row>
    <row r="88" spans="1:42" ht="15.75" customHeight="1" x14ac:dyDescent="0.35">
      <c r="A88" s="9">
        <v>87</v>
      </c>
      <c r="B88" s="13" t="s">
        <v>50</v>
      </c>
      <c r="C88" s="15" t="s">
        <v>52</v>
      </c>
      <c r="D88" s="13" t="s">
        <v>51</v>
      </c>
      <c r="E88" s="9">
        <v>2</v>
      </c>
      <c r="F88" s="9">
        <v>3</v>
      </c>
      <c r="G88" s="9">
        <v>2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10">
        <f t="shared" ref="X88:AE90" si="24">IFERROR(IF(H88=P88, H88,""),"")</f>
        <v>0</v>
      </c>
      <c r="Y88" s="10">
        <f t="shared" si="24"/>
        <v>0</v>
      </c>
      <c r="Z88" s="10">
        <f t="shared" si="24"/>
        <v>0</v>
      </c>
      <c r="AA88" s="10">
        <f t="shared" si="24"/>
        <v>0</v>
      </c>
      <c r="AB88" s="10">
        <f t="shared" si="24"/>
        <v>0</v>
      </c>
      <c r="AC88" s="10">
        <f t="shared" si="24"/>
        <v>0</v>
      </c>
      <c r="AD88" s="10">
        <f t="shared" si="24"/>
        <v>0</v>
      </c>
      <c r="AE88" s="10">
        <f t="shared" si="24"/>
        <v>0</v>
      </c>
      <c r="AF88" s="11">
        <f t="shared" si="1"/>
        <v>0</v>
      </c>
      <c r="AG88" s="11">
        <f t="shared" si="2"/>
        <v>0</v>
      </c>
      <c r="AH88" s="11">
        <f t="shared" si="3"/>
        <v>0</v>
      </c>
      <c r="AI88" s="11">
        <f t="shared" si="4"/>
        <v>0</v>
      </c>
      <c r="AJ88" s="5">
        <v>0</v>
      </c>
      <c r="AK88" s="5">
        <v>0</v>
      </c>
      <c r="AL88" s="6">
        <f t="shared" si="5"/>
        <v>0</v>
      </c>
      <c r="AM88" s="5">
        <v>1</v>
      </c>
      <c r="AN88" s="5">
        <v>18</v>
      </c>
      <c r="AO88" s="5">
        <v>2</v>
      </c>
      <c r="AP88" s="5">
        <v>1</v>
      </c>
    </row>
    <row r="89" spans="1:42" ht="15.75" customHeight="1" x14ac:dyDescent="0.35">
      <c r="A89" s="9">
        <v>88</v>
      </c>
      <c r="B89" s="13" t="s">
        <v>50</v>
      </c>
      <c r="C89" s="15" t="s">
        <v>52</v>
      </c>
      <c r="D89" s="13" t="s">
        <v>51</v>
      </c>
      <c r="E89" s="9">
        <v>2</v>
      </c>
      <c r="F89" s="9">
        <v>4</v>
      </c>
      <c r="G89" s="9">
        <v>1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10">
        <f t="shared" si="24"/>
        <v>0</v>
      </c>
      <c r="Y89" s="10">
        <f t="shared" si="24"/>
        <v>0</v>
      </c>
      <c r="Z89" s="10">
        <f t="shared" si="24"/>
        <v>0</v>
      </c>
      <c r="AA89" s="10">
        <f t="shared" si="24"/>
        <v>0</v>
      </c>
      <c r="AB89" s="10">
        <f t="shared" si="24"/>
        <v>0</v>
      </c>
      <c r="AC89" s="10">
        <f t="shared" si="24"/>
        <v>0</v>
      </c>
      <c r="AD89" s="10">
        <f t="shared" si="24"/>
        <v>0</v>
      </c>
      <c r="AE89" s="10">
        <f t="shared" si="24"/>
        <v>0</v>
      </c>
      <c r="AF89" s="11">
        <f t="shared" si="1"/>
        <v>0</v>
      </c>
      <c r="AG89" s="11">
        <f t="shared" si="2"/>
        <v>0</v>
      </c>
      <c r="AH89" s="11">
        <f t="shared" si="3"/>
        <v>0</v>
      </c>
      <c r="AI89" s="11">
        <f t="shared" si="4"/>
        <v>0</v>
      </c>
      <c r="AJ89" s="5">
        <v>0</v>
      </c>
      <c r="AK89" s="5">
        <v>0</v>
      </c>
      <c r="AL89" s="6">
        <f t="shared" si="5"/>
        <v>0</v>
      </c>
      <c r="AM89" s="5">
        <v>1</v>
      </c>
      <c r="AN89" s="5">
        <v>20</v>
      </c>
      <c r="AO89" s="5">
        <v>1</v>
      </c>
      <c r="AP89" s="5">
        <v>1</v>
      </c>
    </row>
    <row r="90" spans="1:42" ht="15.75" customHeight="1" x14ac:dyDescent="0.35">
      <c r="A90" s="9">
        <v>89</v>
      </c>
      <c r="B90" s="13" t="s">
        <v>50</v>
      </c>
      <c r="C90" s="15" t="s">
        <v>52</v>
      </c>
      <c r="D90" s="13" t="s">
        <v>51</v>
      </c>
      <c r="E90" s="9">
        <v>1</v>
      </c>
      <c r="F90" s="9">
        <v>1</v>
      </c>
      <c r="G90" s="9">
        <v>2</v>
      </c>
      <c r="H90" s="5">
        <v>0</v>
      </c>
      <c r="I90" s="5">
        <v>1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1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10">
        <v>1</v>
      </c>
      <c r="Y90" s="10">
        <v>0</v>
      </c>
      <c r="Z90" s="10">
        <f t="shared" si="24"/>
        <v>0</v>
      </c>
      <c r="AA90" s="10">
        <f t="shared" si="24"/>
        <v>0</v>
      </c>
      <c r="AB90" s="10">
        <f t="shared" si="24"/>
        <v>0</v>
      </c>
      <c r="AC90" s="10">
        <f t="shared" si="24"/>
        <v>0</v>
      </c>
      <c r="AD90" s="10">
        <f t="shared" si="24"/>
        <v>0</v>
      </c>
      <c r="AE90" s="10">
        <f t="shared" si="24"/>
        <v>0</v>
      </c>
      <c r="AF90" s="11">
        <f t="shared" si="1"/>
        <v>0.5</v>
      </c>
      <c r="AG90" s="11">
        <f t="shared" si="2"/>
        <v>0</v>
      </c>
      <c r="AH90" s="11">
        <f t="shared" si="3"/>
        <v>0</v>
      </c>
      <c r="AI90" s="11">
        <f t="shared" si="4"/>
        <v>0</v>
      </c>
      <c r="AJ90" s="5">
        <v>0</v>
      </c>
      <c r="AK90" s="5">
        <v>0</v>
      </c>
      <c r="AL90" s="6">
        <f t="shared" si="5"/>
        <v>0</v>
      </c>
      <c r="AM90" s="5">
        <v>2</v>
      </c>
      <c r="AN90" s="5">
        <v>19</v>
      </c>
      <c r="AO90" s="5">
        <v>2</v>
      </c>
      <c r="AP90" s="5">
        <v>1</v>
      </c>
    </row>
    <row r="91" spans="1:42" ht="15.75" customHeight="1" x14ac:dyDescent="0.35">
      <c r="A91" s="9">
        <v>90</v>
      </c>
      <c r="B91" s="13" t="s">
        <v>50</v>
      </c>
      <c r="C91" s="15" t="s">
        <v>52</v>
      </c>
      <c r="D91" s="13" t="s">
        <v>51</v>
      </c>
      <c r="E91" s="9">
        <v>1</v>
      </c>
      <c r="F91" s="9">
        <v>2</v>
      </c>
      <c r="G91" s="9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10">
        <f t="shared" ref="X91:AE95" si="25">IFERROR(IF(H91=P91, H91,""),"")</f>
        <v>0</v>
      </c>
      <c r="Y91" s="10">
        <f t="shared" si="25"/>
        <v>0</v>
      </c>
      <c r="Z91" s="10">
        <f t="shared" si="25"/>
        <v>0</v>
      </c>
      <c r="AA91" s="10">
        <f t="shared" si="25"/>
        <v>0</v>
      </c>
      <c r="AB91" s="10">
        <f t="shared" si="25"/>
        <v>0</v>
      </c>
      <c r="AC91" s="10">
        <f t="shared" si="25"/>
        <v>0</v>
      </c>
      <c r="AD91" s="10">
        <f t="shared" si="25"/>
        <v>0</v>
      </c>
      <c r="AE91" s="10">
        <f t="shared" si="25"/>
        <v>0</v>
      </c>
      <c r="AF91" s="11">
        <f t="shared" si="1"/>
        <v>0</v>
      </c>
      <c r="AG91" s="11">
        <f t="shared" si="2"/>
        <v>0</v>
      </c>
      <c r="AH91" s="11">
        <f t="shared" si="3"/>
        <v>0</v>
      </c>
      <c r="AI91" s="11">
        <f t="shared" si="4"/>
        <v>0</v>
      </c>
      <c r="AJ91" s="5">
        <v>0</v>
      </c>
      <c r="AK91" s="5">
        <v>0</v>
      </c>
      <c r="AL91" s="6">
        <f t="shared" si="5"/>
        <v>0</v>
      </c>
      <c r="AM91" s="5">
        <v>2</v>
      </c>
      <c r="AN91" s="5">
        <v>18</v>
      </c>
      <c r="AO91" s="5">
        <v>2</v>
      </c>
      <c r="AP91" s="5">
        <v>1</v>
      </c>
    </row>
    <row r="92" spans="1:42" ht="15.75" customHeight="1" x14ac:dyDescent="0.35">
      <c r="A92" s="9">
        <v>91</v>
      </c>
      <c r="B92" s="13" t="s">
        <v>50</v>
      </c>
      <c r="C92" s="15" t="s">
        <v>52</v>
      </c>
      <c r="D92" s="13" t="s">
        <v>51</v>
      </c>
      <c r="E92" s="9">
        <v>1</v>
      </c>
      <c r="F92" s="9">
        <v>3</v>
      </c>
      <c r="G92" s="9">
        <v>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10">
        <f t="shared" si="25"/>
        <v>0</v>
      </c>
      <c r="Y92" s="10">
        <f t="shared" si="25"/>
        <v>0</v>
      </c>
      <c r="Z92" s="10">
        <f t="shared" si="25"/>
        <v>0</v>
      </c>
      <c r="AA92" s="10">
        <f t="shared" si="25"/>
        <v>0</v>
      </c>
      <c r="AB92" s="10">
        <f t="shared" si="25"/>
        <v>0</v>
      </c>
      <c r="AC92" s="10">
        <f t="shared" si="25"/>
        <v>0</v>
      </c>
      <c r="AD92" s="10">
        <f t="shared" si="25"/>
        <v>0</v>
      </c>
      <c r="AE92" s="10">
        <f t="shared" si="25"/>
        <v>0</v>
      </c>
      <c r="AF92" s="11">
        <f t="shared" si="1"/>
        <v>0</v>
      </c>
      <c r="AG92" s="11">
        <f t="shared" si="2"/>
        <v>0</v>
      </c>
      <c r="AH92" s="11">
        <f t="shared" si="3"/>
        <v>0</v>
      </c>
      <c r="AI92" s="11">
        <f t="shared" si="4"/>
        <v>0</v>
      </c>
      <c r="AJ92" s="5">
        <v>0</v>
      </c>
      <c r="AK92" s="5">
        <v>0</v>
      </c>
      <c r="AL92" s="6">
        <f t="shared" si="5"/>
        <v>0</v>
      </c>
      <c r="AM92" s="5">
        <v>2</v>
      </c>
      <c r="AN92" s="5">
        <v>18</v>
      </c>
      <c r="AO92" s="5">
        <v>2</v>
      </c>
      <c r="AP92" s="5">
        <v>1</v>
      </c>
    </row>
    <row r="93" spans="1:42" ht="15.75" customHeight="1" x14ac:dyDescent="0.35">
      <c r="A93" s="9">
        <v>92</v>
      </c>
      <c r="B93" s="13" t="s">
        <v>50</v>
      </c>
      <c r="C93" s="15" t="s">
        <v>52</v>
      </c>
      <c r="D93" s="13" t="s">
        <v>51</v>
      </c>
      <c r="E93" s="9">
        <v>1</v>
      </c>
      <c r="F93" s="9">
        <v>4</v>
      </c>
      <c r="G93" s="9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10">
        <f t="shared" si="25"/>
        <v>0</v>
      </c>
      <c r="Y93" s="10">
        <f t="shared" si="25"/>
        <v>0</v>
      </c>
      <c r="Z93" s="10">
        <v>1</v>
      </c>
      <c r="AA93" s="10">
        <f t="shared" si="25"/>
        <v>0</v>
      </c>
      <c r="AB93" s="10">
        <f t="shared" si="25"/>
        <v>0</v>
      </c>
      <c r="AC93" s="10">
        <v>0</v>
      </c>
      <c r="AD93" s="10">
        <f t="shared" si="25"/>
        <v>0</v>
      </c>
      <c r="AE93" s="10">
        <f t="shared" si="25"/>
        <v>0</v>
      </c>
      <c r="AF93" s="11">
        <f t="shared" si="1"/>
        <v>0</v>
      </c>
      <c r="AG93" s="11">
        <f t="shared" si="2"/>
        <v>0.5</v>
      </c>
      <c r="AH93" s="11">
        <f t="shared" si="3"/>
        <v>0</v>
      </c>
      <c r="AI93" s="11">
        <f t="shared" si="4"/>
        <v>0</v>
      </c>
      <c r="AJ93" s="5">
        <v>0</v>
      </c>
      <c r="AK93" s="5">
        <v>0</v>
      </c>
      <c r="AL93" s="6">
        <f t="shared" si="5"/>
        <v>0</v>
      </c>
      <c r="AM93" s="5">
        <v>2</v>
      </c>
      <c r="AN93" s="5">
        <v>19</v>
      </c>
      <c r="AO93" s="5">
        <v>1</v>
      </c>
      <c r="AP93" s="5">
        <v>1</v>
      </c>
    </row>
    <row r="94" spans="1:42" ht="15.75" customHeight="1" x14ac:dyDescent="0.35">
      <c r="A94" s="9">
        <v>93</v>
      </c>
      <c r="B94" s="13" t="s">
        <v>50</v>
      </c>
      <c r="C94" s="15" t="s">
        <v>52</v>
      </c>
      <c r="D94" s="13" t="s">
        <v>51</v>
      </c>
      <c r="E94" s="9">
        <v>2</v>
      </c>
      <c r="F94" s="9">
        <v>1</v>
      </c>
      <c r="G94" s="9">
        <v>1</v>
      </c>
      <c r="H94" s="5">
        <v>0</v>
      </c>
      <c r="I94" s="5">
        <v>1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1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10">
        <f t="shared" si="25"/>
        <v>0</v>
      </c>
      <c r="Y94" s="10">
        <f t="shared" si="25"/>
        <v>1</v>
      </c>
      <c r="Z94" s="10">
        <f t="shared" si="25"/>
        <v>0</v>
      </c>
      <c r="AA94" s="10">
        <f t="shared" si="25"/>
        <v>0</v>
      </c>
      <c r="AB94" s="10">
        <f t="shared" si="25"/>
        <v>0</v>
      </c>
      <c r="AC94" s="10">
        <f t="shared" si="25"/>
        <v>0</v>
      </c>
      <c r="AD94" s="10">
        <f t="shared" si="25"/>
        <v>0</v>
      </c>
      <c r="AE94" s="10">
        <f t="shared" si="25"/>
        <v>0</v>
      </c>
      <c r="AF94" s="11">
        <f t="shared" si="1"/>
        <v>0.5</v>
      </c>
      <c r="AG94" s="11">
        <f t="shared" si="2"/>
        <v>0</v>
      </c>
      <c r="AH94" s="11">
        <f t="shared" si="3"/>
        <v>0</v>
      </c>
      <c r="AI94" s="11">
        <f t="shared" si="4"/>
        <v>0</v>
      </c>
      <c r="AJ94" s="5">
        <v>0</v>
      </c>
      <c r="AK94" s="5">
        <v>0</v>
      </c>
      <c r="AL94" s="6">
        <f t="shared" si="5"/>
        <v>0</v>
      </c>
      <c r="AM94" s="5">
        <v>1</v>
      </c>
      <c r="AN94" s="5">
        <v>19</v>
      </c>
      <c r="AO94" s="5">
        <v>1</v>
      </c>
      <c r="AP94" s="5">
        <v>1</v>
      </c>
    </row>
    <row r="95" spans="1:42" ht="15.75" customHeight="1" x14ac:dyDescent="0.35">
      <c r="A95" s="9">
        <v>94</v>
      </c>
      <c r="B95" s="13" t="s">
        <v>50</v>
      </c>
      <c r="C95" s="15" t="s">
        <v>52</v>
      </c>
      <c r="D95" s="13" t="s">
        <v>51</v>
      </c>
      <c r="E95" s="9">
        <v>2</v>
      </c>
      <c r="F95" s="9">
        <v>2</v>
      </c>
      <c r="G95" s="9">
        <v>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10">
        <f t="shared" si="25"/>
        <v>0</v>
      </c>
      <c r="Y95" s="10">
        <f t="shared" si="25"/>
        <v>0</v>
      </c>
      <c r="Z95" s="10">
        <f t="shared" si="25"/>
        <v>0</v>
      </c>
      <c r="AA95" s="10">
        <f t="shared" si="25"/>
        <v>0</v>
      </c>
      <c r="AB95" s="10">
        <f t="shared" si="25"/>
        <v>0</v>
      </c>
      <c r="AC95" s="10">
        <f t="shared" si="25"/>
        <v>0</v>
      </c>
      <c r="AD95" s="10">
        <f t="shared" si="25"/>
        <v>0</v>
      </c>
      <c r="AE95" s="10">
        <f t="shared" si="25"/>
        <v>0</v>
      </c>
      <c r="AF95" s="11">
        <f t="shared" si="1"/>
        <v>0</v>
      </c>
      <c r="AG95" s="11">
        <f t="shared" si="2"/>
        <v>0</v>
      </c>
      <c r="AH95" s="11">
        <f t="shared" si="3"/>
        <v>0</v>
      </c>
      <c r="AI95" s="11">
        <f t="shared" si="4"/>
        <v>0</v>
      </c>
      <c r="AJ95" s="5">
        <v>0</v>
      </c>
      <c r="AK95" s="5">
        <v>0</v>
      </c>
      <c r="AL95" s="6">
        <f t="shared" si="5"/>
        <v>0</v>
      </c>
      <c r="AM95" s="5">
        <v>1</v>
      </c>
      <c r="AN95" s="5">
        <v>20</v>
      </c>
      <c r="AO95" s="5">
        <v>1</v>
      </c>
      <c r="AP95" s="5">
        <v>1</v>
      </c>
    </row>
  </sheetData>
  <conditionalFormatting sqref="Y2:Y95 AA2:AA95 X1:X95 Z1:Z95 AB1:AB95">
    <cfRule type="containsBlanks" dxfId="1" priority="1">
      <formula>LEN(TRIM(X1))=0</formula>
    </cfRule>
  </conditionalFormatting>
  <conditionalFormatting sqref="AC1:AE95">
    <cfRule type="containsBlanks" dxfId="0" priority="2">
      <formula>LEN(TRIM(AC1))=0</formula>
    </cfRule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RowHeight="14.5" x14ac:dyDescent="0.35"/>
  <sheetData>
    <row r="1" spans="1:2" x14ac:dyDescent="0.35">
      <c r="A1">
        <v>1</v>
      </c>
      <c r="B1" t="s">
        <v>45</v>
      </c>
    </row>
    <row r="2" spans="1:2" x14ac:dyDescent="0.35">
      <c r="A2">
        <v>2</v>
      </c>
      <c r="B2" t="s">
        <v>46</v>
      </c>
    </row>
    <row r="3" spans="1:2" x14ac:dyDescent="0.35">
      <c r="A3">
        <v>3</v>
      </c>
      <c r="B3" s="1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1" t="s">
        <v>39</v>
      </c>
    </row>
    <row r="2" spans="1:3" ht="14.5" x14ac:dyDescent="0.35">
      <c r="A2" s="2"/>
      <c r="B2" s="2" t="s">
        <v>40</v>
      </c>
      <c r="C2" s="2" t="s">
        <v>41</v>
      </c>
    </row>
    <row r="3" spans="1:3" ht="14.5" x14ac:dyDescent="0.35">
      <c r="A3" s="2" t="s">
        <v>42</v>
      </c>
      <c r="B3" s="3" t="e">
        <f xml:space="preserve"> AVERAGEIF(#REF!, "Concentration",#REF!)</f>
        <v>#REF!</v>
      </c>
      <c r="C3" s="3" t="e">
        <f xml:space="preserve"> AVERAGEIF(#REF!, "Suppression",#REF!)</f>
        <v>#REF!</v>
      </c>
    </row>
    <row r="4" spans="1:3" ht="14.5" x14ac:dyDescent="0.35">
      <c r="A4" s="2" t="s">
        <v>43</v>
      </c>
      <c r="B4" s="3" t="e">
        <f xml:space="preserve"> AVERAGEIF(#REF!, "Concentration",#REF!)</f>
        <v>#REF!</v>
      </c>
      <c r="C4" s="3" t="e">
        <f xml:space="preserve"> AVERAGEIF(#REF!, "Suppression",#REF!)</f>
        <v>#REF!</v>
      </c>
    </row>
    <row r="6" spans="1:3" ht="14.5" x14ac:dyDescent="0.35">
      <c r="A6" s="1" t="s">
        <v>44</v>
      </c>
    </row>
    <row r="7" spans="1:3" ht="14.5" x14ac:dyDescent="0.35">
      <c r="A7" s="2"/>
      <c r="B7" s="2" t="s">
        <v>40</v>
      </c>
      <c r="C7" s="2" t="s">
        <v>41</v>
      </c>
    </row>
    <row r="8" spans="1:3" ht="14.5" x14ac:dyDescent="0.35">
      <c r="A8" s="2" t="s">
        <v>42</v>
      </c>
      <c r="B8" s="3" t="e">
        <f xml:space="preserve"> AVERAGEIF(#REF!, "Concentration",#REF!)</f>
        <v>#REF!</v>
      </c>
      <c r="C8" s="3" t="e">
        <f xml:space="preserve"> AVERAGEIF(#REF!, "Suppression",#REF!)</f>
        <v>#REF!</v>
      </c>
    </row>
    <row r="9" spans="1:3" ht="14.5" x14ac:dyDescent="0.35">
      <c r="A9" s="2" t="s">
        <v>43</v>
      </c>
      <c r="B9" s="3" t="e">
        <f xml:space="preserve"> AVERAGEIF(#REF!, "Concentration",#REF!)</f>
        <v>#REF!</v>
      </c>
      <c r="C9" s="3" t="e">
        <f xml:space="preserve"> AVERAGEIF(#REF!, "Suppression",#REF!)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2025-03-27T06:17:11Z</dcterms:modified>
</cp:coreProperties>
</file>