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14F48D2B-4235-4353-8DE2-FDBAFA22C4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4lLYXdd5YHq/zZmqTFA3JNH7CjmkbYQdFNKbya8TZk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I77" i="1"/>
  <c r="AH77" i="1"/>
  <c r="AG77" i="1"/>
  <c r="AF77" i="1"/>
  <c r="AI76" i="1"/>
  <c r="AH76" i="1"/>
  <c r="AG76" i="1"/>
  <c r="AF76" i="1"/>
  <c r="AI75" i="1"/>
  <c r="AH75" i="1"/>
  <c r="AG75" i="1"/>
  <c r="AF75" i="1"/>
  <c r="AI74" i="1"/>
  <c r="AH74" i="1"/>
  <c r="AG74" i="1"/>
  <c r="AF74" i="1"/>
  <c r="AI73" i="1"/>
  <c r="AH73" i="1"/>
  <c r="AG73" i="1"/>
  <c r="AF73" i="1"/>
  <c r="AI72" i="1"/>
  <c r="AH72" i="1"/>
  <c r="AG72" i="1"/>
  <c r="AF72" i="1"/>
  <c r="AI71" i="1"/>
  <c r="AH71" i="1"/>
  <c r="AG71" i="1"/>
  <c r="AF71" i="1"/>
  <c r="AI70" i="1"/>
  <c r="AH70" i="1"/>
  <c r="AG70" i="1"/>
  <c r="AF70" i="1"/>
  <c r="AI69" i="1"/>
  <c r="AH69" i="1"/>
  <c r="AG69" i="1"/>
  <c r="AF69" i="1"/>
  <c r="AI68" i="1"/>
  <c r="AH68" i="1"/>
  <c r="AG68" i="1"/>
  <c r="AF68" i="1"/>
  <c r="AI67" i="1"/>
  <c r="AH67" i="1"/>
  <c r="AG67" i="1"/>
  <c r="AF67" i="1"/>
  <c r="AI66" i="1"/>
  <c r="AH66" i="1"/>
  <c r="AG66" i="1"/>
  <c r="AF66" i="1"/>
  <c r="AI65" i="1"/>
  <c r="AH65" i="1"/>
  <c r="AG65" i="1"/>
  <c r="AF65" i="1"/>
  <c r="AI64" i="1"/>
  <c r="AH64" i="1"/>
  <c r="AG64" i="1"/>
  <c r="AF64" i="1"/>
  <c r="AI63" i="1"/>
  <c r="AH63" i="1"/>
  <c r="AG63" i="1"/>
  <c r="AF63" i="1"/>
  <c r="AI62" i="1"/>
  <c r="AH62" i="1"/>
  <c r="AG62" i="1"/>
  <c r="AF62" i="1"/>
  <c r="AI61" i="1"/>
  <c r="AH61" i="1"/>
  <c r="AG61" i="1"/>
  <c r="AF61" i="1"/>
  <c r="AI60" i="1"/>
  <c r="AH60" i="1"/>
  <c r="AG60" i="1"/>
  <c r="AF60" i="1"/>
  <c r="AI59" i="1"/>
  <c r="AH59" i="1"/>
  <c r="AG59" i="1"/>
  <c r="AF59" i="1"/>
  <c r="AI58" i="1"/>
  <c r="AH58" i="1"/>
  <c r="AG58" i="1"/>
  <c r="AF58" i="1"/>
  <c r="AI57" i="1"/>
  <c r="AH57" i="1"/>
  <c r="AG57" i="1"/>
  <c r="AF57" i="1"/>
  <c r="AI56" i="1"/>
  <c r="AH56" i="1"/>
  <c r="AG56" i="1"/>
  <c r="AF56" i="1"/>
  <c r="AI55" i="1"/>
  <c r="AH55" i="1"/>
  <c r="AG55" i="1"/>
  <c r="AF55" i="1"/>
  <c r="AI54" i="1"/>
  <c r="AH54" i="1"/>
  <c r="AG54" i="1"/>
  <c r="AF54" i="1"/>
  <c r="AI53" i="1"/>
  <c r="AH53" i="1"/>
  <c r="AG53" i="1"/>
  <c r="AF53" i="1"/>
  <c r="AI52" i="1"/>
  <c r="AH52" i="1"/>
  <c r="AG52" i="1"/>
  <c r="AF52" i="1"/>
  <c r="AI51" i="1"/>
  <c r="AH51" i="1"/>
  <c r="AG51" i="1"/>
  <c r="AF51" i="1"/>
  <c r="AI50" i="1"/>
  <c r="AH50" i="1"/>
  <c r="AG50" i="1"/>
  <c r="AF50" i="1"/>
  <c r="AI49" i="1"/>
  <c r="AH49" i="1"/>
  <c r="AG49" i="1"/>
  <c r="AF49" i="1"/>
  <c r="AI48" i="1"/>
  <c r="AH48" i="1"/>
  <c r="AG48" i="1"/>
  <c r="AF48" i="1"/>
  <c r="AI47" i="1"/>
  <c r="AH47" i="1"/>
  <c r="AG47" i="1"/>
  <c r="AF47" i="1"/>
  <c r="AI46" i="1"/>
  <c r="AH46" i="1"/>
  <c r="AG46" i="1"/>
  <c r="AF46" i="1"/>
  <c r="AI45" i="1"/>
  <c r="AH45" i="1"/>
  <c r="AG45" i="1"/>
  <c r="AF45" i="1"/>
  <c r="AI44" i="1"/>
  <c r="AH44" i="1"/>
  <c r="AG44" i="1"/>
  <c r="AF44" i="1"/>
  <c r="AI43" i="1"/>
  <c r="AH43" i="1"/>
  <c r="AG43" i="1"/>
  <c r="AF43" i="1"/>
  <c r="AI42" i="1"/>
  <c r="AH42" i="1"/>
  <c r="AG42" i="1"/>
  <c r="AF42" i="1"/>
  <c r="AI41" i="1"/>
  <c r="AH41" i="1"/>
  <c r="AG41" i="1"/>
  <c r="AF41" i="1"/>
  <c r="AI40" i="1"/>
  <c r="AH40" i="1"/>
  <c r="AG40" i="1"/>
  <c r="AF40" i="1"/>
  <c r="AI39" i="1"/>
  <c r="AH39" i="1"/>
  <c r="AG39" i="1"/>
  <c r="AF39" i="1"/>
  <c r="AI38" i="1"/>
  <c r="AH38" i="1"/>
  <c r="AG38" i="1"/>
  <c r="AF38" i="1"/>
  <c r="AI37" i="1"/>
  <c r="AH37" i="1"/>
  <c r="AG37" i="1"/>
  <c r="AF37" i="1"/>
  <c r="AI36" i="1"/>
  <c r="AH36" i="1"/>
  <c r="AG36" i="1"/>
  <c r="AF36" i="1"/>
  <c r="AI35" i="1"/>
  <c r="AH35" i="1"/>
  <c r="AG35" i="1"/>
  <c r="AF35" i="1"/>
  <c r="AI34" i="1"/>
  <c r="AH34" i="1"/>
  <c r="AG34" i="1"/>
  <c r="AF34" i="1"/>
  <c r="AI33" i="1"/>
  <c r="AH33" i="1"/>
  <c r="AG33" i="1"/>
  <c r="AF33" i="1"/>
  <c r="AI32" i="1"/>
  <c r="AH32" i="1"/>
  <c r="AG32" i="1"/>
  <c r="AF32" i="1"/>
  <c r="AI31" i="1"/>
  <c r="AH31" i="1"/>
  <c r="AG31" i="1"/>
  <c r="AF31" i="1"/>
  <c r="AI30" i="1"/>
  <c r="AH30" i="1"/>
  <c r="AG30" i="1"/>
  <c r="AF30" i="1"/>
  <c r="AI29" i="1"/>
  <c r="AH29" i="1"/>
  <c r="AG29" i="1"/>
  <c r="AF29" i="1"/>
  <c r="AI28" i="1"/>
  <c r="AH28" i="1"/>
  <c r="AG28" i="1"/>
  <c r="AF28" i="1"/>
  <c r="AI27" i="1"/>
  <c r="AH27" i="1"/>
  <c r="AG27" i="1"/>
  <c r="AF27" i="1"/>
  <c r="AI26" i="1"/>
  <c r="AH26" i="1"/>
  <c r="AG26" i="1"/>
  <c r="AF26" i="1"/>
  <c r="AI25" i="1"/>
  <c r="AH25" i="1"/>
  <c r="AG25" i="1"/>
  <c r="AF25" i="1"/>
  <c r="AI24" i="1"/>
  <c r="AH24" i="1"/>
  <c r="AG24" i="1"/>
  <c r="AF24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/>
  <c r="AH6" i="1"/>
  <c r="AG6" i="1"/>
  <c r="AF6" i="1"/>
  <c r="AI5" i="1"/>
  <c r="AH5" i="1"/>
  <c r="AG5" i="1"/>
  <c r="AF5" i="1"/>
  <c r="AI4" i="1"/>
  <c r="AH4" i="1"/>
  <c r="AG4" i="1"/>
  <c r="AF4" i="1"/>
  <c r="AI3" i="1"/>
  <c r="AH3" i="1"/>
  <c r="AG3" i="1"/>
  <c r="AF3" i="1"/>
  <c r="AI2" i="1"/>
  <c r="AH2" i="1"/>
  <c r="AG2" i="1"/>
  <c r="AF2" i="1"/>
</calcChain>
</file>

<file path=xl/sharedStrings.xml><?xml version="1.0" encoding="utf-8"?>
<sst xmlns="http://schemas.openxmlformats.org/spreadsheetml/2006/main" count="410" uniqueCount="54">
  <si>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</si>
  <si>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</si>
  <si>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</si>
  <si>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</si>
  <si>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</si>
  <si>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</si>
  <si>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</si>
  <si>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</si>
  <si>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</si>
  <si>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</si>
  <si>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</si>
  <si>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</si>
  <si>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</si>
  <si>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</si>
  <si>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</si>
  <si>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</si>
  <si>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</si>
  <si>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</si>
  <si>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</si>
  <si>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</si>
  <si>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</si>
  <si>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</si>
  <si>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</si>
  <si>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</si>
  <si>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</si>
  <si>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</si>
  <si>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</si>
  <si>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</si>
  <si>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</si>
  <si>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</si>
  <si>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</si>
  <si>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</si>
  <si>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</si>
  <si>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</si>
  <si>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</si>
  <si>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</si>
  <si>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</si>
  <si>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</si>
  <si>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</si>
  <si>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1?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</si>
  <si>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</si>
  <si>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</si>
  <si>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</si>
  <si>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</si>
  <si>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</si>
  <si>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</si>
  <si>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</si>
  <si>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PID 139-144 participants had lots of NA. "No voice" was the remark; likely due to equipment failure.</t>
  </si>
  <si>
    <t>Researcher</t>
  </si>
  <si>
    <t>Lab</t>
  </si>
  <si>
    <t>Country</t>
  </si>
  <si>
    <t xml:space="preserve">Cassandra Baldwin </t>
  </si>
  <si>
    <t xml:space="preserve"> Georgia Southern University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</si>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</sst>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5" fillId="0" borderId="0" xfId="0" applyFont="1"/>
    <xf numFmtId="0" fontId="1" fillId="0" borderId="0" xfId="0" applyFont="1"/>
    <xf numFmtId="2" fontId="3" fillId="0" borderId="0" xfId="0" applyNumberFormat="1" applyFont="1"/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/>
    <xf numFmtId="2" fontId="2" fillId="0" borderId="1" xfId="0" applyNumberFormat="1" applyFont="1" applyFill="1" applyBorder="1"/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/>
    <xf numFmtId="0" fontId="4" fillId="0" borderId="2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0" xfId="0" applyFont="1" applyFill="1" applyAlignment="1">
      <alignment horizontal="right"/>
    </xf>
    <xf numFmtId="0" fontId="4" fillId="0" borderId="4" xfId="0" applyFont="1" applyFill="1" applyBorder="1" applyAlignment="1">
      <alignment horizontal="right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6" fillId="0" borderId="1" xfId="0" applyFont="1" applyFill="1" applyBorder="1"/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/>
    <xf numFmtId="0" fontId="8" fillId="0" borderId="0" xfId="0" applyFont="1" applyAlignment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7"/>
  <sheetViews>
    <sheetView tabSelected="1" workbookViewId="0">
      <selection activeCell="B5" sqref="B5"/>
    </sheetView>
  </sheetViews>
  <sheetFormatPr defaultColWidth="14.453125" defaultRowHeight="15" customHeight="1" x14ac:dyDescent="0.35"/>
  <cols>
    <col min="1" max="1" width="14.81640625" customWidth="1"/>
    <col min="2" max="2" width="16.90625" bestFit="1" customWidth="1"/>
    <col min="3" max="4" width="14.81640625" customWidth="1"/>
    <col min="5" max="5" width="12.81640625" customWidth="1"/>
    <col min="6" max="6" width="13.81640625" customWidth="1"/>
    <col min="7" max="7" width="21.08984375" customWidth="1"/>
    <col min="8" max="8" width="20.7265625" customWidth="1"/>
    <col min="9" max="9" width="20.54296875" customWidth="1"/>
    <col min="10" max="10" width="21" customWidth="1"/>
    <col min="11" max="11" width="20.81640625" customWidth="1"/>
    <col min="12" max="12" width="24" customWidth="1"/>
    <col min="13" max="13" width="23.7265625" customWidth="1"/>
    <col min="14" max="14" width="24.7265625" customWidth="1"/>
    <col min="15" max="15" width="25.26953125" customWidth="1"/>
    <col min="16" max="16" width="21" customWidth="1"/>
    <col min="17" max="17" width="20.7265625" customWidth="1"/>
    <col min="18" max="18" width="21.453125" customWidth="1"/>
    <col min="19" max="19" width="21.54296875" customWidth="1"/>
    <col min="20" max="20" width="24.453125" customWidth="1"/>
    <col min="21" max="21" width="24.7265625" customWidth="1"/>
    <col min="22" max="22" width="25.26953125" customWidth="1"/>
    <col min="23" max="23" width="25.7265625" customWidth="1"/>
    <col min="24" max="25" width="18.54296875" customWidth="1"/>
    <col min="26" max="27" width="19.08984375" customWidth="1"/>
    <col min="28" max="29" width="22.08984375" customWidth="1"/>
    <col min="30" max="30" width="22.54296875" customWidth="1"/>
    <col min="31" max="31" width="23" customWidth="1"/>
    <col min="32" max="32" width="18.08984375" customWidth="1"/>
    <col min="33" max="33" width="18.453125" customWidth="1"/>
    <col min="34" max="34" width="21.26953125" customWidth="1"/>
    <col min="35" max="35" width="22.08984375" customWidth="1"/>
    <col min="36" max="36" width="14.26953125" customWidth="1"/>
    <col min="37" max="37" width="13.54296875" customWidth="1"/>
    <col min="38" max="38" width="12.453125" customWidth="1"/>
    <col min="39" max="41" width="9.08984375" customWidth="1"/>
    <col min="42" max="42" width="14.08984375" customWidth="1"/>
  </cols>
  <sheetData>
    <row r="1" spans="1:42" s="20" customFormat="1" ht="14.25" customHeight="1" x14ac:dyDescent="0.35">
      <c r="A1" s="17" t="s">
        <v>0</v>
      </c>
      <c r="B1" s="21" t="s">
        <v>48</v>
      </c>
      <c r="C1" s="21" t="s">
        <v>49</v>
      </c>
      <c r="D1" s="21" t="s">
        <v>50</v>
      </c>
      <c r="E1" s="18" t="s">
        <v>1</v>
      </c>
      <c r="F1" s="18" t="s">
        <v>2</v>
      </c>
      <c r="G1" s="18" t="s">
        <v>3</v>
      </c>
      <c r="H1" s="17" t="s">
        <v>4</v>
      </c>
      <c r="I1" s="17" t="s">
        <v>5</v>
      </c>
      <c r="J1" s="17" t="s">
        <v>6</v>
      </c>
      <c r="K1" s="17" t="s">
        <v>7</v>
      </c>
      <c r="L1" s="17" t="s">
        <v>8</v>
      </c>
      <c r="M1" s="17" t="s">
        <v>9</v>
      </c>
      <c r="N1" s="17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7" t="s">
        <v>17</v>
      </c>
      <c r="V1" s="17" t="s">
        <v>18</v>
      </c>
      <c r="W1" s="17" t="s">
        <v>19</v>
      </c>
      <c r="X1" s="17" t="s">
        <v>20</v>
      </c>
      <c r="Y1" s="17" t="s">
        <v>21</v>
      </c>
      <c r="Z1" s="17" t="s">
        <v>22</v>
      </c>
      <c r="AA1" s="17" t="s">
        <v>23</v>
      </c>
      <c r="AB1" s="17" t="s">
        <v>24</v>
      </c>
      <c r="AC1" s="17" t="s">
        <v>25</v>
      </c>
      <c r="AD1" s="17" t="s">
        <v>26</v>
      </c>
      <c r="AE1" s="17" t="s">
        <v>27</v>
      </c>
      <c r="AF1" s="17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9" t="s">
        <v>35</v>
      </c>
      <c r="AN1" s="19" t="s">
        <v>36</v>
      </c>
      <c r="AO1" s="19" t="s">
        <v>37</v>
      </c>
      <c r="AP1" s="19" t="s">
        <v>38</v>
      </c>
    </row>
    <row r="2" spans="1:42" ht="15.75" customHeight="1" x14ac:dyDescent="0.35">
      <c r="A2" s="4">
        <v>121</v>
      </c>
      <c r="B2" s="14" t="s">
        <v>51</v>
      </c>
      <c r="C2" s="15" t="s">
        <v>52</v>
      </c>
      <c r="D2" s="16" t="s">
        <v>53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5">
        <v>0</v>
      </c>
      <c r="Y2" s="5">
        <v>0</v>
      </c>
      <c r="Z2" s="5">
        <v>1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6">
        <f t="shared" ref="AF2:AF19" si="0">AVERAGE(X2:Y2)</f>
        <v>0</v>
      </c>
      <c r="AG2" s="6">
        <f t="shared" ref="AG2:AG19" si="1">AVERAGE(Z2:AA2)</f>
        <v>0.5</v>
      </c>
      <c r="AH2" s="6">
        <f t="shared" ref="AH2:AH19" si="2">AVERAGE(AB2:AC2)</f>
        <v>0</v>
      </c>
      <c r="AI2" s="6">
        <f t="shared" ref="AI2:AI19" si="3">AVERAGE(AD2:AE2)</f>
        <v>0</v>
      </c>
      <c r="AJ2" s="4">
        <v>0</v>
      </c>
      <c r="AK2" s="4">
        <v>0</v>
      </c>
      <c r="AL2" s="4">
        <v>0</v>
      </c>
      <c r="AM2" s="7">
        <v>1</v>
      </c>
      <c r="AN2" s="7">
        <v>19</v>
      </c>
      <c r="AO2" s="7">
        <v>2</v>
      </c>
      <c r="AP2" s="8">
        <v>1</v>
      </c>
    </row>
    <row r="3" spans="1:42" ht="14.25" customHeight="1" x14ac:dyDescent="0.35">
      <c r="A3" s="4">
        <v>122</v>
      </c>
      <c r="B3" s="14" t="s">
        <v>51</v>
      </c>
      <c r="C3" s="15" t="s">
        <v>52</v>
      </c>
      <c r="D3" s="16" t="s">
        <v>53</v>
      </c>
      <c r="E3" s="4">
        <v>1</v>
      </c>
      <c r="F3" s="4">
        <v>1</v>
      </c>
      <c r="G3" s="4">
        <v>1</v>
      </c>
      <c r="H3" s="4">
        <v>1</v>
      </c>
      <c r="I3" s="4">
        <v>0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6">
        <f t="shared" si="0"/>
        <v>0</v>
      </c>
      <c r="AG3" s="6">
        <f t="shared" si="1"/>
        <v>0</v>
      </c>
      <c r="AH3" s="6">
        <f t="shared" si="2"/>
        <v>0</v>
      </c>
      <c r="AI3" s="6">
        <f t="shared" si="3"/>
        <v>0</v>
      </c>
      <c r="AJ3" s="4">
        <v>0</v>
      </c>
      <c r="AK3" s="4">
        <v>0</v>
      </c>
      <c r="AL3" s="4">
        <v>0</v>
      </c>
      <c r="AM3" s="7">
        <v>2</v>
      </c>
      <c r="AN3" s="7">
        <v>19</v>
      </c>
      <c r="AO3" s="7">
        <v>1</v>
      </c>
      <c r="AP3" s="8">
        <v>1</v>
      </c>
    </row>
    <row r="4" spans="1:42" ht="14.25" customHeight="1" x14ac:dyDescent="0.35">
      <c r="A4" s="4">
        <v>123</v>
      </c>
      <c r="B4" s="14" t="s">
        <v>51</v>
      </c>
      <c r="C4" s="15" t="s">
        <v>52</v>
      </c>
      <c r="D4" s="16" t="s">
        <v>53</v>
      </c>
      <c r="E4" s="4">
        <v>1</v>
      </c>
      <c r="F4" s="4">
        <v>1</v>
      </c>
      <c r="G4" s="4">
        <v>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6">
        <f t="shared" si="0"/>
        <v>0</v>
      </c>
      <c r="AG4" s="6">
        <f t="shared" si="1"/>
        <v>0</v>
      </c>
      <c r="AH4" s="6">
        <f t="shared" si="2"/>
        <v>0</v>
      </c>
      <c r="AI4" s="6">
        <f t="shared" si="3"/>
        <v>0</v>
      </c>
      <c r="AJ4" s="4">
        <v>0</v>
      </c>
      <c r="AK4" s="4">
        <v>0</v>
      </c>
      <c r="AL4" s="4">
        <v>0</v>
      </c>
      <c r="AM4" s="7">
        <v>1</v>
      </c>
      <c r="AN4" s="7">
        <v>18</v>
      </c>
      <c r="AO4" s="7">
        <v>1</v>
      </c>
      <c r="AP4" s="8">
        <v>1</v>
      </c>
    </row>
    <row r="5" spans="1:42" ht="14.25" customHeight="1" x14ac:dyDescent="0.35">
      <c r="A5" s="4">
        <v>124</v>
      </c>
      <c r="B5" s="14" t="s">
        <v>51</v>
      </c>
      <c r="C5" s="15" t="s">
        <v>52</v>
      </c>
      <c r="D5" s="16" t="s">
        <v>53</v>
      </c>
      <c r="E5" s="4">
        <v>2</v>
      </c>
      <c r="F5" s="4">
        <v>3</v>
      </c>
      <c r="G5" s="9">
        <v>1</v>
      </c>
      <c r="H5" s="4">
        <v>0</v>
      </c>
      <c r="I5" s="4">
        <v>0</v>
      </c>
      <c r="J5" s="4">
        <v>1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1</v>
      </c>
      <c r="Q5" s="4">
        <v>0</v>
      </c>
      <c r="R5" s="4">
        <v>1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1</v>
      </c>
      <c r="AB5" s="4">
        <v>0</v>
      </c>
      <c r="AC5" s="4">
        <v>0</v>
      </c>
      <c r="AD5" s="4">
        <v>0</v>
      </c>
      <c r="AE5" s="4">
        <v>0</v>
      </c>
      <c r="AF5" s="6">
        <f t="shared" si="0"/>
        <v>0</v>
      </c>
      <c r="AG5" s="6">
        <f t="shared" si="1"/>
        <v>1</v>
      </c>
      <c r="AH5" s="6">
        <f t="shared" si="2"/>
        <v>0</v>
      </c>
      <c r="AI5" s="6">
        <f t="shared" si="3"/>
        <v>0</v>
      </c>
      <c r="AJ5" s="4">
        <v>0</v>
      </c>
      <c r="AK5" s="4">
        <v>0</v>
      </c>
      <c r="AL5" s="4">
        <v>0</v>
      </c>
      <c r="AM5" s="7">
        <v>1</v>
      </c>
      <c r="AN5" s="7">
        <v>21</v>
      </c>
      <c r="AO5" s="7">
        <v>1</v>
      </c>
      <c r="AP5" s="8">
        <v>1</v>
      </c>
    </row>
    <row r="6" spans="1:42" ht="14.25" customHeight="1" x14ac:dyDescent="0.35">
      <c r="A6" s="4">
        <v>125</v>
      </c>
      <c r="B6" s="14" t="s">
        <v>51</v>
      </c>
      <c r="C6" s="15" t="s">
        <v>52</v>
      </c>
      <c r="D6" s="16" t="s">
        <v>53</v>
      </c>
      <c r="E6" s="4">
        <v>2</v>
      </c>
      <c r="F6" s="4">
        <v>1</v>
      </c>
      <c r="G6" s="10">
        <v>2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6">
        <f t="shared" si="0"/>
        <v>0</v>
      </c>
      <c r="AG6" s="6">
        <f t="shared" si="1"/>
        <v>0</v>
      </c>
      <c r="AH6" s="6">
        <f t="shared" si="2"/>
        <v>0</v>
      </c>
      <c r="AI6" s="6">
        <f t="shared" si="3"/>
        <v>0</v>
      </c>
      <c r="AJ6" s="4">
        <v>0</v>
      </c>
      <c r="AK6" s="4">
        <v>0</v>
      </c>
      <c r="AL6" s="4">
        <v>0</v>
      </c>
      <c r="AM6" s="7">
        <v>1</v>
      </c>
      <c r="AN6" s="7">
        <v>19</v>
      </c>
      <c r="AO6" s="7">
        <v>2</v>
      </c>
      <c r="AP6" s="8">
        <v>1</v>
      </c>
    </row>
    <row r="7" spans="1:42" ht="14.25" customHeight="1" x14ac:dyDescent="0.35">
      <c r="A7" s="4">
        <v>126</v>
      </c>
      <c r="B7" s="14" t="s">
        <v>51</v>
      </c>
      <c r="C7" s="15" t="s">
        <v>52</v>
      </c>
      <c r="D7" s="16" t="s">
        <v>53</v>
      </c>
      <c r="E7" s="4">
        <v>2</v>
      </c>
      <c r="F7" s="4">
        <v>1</v>
      </c>
      <c r="G7" s="10">
        <v>2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6">
        <f t="shared" si="0"/>
        <v>0.5</v>
      </c>
      <c r="AG7" s="6">
        <f t="shared" si="1"/>
        <v>0</v>
      </c>
      <c r="AH7" s="6">
        <f t="shared" si="2"/>
        <v>0</v>
      </c>
      <c r="AI7" s="6">
        <f t="shared" si="3"/>
        <v>0</v>
      </c>
      <c r="AJ7" s="4">
        <v>0</v>
      </c>
      <c r="AK7" s="4">
        <v>0</v>
      </c>
      <c r="AL7" s="4">
        <v>0</v>
      </c>
      <c r="AM7" s="7">
        <v>1</v>
      </c>
      <c r="AN7" s="7">
        <v>19</v>
      </c>
      <c r="AO7" s="7">
        <v>2</v>
      </c>
      <c r="AP7" s="8">
        <v>1</v>
      </c>
    </row>
    <row r="8" spans="1:42" ht="14.25" customHeight="1" x14ac:dyDescent="0.35">
      <c r="A8" s="4">
        <v>127</v>
      </c>
      <c r="B8" s="14" t="s">
        <v>51</v>
      </c>
      <c r="C8" s="15" t="s">
        <v>52</v>
      </c>
      <c r="D8" s="16" t="s">
        <v>53</v>
      </c>
      <c r="E8" s="4">
        <v>1</v>
      </c>
      <c r="F8" s="4">
        <v>4</v>
      </c>
      <c r="G8" s="10">
        <v>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6">
        <f t="shared" si="0"/>
        <v>0</v>
      </c>
      <c r="AG8" s="6">
        <f t="shared" si="1"/>
        <v>0</v>
      </c>
      <c r="AH8" s="6">
        <f t="shared" si="2"/>
        <v>0</v>
      </c>
      <c r="AI8" s="6">
        <f t="shared" si="3"/>
        <v>0</v>
      </c>
      <c r="AJ8" s="4">
        <v>0</v>
      </c>
      <c r="AK8" s="4">
        <v>0</v>
      </c>
      <c r="AL8" s="4">
        <v>0</v>
      </c>
      <c r="AM8" s="7">
        <v>2</v>
      </c>
      <c r="AN8" s="7">
        <v>22</v>
      </c>
      <c r="AO8" s="7">
        <v>2</v>
      </c>
      <c r="AP8" s="8">
        <v>1</v>
      </c>
    </row>
    <row r="9" spans="1:42" ht="14.25" customHeight="1" x14ac:dyDescent="0.35">
      <c r="A9" s="4">
        <v>128</v>
      </c>
      <c r="B9" s="14" t="s">
        <v>51</v>
      </c>
      <c r="C9" s="15" t="s">
        <v>52</v>
      </c>
      <c r="D9" s="16" t="s">
        <v>53</v>
      </c>
      <c r="E9" s="4">
        <v>2</v>
      </c>
      <c r="F9" s="4">
        <v>1</v>
      </c>
      <c r="G9" s="10">
        <v>2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6">
        <f t="shared" si="0"/>
        <v>0.5</v>
      </c>
      <c r="AG9" s="6">
        <f t="shared" si="1"/>
        <v>0</v>
      </c>
      <c r="AH9" s="6">
        <f t="shared" si="2"/>
        <v>0</v>
      </c>
      <c r="AI9" s="6">
        <f t="shared" si="3"/>
        <v>0</v>
      </c>
      <c r="AJ9" s="4">
        <v>0</v>
      </c>
      <c r="AK9" s="4">
        <v>0</v>
      </c>
      <c r="AL9" s="4">
        <v>0</v>
      </c>
      <c r="AM9" s="7">
        <v>1</v>
      </c>
      <c r="AN9" s="7">
        <v>19</v>
      </c>
      <c r="AO9" s="7">
        <v>1</v>
      </c>
      <c r="AP9" s="8">
        <v>1</v>
      </c>
    </row>
    <row r="10" spans="1:42" ht="14.25" customHeight="1" x14ac:dyDescent="0.35">
      <c r="A10" s="4">
        <v>129</v>
      </c>
      <c r="B10" s="14" t="s">
        <v>51</v>
      </c>
      <c r="C10" s="15" t="s">
        <v>52</v>
      </c>
      <c r="D10" s="16" t="s">
        <v>53</v>
      </c>
      <c r="E10" s="4">
        <v>1</v>
      </c>
      <c r="F10" s="4">
        <v>4</v>
      </c>
      <c r="G10" s="10">
        <v>2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6">
        <f t="shared" si="0"/>
        <v>0</v>
      </c>
      <c r="AG10" s="6">
        <f t="shared" si="1"/>
        <v>0.5</v>
      </c>
      <c r="AH10" s="6">
        <f t="shared" si="2"/>
        <v>0</v>
      </c>
      <c r="AI10" s="6">
        <f t="shared" si="3"/>
        <v>0</v>
      </c>
      <c r="AJ10" s="4">
        <v>0</v>
      </c>
      <c r="AK10" s="4">
        <v>0</v>
      </c>
      <c r="AL10" s="4">
        <v>0</v>
      </c>
      <c r="AM10" s="7">
        <v>2</v>
      </c>
      <c r="AN10" s="7">
        <v>20</v>
      </c>
      <c r="AO10" s="7">
        <v>3</v>
      </c>
      <c r="AP10" s="8">
        <v>1</v>
      </c>
    </row>
    <row r="11" spans="1:42" ht="14.25" customHeight="1" x14ac:dyDescent="0.35">
      <c r="A11" s="4">
        <v>130</v>
      </c>
      <c r="B11" s="14" t="s">
        <v>51</v>
      </c>
      <c r="C11" s="15" t="s">
        <v>52</v>
      </c>
      <c r="D11" s="16" t="s">
        <v>53</v>
      </c>
      <c r="E11" s="4">
        <v>1</v>
      </c>
      <c r="F11" s="4">
        <v>1</v>
      </c>
      <c r="G11" s="10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6">
        <f t="shared" si="0"/>
        <v>0</v>
      </c>
      <c r="AG11" s="6">
        <f t="shared" si="1"/>
        <v>0</v>
      </c>
      <c r="AH11" s="6">
        <f t="shared" si="2"/>
        <v>0</v>
      </c>
      <c r="AI11" s="6">
        <f t="shared" si="3"/>
        <v>0</v>
      </c>
      <c r="AJ11" s="4">
        <v>0</v>
      </c>
      <c r="AK11" s="4">
        <v>0</v>
      </c>
      <c r="AL11" s="4">
        <v>0</v>
      </c>
      <c r="AM11" s="7">
        <v>2</v>
      </c>
      <c r="AN11" s="7">
        <v>19</v>
      </c>
      <c r="AO11" s="7">
        <v>2</v>
      </c>
      <c r="AP11" s="8">
        <v>1</v>
      </c>
    </row>
    <row r="12" spans="1:42" ht="14.25" customHeight="1" x14ac:dyDescent="0.35">
      <c r="A12" s="4">
        <v>131</v>
      </c>
      <c r="B12" s="14" t="s">
        <v>51</v>
      </c>
      <c r="C12" s="15" t="s">
        <v>52</v>
      </c>
      <c r="D12" s="16" t="s">
        <v>53</v>
      </c>
      <c r="E12" s="4">
        <v>2</v>
      </c>
      <c r="F12" s="4">
        <v>1</v>
      </c>
      <c r="G12" s="10">
        <v>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6">
        <f t="shared" si="0"/>
        <v>0</v>
      </c>
      <c r="AG12" s="6">
        <f t="shared" si="1"/>
        <v>0</v>
      </c>
      <c r="AH12" s="6">
        <f t="shared" si="2"/>
        <v>0</v>
      </c>
      <c r="AI12" s="6">
        <f t="shared" si="3"/>
        <v>0</v>
      </c>
      <c r="AJ12" s="4">
        <v>0</v>
      </c>
      <c r="AK12" s="4">
        <v>0</v>
      </c>
      <c r="AL12" s="4">
        <v>0</v>
      </c>
      <c r="AM12" s="7">
        <v>1</v>
      </c>
      <c r="AN12" s="7">
        <v>19</v>
      </c>
      <c r="AO12" s="7">
        <v>2</v>
      </c>
      <c r="AP12" s="8">
        <v>1</v>
      </c>
    </row>
    <row r="13" spans="1:42" ht="14.25" customHeight="1" x14ac:dyDescent="0.35">
      <c r="A13" s="4">
        <v>132</v>
      </c>
      <c r="B13" s="14" t="s">
        <v>51</v>
      </c>
      <c r="C13" s="15" t="s">
        <v>52</v>
      </c>
      <c r="D13" s="16" t="s">
        <v>53</v>
      </c>
      <c r="E13" s="4">
        <v>2</v>
      </c>
      <c r="F13" s="4">
        <v>4</v>
      </c>
      <c r="G13" s="10">
        <v>2</v>
      </c>
      <c r="H13" s="4">
        <v>1</v>
      </c>
      <c r="I13" s="4">
        <v>1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1</v>
      </c>
      <c r="R13" s="4">
        <v>0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0</v>
      </c>
      <c r="AA13" s="4">
        <v>1</v>
      </c>
      <c r="AB13" s="4">
        <v>0</v>
      </c>
      <c r="AC13" s="4">
        <v>0</v>
      </c>
      <c r="AD13" s="4">
        <v>0</v>
      </c>
      <c r="AE13" s="4">
        <v>0</v>
      </c>
      <c r="AF13" s="6">
        <f t="shared" si="0"/>
        <v>1</v>
      </c>
      <c r="AG13" s="6">
        <f t="shared" si="1"/>
        <v>0.5</v>
      </c>
      <c r="AH13" s="6">
        <f t="shared" si="2"/>
        <v>0</v>
      </c>
      <c r="AI13" s="6">
        <f t="shared" si="3"/>
        <v>0</v>
      </c>
      <c r="AJ13" s="4">
        <v>0</v>
      </c>
      <c r="AK13" s="4">
        <v>0</v>
      </c>
      <c r="AL13" s="4">
        <v>0</v>
      </c>
      <c r="AM13" s="7">
        <v>1</v>
      </c>
      <c r="AN13" s="7">
        <v>19</v>
      </c>
      <c r="AO13" s="7">
        <v>1</v>
      </c>
      <c r="AP13" s="8">
        <v>1</v>
      </c>
    </row>
    <row r="14" spans="1:42" ht="14.25" customHeight="1" x14ac:dyDescent="0.35">
      <c r="A14" s="4">
        <v>133</v>
      </c>
      <c r="B14" s="14" t="s">
        <v>51</v>
      </c>
      <c r="C14" s="15" t="s">
        <v>52</v>
      </c>
      <c r="D14" s="16" t="s">
        <v>53</v>
      </c>
      <c r="E14" s="7">
        <v>1</v>
      </c>
      <c r="F14" s="7">
        <v>1</v>
      </c>
      <c r="G14" s="10">
        <v>2</v>
      </c>
      <c r="H14" s="7">
        <v>1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1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1</v>
      </c>
      <c r="Y14" s="7">
        <v>0</v>
      </c>
      <c r="Z14" s="7">
        <v>0</v>
      </c>
      <c r="AA14" s="7">
        <v>0</v>
      </c>
      <c r="AB14" s="4">
        <v>0</v>
      </c>
      <c r="AC14" s="4">
        <v>0</v>
      </c>
      <c r="AD14" s="4">
        <v>0</v>
      </c>
      <c r="AE14" s="4">
        <v>0</v>
      </c>
      <c r="AF14" s="6">
        <f t="shared" si="0"/>
        <v>0.5</v>
      </c>
      <c r="AG14" s="6">
        <f t="shared" si="1"/>
        <v>0</v>
      </c>
      <c r="AH14" s="6">
        <f t="shared" si="2"/>
        <v>0</v>
      </c>
      <c r="AI14" s="6">
        <f t="shared" si="3"/>
        <v>0</v>
      </c>
      <c r="AJ14" s="4">
        <v>0</v>
      </c>
      <c r="AK14" s="4">
        <v>0</v>
      </c>
      <c r="AL14" s="4">
        <v>0</v>
      </c>
      <c r="AM14" s="7">
        <v>2</v>
      </c>
      <c r="AN14" s="7">
        <v>20</v>
      </c>
      <c r="AO14" s="7">
        <v>1</v>
      </c>
      <c r="AP14" s="8">
        <v>1</v>
      </c>
    </row>
    <row r="15" spans="1:42" ht="14.25" customHeight="1" x14ac:dyDescent="0.35">
      <c r="A15" s="4">
        <v>134</v>
      </c>
      <c r="B15" s="14" t="s">
        <v>51</v>
      </c>
      <c r="C15" s="15" t="s">
        <v>52</v>
      </c>
      <c r="D15" s="16" t="s">
        <v>53</v>
      </c>
      <c r="E15" s="7">
        <v>1</v>
      </c>
      <c r="F15" s="7">
        <v>3</v>
      </c>
      <c r="G15" s="10">
        <v>2</v>
      </c>
      <c r="H15" s="7">
        <v>0</v>
      </c>
      <c r="I15" s="7">
        <v>0</v>
      </c>
      <c r="J15" s="7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1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1</v>
      </c>
      <c r="AA15" s="7">
        <v>0</v>
      </c>
      <c r="AB15" s="4">
        <v>0</v>
      </c>
      <c r="AC15" s="4">
        <v>0</v>
      </c>
      <c r="AD15" s="4">
        <v>0</v>
      </c>
      <c r="AE15" s="4">
        <v>0</v>
      </c>
      <c r="AF15" s="6">
        <f t="shared" si="0"/>
        <v>0</v>
      </c>
      <c r="AG15" s="6">
        <f t="shared" si="1"/>
        <v>0.5</v>
      </c>
      <c r="AH15" s="6">
        <f t="shared" si="2"/>
        <v>0</v>
      </c>
      <c r="AI15" s="6">
        <f t="shared" si="3"/>
        <v>0</v>
      </c>
      <c r="AJ15" s="4">
        <v>0</v>
      </c>
      <c r="AK15" s="4">
        <v>0</v>
      </c>
      <c r="AL15" s="4">
        <v>0</v>
      </c>
      <c r="AM15" s="7">
        <v>2</v>
      </c>
      <c r="AN15" s="7">
        <v>19</v>
      </c>
      <c r="AO15" s="7">
        <v>1</v>
      </c>
      <c r="AP15" s="8">
        <v>1</v>
      </c>
    </row>
    <row r="16" spans="1:42" ht="14.25" customHeight="1" x14ac:dyDescent="0.35">
      <c r="A16" s="4">
        <v>135</v>
      </c>
      <c r="B16" s="14" t="s">
        <v>51</v>
      </c>
      <c r="C16" s="15" t="s">
        <v>52</v>
      </c>
      <c r="D16" s="16" t="s">
        <v>53</v>
      </c>
      <c r="E16" s="7">
        <v>2</v>
      </c>
      <c r="F16" s="7">
        <v>2</v>
      </c>
      <c r="G16" s="10">
        <v>1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6">
        <f t="shared" si="0"/>
        <v>0</v>
      </c>
      <c r="AG16" s="6">
        <f t="shared" si="1"/>
        <v>0</v>
      </c>
      <c r="AH16" s="6">
        <f t="shared" si="2"/>
        <v>0</v>
      </c>
      <c r="AI16" s="6">
        <f t="shared" si="3"/>
        <v>0</v>
      </c>
      <c r="AJ16" s="4">
        <v>0</v>
      </c>
      <c r="AK16" s="4">
        <v>0</v>
      </c>
      <c r="AL16" s="4">
        <v>0</v>
      </c>
      <c r="AM16" s="7">
        <v>1</v>
      </c>
      <c r="AN16" s="7">
        <v>18</v>
      </c>
      <c r="AO16" s="7">
        <v>1</v>
      </c>
      <c r="AP16" s="8">
        <v>1</v>
      </c>
    </row>
    <row r="17" spans="1:42" ht="14.25" customHeight="1" x14ac:dyDescent="0.35">
      <c r="A17" s="4">
        <v>136</v>
      </c>
      <c r="B17" s="14" t="s">
        <v>51</v>
      </c>
      <c r="C17" s="15" t="s">
        <v>52</v>
      </c>
      <c r="D17" s="16" t="s">
        <v>53</v>
      </c>
      <c r="E17" s="7">
        <v>2</v>
      </c>
      <c r="F17" s="7">
        <v>3</v>
      </c>
      <c r="G17" s="10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6">
        <f t="shared" si="0"/>
        <v>0</v>
      </c>
      <c r="AG17" s="6">
        <f t="shared" si="1"/>
        <v>0</v>
      </c>
      <c r="AH17" s="6">
        <f t="shared" si="2"/>
        <v>0</v>
      </c>
      <c r="AI17" s="6">
        <f t="shared" si="3"/>
        <v>0</v>
      </c>
      <c r="AJ17" s="4">
        <v>0</v>
      </c>
      <c r="AK17" s="4">
        <v>0</v>
      </c>
      <c r="AL17" s="4">
        <v>0</v>
      </c>
      <c r="AM17" s="7">
        <v>1</v>
      </c>
      <c r="AN17" s="7">
        <v>19</v>
      </c>
      <c r="AO17" s="7">
        <v>1</v>
      </c>
      <c r="AP17" s="8">
        <v>1</v>
      </c>
    </row>
    <row r="18" spans="1:42" ht="14.25" customHeight="1" x14ac:dyDescent="0.35">
      <c r="A18" s="4">
        <v>137</v>
      </c>
      <c r="B18" s="14" t="s">
        <v>51</v>
      </c>
      <c r="C18" s="15" t="s">
        <v>52</v>
      </c>
      <c r="D18" s="16" t="s">
        <v>53</v>
      </c>
      <c r="E18" s="7">
        <v>1</v>
      </c>
      <c r="F18" s="7">
        <v>3</v>
      </c>
      <c r="G18" s="10">
        <v>2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6">
        <f t="shared" si="0"/>
        <v>0</v>
      </c>
      <c r="AG18" s="6">
        <f t="shared" si="1"/>
        <v>0</v>
      </c>
      <c r="AH18" s="6">
        <f t="shared" si="2"/>
        <v>0</v>
      </c>
      <c r="AI18" s="6">
        <f t="shared" si="3"/>
        <v>0</v>
      </c>
      <c r="AJ18" s="4">
        <v>0</v>
      </c>
      <c r="AK18" s="4">
        <v>0</v>
      </c>
      <c r="AL18" s="4">
        <v>0</v>
      </c>
      <c r="AM18" s="7">
        <v>2</v>
      </c>
      <c r="AN18" s="7">
        <v>19</v>
      </c>
      <c r="AO18" s="7">
        <v>1</v>
      </c>
      <c r="AP18" s="8">
        <v>1</v>
      </c>
    </row>
    <row r="19" spans="1:42" ht="14.25" customHeight="1" x14ac:dyDescent="0.35">
      <c r="A19" s="4">
        <v>138</v>
      </c>
      <c r="B19" s="14" t="s">
        <v>51</v>
      </c>
      <c r="C19" s="15" t="s">
        <v>52</v>
      </c>
      <c r="D19" s="16" t="s">
        <v>53</v>
      </c>
      <c r="E19" s="7">
        <v>1</v>
      </c>
      <c r="F19" s="7">
        <v>4</v>
      </c>
      <c r="G19" s="10">
        <v>1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6">
        <f t="shared" si="0"/>
        <v>0</v>
      </c>
      <c r="AG19" s="6">
        <f t="shared" si="1"/>
        <v>0</v>
      </c>
      <c r="AH19" s="6">
        <f t="shared" si="2"/>
        <v>0</v>
      </c>
      <c r="AI19" s="6">
        <f t="shared" si="3"/>
        <v>0</v>
      </c>
      <c r="AJ19" s="4">
        <v>0</v>
      </c>
      <c r="AK19" s="4">
        <v>0</v>
      </c>
      <c r="AL19" s="4">
        <v>0</v>
      </c>
      <c r="AM19" s="7">
        <v>1</v>
      </c>
      <c r="AN19" s="7">
        <v>18</v>
      </c>
      <c r="AO19" s="7">
        <v>2</v>
      </c>
      <c r="AP19" s="8">
        <v>1</v>
      </c>
    </row>
    <row r="20" spans="1:42" ht="14.25" customHeight="1" x14ac:dyDescent="0.35">
      <c r="A20" s="4">
        <v>139</v>
      </c>
      <c r="B20" s="14" t="s">
        <v>51</v>
      </c>
      <c r="C20" s="15" t="s">
        <v>52</v>
      </c>
      <c r="D20" s="16" t="s">
        <v>53</v>
      </c>
      <c r="E20" s="7">
        <v>2</v>
      </c>
      <c r="F20" s="7">
        <v>3</v>
      </c>
      <c r="G20" s="10">
        <v>1</v>
      </c>
      <c r="H20" s="8" t="s">
        <v>46</v>
      </c>
      <c r="I20" s="8" t="s">
        <v>46</v>
      </c>
      <c r="J20" s="8" t="s">
        <v>46</v>
      </c>
      <c r="K20" s="8" t="s">
        <v>46</v>
      </c>
      <c r="L20" s="8" t="s">
        <v>46</v>
      </c>
      <c r="M20" s="8" t="s">
        <v>46</v>
      </c>
      <c r="N20" s="8" t="s">
        <v>46</v>
      </c>
      <c r="O20" s="8" t="s">
        <v>46</v>
      </c>
      <c r="P20" s="8" t="s">
        <v>46</v>
      </c>
      <c r="Q20" s="8" t="s">
        <v>46</v>
      </c>
      <c r="R20" s="8" t="s">
        <v>46</v>
      </c>
      <c r="S20" s="8" t="s">
        <v>46</v>
      </c>
      <c r="T20" s="8" t="s">
        <v>46</v>
      </c>
      <c r="U20" s="8" t="s">
        <v>46</v>
      </c>
      <c r="V20" s="8" t="s">
        <v>46</v>
      </c>
      <c r="W20" s="8" t="s">
        <v>46</v>
      </c>
      <c r="X20" s="11" t="s">
        <v>46</v>
      </c>
      <c r="Y20" s="11" t="s">
        <v>46</v>
      </c>
      <c r="Z20" s="11" t="s">
        <v>46</v>
      </c>
      <c r="AA20" s="11" t="s">
        <v>46</v>
      </c>
      <c r="AB20" s="7" t="s">
        <v>46</v>
      </c>
      <c r="AC20" s="7" t="s">
        <v>46</v>
      </c>
      <c r="AD20" s="7" t="s">
        <v>46</v>
      </c>
      <c r="AE20" s="7" t="s">
        <v>46</v>
      </c>
      <c r="AF20" s="11" t="s">
        <v>46</v>
      </c>
      <c r="AG20" s="11" t="s">
        <v>46</v>
      </c>
      <c r="AH20" s="11" t="s">
        <v>46</v>
      </c>
      <c r="AI20" s="11" t="s">
        <v>46</v>
      </c>
      <c r="AJ20" s="4">
        <v>0</v>
      </c>
      <c r="AK20" s="4">
        <v>0</v>
      </c>
      <c r="AL20" s="4">
        <v>0</v>
      </c>
      <c r="AM20" s="7">
        <v>1</v>
      </c>
      <c r="AN20" s="7">
        <v>19</v>
      </c>
      <c r="AO20" s="7">
        <v>1</v>
      </c>
      <c r="AP20" s="8">
        <v>1</v>
      </c>
    </row>
    <row r="21" spans="1:42" ht="14.25" customHeight="1" x14ac:dyDescent="0.35">
      <c r="A21" s="4">
        <v>140</v>
      </c>
      <c r="B21" s="14" t="s">
        <v>51</v>
      </c>
      <c r="C21" s="15" t="s">
        <v>52</v>
      </c>
      <c r="D21" s="16" t="s">
        <v>53</v>
      </c>
      <c r="E21" s="7">
        <v>2</v>
      </c>
      <c r="F21" s="7">
        <v>2</v>
      </c>
      <c r="G21" s="10">
        <v>1</v>
      </c>
      <c r="H21" s="8" t="s">
        <v>46</v>
      </c>
      <c r="I21" s="8" t="s">
        <v>46</v>
      </c>
      <c r="J21" s="8" t="s">
        <v>46</v>
      </c>
      <c r="K21" s="8" t="s">
        <v>46</v>
      </c>
      <c r="L21" s="8" t="s">
        <v>46</v>
      </c>
      <c r="M21" s="8" t="s">
        <v>46</v>
      </c>
      <c r="N21" s="8" t="s">
        <v>46</v>
      </c>
      <c r="O21" s="8" t="s">
        <v>46</v>
      </c>
      <c r="P21" s="8" t="s">
        <v>46</v>
      </c>
      <c r="Q21" s="8" t="s">
        <v>46</v>
      </c>
      <c r="R21" s="8" t="s">
        <v>46</v>
      </c>
      <c r="S21" s="8" t="s">
        <v>46</v>
      </c>
      <c r="T21" s="8" t="s">
        <v>46</v>
      </c>
      <c r="U21" s="8" t="s">
        <v>46</v>
      </c>
      <c r="V21" s="8" t="s">
        <v>46</v>
      </c>
      <c r="W21" s="8" t="s">
        <v>46</v>
      </c>
      <c r="X21" s="11" t="s">
        <v>46</v>
      </c>
      <c r="Y21" s="11" t="s">
        <v>46</v>
      </c>
      <c r="Z21" s="11" t="s">
        <v>46</v>
      </c>
      <c r="AA21" s="11" t="s">
        <v>46</v>
      </c>
      <c r="AB21" s="7" t="s">
        <v>46</v>
      </c>
      <c r="AC21" s="7" t="s">
        <v>46</v>
      </c>
      <c r="AD21" s="7" t="s">
        <v>46</v>
      </c>
      <c r="AE21" s="7" t="s">
        <v>46</v>
      </c>
      <c r="AF21" s="11" t="s">
        <v>46</v>
      </c>
      <c r="AG21" s="11" t="s">
        <v>46</v>
      </c>
      <c r="AH21" s="11" t="s">
        <v>46</v>
      </c>
      <c r="AI21" s="11" t="s">
        <v>46</v>
      </c>
      <c r="AJ21" s="4">
        <v>0</v>
      </c>
      <c r="AK21" s="4">
        <v>0</v>
      </c>
      <c r="AL21" s="4">
        <v>0</v>
      </c>
      <c r="AM21" s="7">
        <v>1</v>
      </c>
      <c r="AN21" s="7">
        <v>20</v>
      </c>
      <c r="AO21" s="7">
        <v>1</v>
      </c>
      <c r="AP21" s="8">
        <v>1</v>
      </c>
    </row>
    <row r="22" spans="1:42" ht="14.25" customHeight="1" x14ac:dyDescent="0.35">
      <c r="A22" s="4">
        <v>141</v>
      </c>
      <c r="B22" s="14" t="s">
        <v>51</v>
      </c>
      <c r="C22" s="15" t="s">
        <v>52</v>
      </c>
      <c r="D22" s="16" t="s">
        <v>53</v>
      </c>
      <c r="E22" s="7">
        <v>1</v>
      </c>
      <c r="F22" s="7">
        <v>1</v>
      </c>
      <c r="G22" s="10">
        <v>2</v>
      </c>
      <c r="H22" s="8" t="s">
        <v>46</v>
      </c>
      <c r="I22" s="8" t="s">
        <v>46</v>
      </c>
      <c r="J22" s="8" t="s">
        <v>46</v>
      </c>
      <c r="K22" s="8" t="s">
        <v>46</v>
      </c>
      <c r="L22" s="8" t="s">
        <v>46</v>
      </c>
      <c r="M22" s="8" t="s">
        <v>46</v>
      </c>
      <c r="N22" s="8" t="s">
        <v>46</v>
      </c>
      <c r="O22" s="8" t="s">
        <v>46</v>
      </c>
      <c r="P22" s="8" t="s">
        <v>46</v>
      </c>
      <c r="Q22" s="8" t="s">
        <v>46</v>
      </c>
      <c r="R22" s="8" t="s">
        <v>46</v>
      </c>
      <c r="S22" s="8" t="s">
        <v>46</v>
      </c>
      <c r="T22" s="8" t="s">
        <v>46</v>
      </c>
      <c r="U22" s="8" t="s">
        <v>46</v>
      </c>
      <c r="V22" s="8" t="s">
        <v>46</v>
      </c>
      <c r="W22" s="8" t="s">
        <v>46</v>
      </c>
      <c r="X22" s="11" t="s">
        <v>46</v>
      </c>
      <c r="Y22" s="11" t="s">
        <v>46</v>
      </c>
      <c r="Z22" s="11" t="s">
        <v>46</v>
      </c>
      <c r="AA22" s="11" t="s">
        <v>46</v>
      </c>
      <c r="AB22" s="11" t="s">
        <v>46</v>
      </c>
      <c r="AC22" s="11" t="s">
        <v>46</v>
      </c>
      <c r="AD22" s="11" t="s">
        <v>46</v>
      </c>
      <c r="AE22" s="7" t="s">
        <v>46</v>
      </c>
      <c r="AF22" s="11" t="s">
        <v>46</v>
      </c>
      <c r="AG22" s="11" t="s">
        <v>46</v>
      </c>
      <c r="AH22" s="11" t="s">
        <v>46</v>
      </c>
      <c r="AI22" s="11" t="s">
        <v>46</v>
      </c>
      <c r="AJ22" s="4">
        <v>0</v>
      </c>
      <c r="AK22" s="4">
        <v>0</v>
      </c>
      <c r="AL22" s="4">
        <v>0</v>
      </c>
      <c r="AM22" s="7">
        <v>2</v>
      </c>
      <c r="AN22" s="7">
        <v>18</v>
      </c>
      <c r="AO22" s="7">
        <v>2</v>
      </c>
      <c r="AP22" s="8">
        <v>1</v>
      </c>
    </row>
    <row r="23" spans="1:42" ht="14.25" customHeight="1" x14ac:dyDescent="0.35">
      <c r="A23" s="4">
        <v>142</v>
      </c>
      <c r="B23" s="14" t="s">
        <v>51</v>
      </c>
      <c r="C23" s="15" t="s">
        <v>52</v>
      </c>
      <c r="D23" s="16" t="s">
        <v>53</v>
      </c>
      <c r="E23" s="7">
        <v>1</v>
      </c>
      <c r="F23" s="7">
        <v>1</v>
      </c>
      <c r="G23" s="10">
        <v>2</v>
      </c>
      <c r="H23" s="8" t="s">
        <v>46</v>
      </c>
      <c r="I23" s="8" t="s">
        <v>46</v>
      </c>
      <c r="J23" s="8" t="s">
        <v>46</v>
      </c>
      <c r="K23" s="8" t="s">
        <v>46</v>
      </c>
      <c r="L23" s="8" t="s">
        <v>46</v>
      </c>
      <c r="M23" s="8" t="s">
        <v>46</v>
      </c>
      <c r="N23" s="8" t="s">
        <v>46</v>
      </c>
      <c r="O23" s="8" t="s">
        <v>46</v>
      </c>
      <c r="P23" s="8" t="s">
        <v>46</v>
      </c>
      <c r="Q23" s="8" t="s">
        <v>46</v>
      </c>
      <c r="R23" s="8" t="s">
        <v>46</v>
      </c>
      <c r="S23" s="8" t="s">
        <v>46</v>
      </c>
      <c r="T23" s="8" t="s">
        <v>46</v>
      </c>
      <c r="U23" s="8" t="s">
        <v>46</v>
      </c>
      <c r="V23" s="8" t="s">
        <v>46</v>
      </c>
      <c r="W23" s="8" t="s">
        <v>46</v>
      </c>
      <c r="X23" s="11" t="s">
        <v>46</v>
      </c>
      <c r="Y23" s="11" t="s">
        <v>46</v>
      </c>
      <c r="Z23" s="11" t="s">
        <v>46</v>
      </c>
      <c r="AA23" s="11" t="s">
        <v>46</v>
      </c>
      <c r="AB23" s="11" t="s">
        <v>46</v>
      </c>
      <c r="AC23" s="11" t="s">
        <v>46</v>
      </c>
      <c r="AD23" s="11" t="s">
        <v>46</v>
      </c>
      <c r="AE23" s="7" t="s">
        <v>46</v>
      </c>
      <c r="AF23" s="11" t="s">
        <v>46</v>
      </c>
      <c r="AG23" s="11" t="s">
        <v>46</v>
      </c>
      <c r="AH23" s="11" t="s">
        <v>46</v>
      </c>
      <c r="AI23" s="11" t="s">
        <v>46</v>
      </c>
      <c r="AJ23" s="4">
        <v>0</v>
      </c>
      <c r="AK23" s="4">
        <v>0</v>
      </c>
      <c r="AL23" s="4">
        <v>0</v>
      </c>
      <c r="AM23" s="7">
        <v>2</v>
      </c>
      <c r="AN23" s="7">
        <v>20</v>
      </c>
      <c r="AO23" s="7">
        <v>1</v>
      </c>
      <c r="AP23" s="8">
        <v>1</v>
      </c>
    </row>
    <row r="24" spans="1:42" ht="14.25" customHeight="1" x14ac:dyDescent="0.35">
      <c r="A24" s="4">
        <v>143</v>
      </c>
      <c r="B24" s="14" t="s">
        <v>51</v>
      </c>
      <c r="C24" s="15" t="s">
        <v>52</v>
      </c>
      <c r="D24" s="16" t="s">
        <v>53</v>
      </c>
      <c r="E24" s="7">
        <v>1</v>
      </c>
      <c r="F24" s="7">
        <v>4</v>
      </c>
      <c r="G24" s="10">
        <v>1</v>
      </c>
      <c r="H24" s="8" t="s">
        <v>46</v>
      </c>
      <c r="I24" s="8" t="s">
        <v>46</v>
      </c>
      <c r="J24" s="8" t="s">
        <v>46</v>
      </c>
      <c r="K24" s="8" t="s">
        <v>46</v>
      </c>
      <c r="L24" s="8" t="s">
        <v>46</v>
      </c>
      <c r="M24" s="8" t="s">
        <v>46</v>
      </c>
      <c r="N24" s="8" t="s">
        <v>46</v>
      </c>
      <c r="O24" s="8" t="s">
        <v>46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6">
        <f t="shared" ref="AF24:AF77" si="4">AVERAGE(X24:Y24)</f>
        <v>0</v>
      </c>
      <c r="AG24" s="6">
        <f t="shared" ref="AG24:AG77" si="5">AVERAGE(Z24:AA24)</f>
        <v>0</v>
      </c>
      <c r="AH24" s="6">
        <f t="shared" ref="AH24:AH77" si="6">AVERAGE(AB24:AC24)</f>
        <v>0</v>
      </c>
      <c r="AI24" s="6">
        <f t="shared" ref="AI24:AI77" si="7">AVERAGE(AD24:AE24)</f>
        <v>0</v>
      </c>
      <c r="AJ24" s="4">
        <v>0</v>
      </c>
      <c r="AK24" s="4">
        <v>0</v>
      </c>
      <c r="AL24" s="4">
        <v>0</v>
      </c>
      <c r="AM24" s="7">
        <v>2</v>
      </c>
      <c r="AN24" s="7">
        <v>20</v>
      </c>
      <c r="AO24" s="7">
        <v>2</v>
      </c>
      <c r="AP24" s="8">
        <v>1</v>
      </c>
    </row>
    <row r="25" spans="1:42" ht="14.25" customHeight="1" x14ac:dyDescent="0.35">
      <c r="A25" s="4">
        <v>144</v>
      </c>
      <c r="B25" s="14" t="s">
        <v>51</v>
      </c>
      <c r="C25" s="15" t="s">
        <v>52</v>
      </c>
      <c r="D25" s="16" t="s">
        <v>53</v>
      </c>
      <c r="E25" s="7">
        <v>1</v>
      </c>
      <c r="F25" s="7">
        <v>3</v>
      </c>
      <c r="G25" s="10">
        <v>1</v>
      </c>
      <c r="H25" s="8" t="s">
        <v>46</v>
      </c>
      <c r="I25" s="8" t="s">
        <v>46</v>
      </c>
      <c r="J25" s="8" t="s">
        <v>46</v>
      </c>
      <c r="K25" s="8" t="s">
        <v>46</v>
      </c>
      <c r="L25" s="8" t="s">
        <v>46</v>
      </c>
      <c r="M25" s="8" t="s">
        <v>46</v>
      </c>
      <c r="N25" s="8" t="s">
        <v>46</v>
      </c>
      <c r="O25" s="8" t="s">
        <v>46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6">
        <f t="shared" si="4"/>
        <v>0</v>
      </c>
      <c r="AG25" s="6">
        <f t="shared" si="5"/>
        <v>0</v>
      </c>
      <c r="AH25" s="6">
        <f t="shared" si="6"/>
        <v>0</v>
      </c>
      <c r="AI25" s="6">
        <f t="shared" si="7"/>
        <v>0</v>
      </c>
      <c r="AJ25" s="4">
        <v>0</v>
      </c>
      <c r="AK25" s="4">
        <v>0</v>
      </c>
      <c r="AL25" s="4">
        <v>0</v>
      </c>
      <c r="AM25" s="7">
        <v>1</v>
      </c>
      <c r="AN25" s="7">
        <v>19</v>
      </c>
      <c r="AO25" s="7">
        <v>2</v>
      </c>
      <c r="AP25" s="8">
        <v>1</v>
      </c>
    </row>
    <row r="26" spans="1:42" ht="14.25" customHeight="1" x14ac:dyDescent="0.35">
      <c r="A26" s="4">
        <v>145</v>
      </c>
      <c r="B26" s="14" t="s">
        <v>51</v>
      </c>
      <c r="C26" s="15" t="s">
        <v>52</v>
      </c>
      <c r="D26" s="16" t="s">
        <v>53</v>
      </c>
      <c r="E26" s="7">
        <v>2</v>
      </c>
      <c r="F26" s="7">
        <v>1</v>
      </c>
      <c r="G26" s="10">
        <v>1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1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1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6">
        <f t="shared" si="4"/>
        <v>0</v>
      </c>
      <c r="AG26" s="6">
        <f t="shared" si="5"/>
        <v>0.5</v>
      </c>
      <c r="AH26" s="6">
        <f t="shared" si="6"/>
        <v>0</v>
      </c>
      <c r="AI26" s="6">
        <f t="shared" si="7"/>
        <v>0</v>
      </c>
      <c r="AJ26" s="4">
        <v>0</v>
      </c>
      <c r="AK26" s="4">
        <v>0</v>
      </c>
      <c r="AL26" s="4">
        <v>0</v>
      </c>
      <c r="AM26" s="7">
        <v>1</v>
      </c>
      <c r="AN26" s="7">
        <v>21</v>
      </c>
      <c r="AO26" s="7">
        <v>1</v>
      </c>
      <c r="AP26" s="8">
        <v>1</v>
      </c>
    </row>
    <row r="27" spans="1:42" ht="14.25" customHeight="1" x14ac:dyDescent="0.35">
      <c r="A27" s="4">
        <v>146</v>
      </c>
      <c r="B27" s="14" t="s">
        <v>51</v>
      </c>
      <c r="C27" s="15" t="s">
        <v>52</v>
      </c>
      <c r="D27" s="16" t="s">
        <v>53</v>
      </c>
      <c r="E27" s="7">
        <v>2</v>
      </c>
      <c r="F27" s="7">
        <v>4</v>
      </c>
      <c r="G27" s="10">
        <v>2</v>
      </c>
      <c r="H27" s="7">
        <v>0</v>
      </c>
      <c r="I27" s="7">
        <v>0</v>
      </c>
      <c r="J27" s="7">
        <v>0</v>
      </c>
      <c r="K27" s="7">
        <v>1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1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5">
        <v>0</v>
      </c>
      <c r="Y27" s="5">
        <v>0</v>
      </c>
      <c r="Z27" s="5">
        <v>1</v>
      </c>
      <c r="AA27" s="5">
        <v>0</v>
      </c>
      <c r="AB27" s="7">
        <v>0</v>
      </c>
      <c r="AC27" s="7">
        <v>0</v>
      </c>
      <c r="AD27" s="7">
        <v>0</v>
      </c>
      <c r="AE27" s="7">
        <v>0</v>
      </c>
      <c r="AF27" s="6">
        <f t="shared" si="4"/>
        <v>0</v>
      </c>
      <c r="AG27" s="6">
        <f t="shared" si="5"/>
        <v>0.5</v>
      </c>
      <c r="AH27" s="6">
        <f t="shared" si="6"/>
        <v>0</v>
      </c>
      <c r="AI27" s="6">
        <f t="shared" si="7"/>
        <v>0</v>
      </c>
      <c r="AJ27" s="4">
        <v>0</v>
      </c>
      <c r="AK27" s="4">
        <v>0</v>
      </c>
      <c r="AL27" s="4">
        <v>0</v>
      </c>
      <c r="AM27" s="7">
        <v>1</v>
      </c>
      <c r="AN27" s="7">
        <v>23</v>
      </c>
      <c r="AO27" s="7">
        <v>2</v>
      </c>
      <c r="AP27" s="8">
        <v>1</v>
      </c>
    </row>
    <row r="28" spans="1:42" ht="14.25" customHeight="1" x14ac:dyDescent="0.35">
      <c r="A28" s="4">
        <v>147</v>
      </c>
      <c r="B28" s="14" t="s">
        <v>51</v>
      </c>
      <c r="C28" s="15" t="s">
        <v>52</v>
      </c>
      <c r="D28" s="16" t="s">
        <v>53</v>
      </c>
      <c r="E28" s="7">
        <v>1</v>
      </c>
      <c r="F28" s="7">
        <v>2</v>
      </c>
      <c r="G28" s="10">
        <v>1</v>
      </c>
      <c r="H28" s="7">
        <v>1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1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6">
        <f t="shared" si="4"/>
        <v>0.5</v>
      </c>
      <c r="AG28" s="6">
        <f t="shared" si="5"/>
        <v>0</v>
      </c>
      <c r="AH28" s="6">
        <f t="shared" si="6"/>
        <v>0</v>
      </c>
      <c r="AI28" s="6">
        <f t="shared" si="7"/>
        <v>0</v>
      </c>
      <c r="AJ28" s="4">
        <v>0</v>
      </c>
      <c r="AK28" s="4">
        <v>0</v>
      </c>
      <c r="AL28" s="4">
        <v>0</v>
      </c>
      <c r="AM28" s="7">
        <v>1</v>
      </c>
      <c r="AN28" s="7">
        <v>21</v>
      </c>
      <c r="AO28" s="7">
        <v>2</v>
      </c>
      <c r="AP28" s="8">
        <v>1</v>
      </c>
    </row>
    <row r="29" spans="1:42" ht="14.25" customHeight="1" x14ac:dyDescent="0.35">
      <c r="A29" s="4">
        <v>148</v>
      </c>
      <c r="B29" s="14" t="s">
        <v>51</v>
      </c>
      <c r="C29" s="15" t="s">
        <v>52</v>
      </c>
      <c r="D29" s="16" t="s">
        <v>53</v>
      </c>
      <c r="E29" s="7">
        <v>2</v>
      </c>
      <c r="F29" s="7">
        <v>1</v>
      </c>
      <c r="G29" s="10">
        <v>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6">
        <f t="shared" si="4"/>
        <v>0</v>
      </c>
      <c r="AG29" s="6">
        <f t="shared" si="5"/>
        <v>0</v>
      </c>
      <c r="AH29" s="6">
        <f t="shared" si="6"/>
        <v>0</v>
      </c>
      <c r="AI29" s="6">
        <f t="shared" si="7"/>
        <v>0</v>
      </c>
      <c r="AJ29" s="4">
        <v>0</v>
      </c>
      <c r="AK29" s="4">
        <v>0</v>
      </c>
      <c r="AL29" s="4">
        <v>0</v>
      </c>
      <c r="AM29" s="7">
        <v>1</v>
      </c>
      <c r="AN29" s="7">
        <v>20</v>
      </c>
      <c r="AO29" s="7">
        <v>2</v>
      </c>
      <c r="AP29" s="8">
        <v>1</v>
      </c>
    </row>
    <row r="30" spans="1:42" ht="14.25" customHeight="1" x14ac:dyDescent="0.35">
      <c r="A30" s="4">
        <v>149</v>
      </c>
      <c r="B30" s="14" t="s">
        <v>51</v>
      </c>
      <c r="C30" s="15" t="s">
        <v>52</v>
      </c>
      <c r="D30" s="16" t="s">
        <v>53</v>
      </c>
      <c r="E30" s="7">
        <v>2</v>
      </c>
      <c r="F30" s="7">
        <v>4</v>
      </c>
      <c r="G30" s="10">
        <v>1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6">
        <f t="shared" si="4"/>
        <v>0</v>
      </c>
      <c r="AG30" s="6">
        <f t="shared" si="5"/>
        <v>0</v>
      </c>
      <c r="AH30" s="6">
        <f t="shared" si="6"/>
        <v>0</v>
      </c>
      <c r="AI30" s="6">
        <f t="shared" si="7"/>
        <v>0</v>
      </c>
      <c r="AJ30" s="4">
        <v>0</v>
      </c>
      <c r="AK30" s="4">
        <v>0</v>
      </c>
      <c r="AL30" s="4">
        <v>0</v>
      </c>
      <c r="AM30" s="7">
        <v>1</v>
      </c>
      <c r="AN30" s="7">
        <v>21</v>
      </c>
      <c r="AO30" s="7">
        <v>1</v>
      </c>
      <c r="AP30" s="8">
        <v>1</v>
      </c>
    </row>
    <row r="31" spans="1:42" ht="14.25" customHeight="1" x14ac:dyDescent="0.35">
      <c r="A31" s="4">
        <v>150</v>
      </c>
      <c r="B31" s="14" t="s">
        <v>51</v>
      </c>
      <c r="C31" s="15" t="s">
        <v>52</v>
      </c>
      <c r="D31" s="16" t="s">
        <v>53</v>
      </c>
      <c r="E31" s="7">
        <v>2</v>
      </c>
      <c r="F31" s="7">
        <v>2</v>
      </c>
      <c r="G31" s="10">
        <v>1</v>
      </c>
      <c r="H31" s="7">
        <v>0</v>
      </c>
      <c r="I31" s="7">
        <v>0</v>
      </c>
      <c r="J31" s="7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1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6">
        <f t="shared" si="4"/>
        <v>0</v>
      </c>
      <c r="AG31" s="6">
        <f t="shared" si="5"/>
        <v>0.5</v>
      </c>
      <c r="AH31" s="6">
        <f t="shared" si="6"/>
        <v>0</v>
      </c>
      <c r="AI31" s="6">
        <f t="shared" si="7"/>
        <v>0</v>
      </c>
      <c r="AJ31" s="4">
        <v>0</v>
      </c>
      <c r="AK31" s="4">
        <v>0</v>
      </c>
      <c r="AL31" s="4">
        <v>0</v>
      </c>
      <c r="AM31" s="7">
        <v>1</v>
      </c>
      <c r="AN31" s="7">
        <v>20</v>
      </c>
      <c r="AO31" s="7">
        <v>1</v>
      </c>
      <c r="AP31" s="8">
        <v>1</v>
      </c>
    </row>
    <row r="32" spans="1:42" ht="14.25" customHeight="1" x14ac:dyDescent="0.35">
      <c r="A32" s="4">
        <v>151</v>
      </c>
      <c r="B32" s="14" t="s">
        <v>51</v>
      </c>
      <c r="C32" s="15" t="s">
        <v>52</v>
      </c>
      <c r="D32" s="16" t="s">
        <v>53</v>
      </c>
      <c r="E32" s="7">
        <v>1</v>
      </c>
      <c r="F32" s="7">
        <v>4</v>
      </c>
      <c r="G32" s="10">
        <v>2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6">
        <f t="shared" si="4"/>
        <v>0</v>
      </c>
      <c r="AG32" s="6">
        <f t="shared" si="5"/>
        <v>0</v>
      </c>
      <c r="AH32" s="6">
        <f t="shared" si="6"/>
        <v>0</v>
      </c>
      <c r="AI32" s="6">
        <f t="shared" si="7"/>
        <v>0</v>
      </c>
      <c r="AJ32" s="4">
        <v>0</v>
      </c>
      <c r="AK32" s="4">
        <v>0</v>
      </c>
      <c r="AL32" s="4">
        <v>0</v>
      </c>
      <c r="AM32" s="7">
        <v>2</v>
      </c>
      <c r="AN32" s="7">
        <v>20</v>
      </c>
      <c r="AO32" s="7">
        <v>1</v>
      </c>
      <c r="AP32" s="8">
        <v>1</v>
      </c>
    </row>
    <row r="33" spans="1:42" ht="14.25" customHeight="1" x14ac:dyDescent="0.35">
      <c r="A33" s="4">
        <v>152</v>
      </c>
      <c r="B33" s="14" t="s">
        <v>51</v>
      </c>
      <c r="C33" s="15" t="s">
        <v>52</v>
      </c>
      <c r="D33" s="16" t="s">
        <v>53</v>
      </c>
      <c r="E33" s="7">
        <v>2</v>
      </c>
      <c r="F33" s="7">
        <v>1</v>
      </c>
      <c r="G33" s="10">
        <v>1</v>
      </c>
      <c r="H33" s="7">
        <v>0</v>
      </c>
      <c r="I33" s="7">
        <v>1</v>
      </c>
      <c r="J33" s="7">
        <v>0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1</v>
      </c>
      <c r="R33" s="7">
        <v>0</v>
      </c>
      <c r="S33" s="7">
        <v>1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1</v>
      </c>
      <c r="Z33" s="7">
        <v>0</v>
      </c>
      <c r="AA33" s="7">
        <v>1</v>
      </c>
      <c r="AB33" s="7">
        <v>0</v>
      </c>
      <c r="AC33" s="7">
        <v>0</v>
      </c>
      <c r="AD33" s="7">
        <v>0</v>
      </c>
      <c r="AE33" s="7">
        <v>0</v>
      </c>
      <c r="AF33" s="6">
        <f t="shared" si="4"/>
        <v>0.5</v>
      </c>
      <c r="AG33" s="6">
        <f t="shared" si="5"/>
        <v>0.5</v>
      </c>
      <c r="AH33" s="6">
        <f t="shared" si="6"/>
        <v>0</v>
      </c>
      <c r="AI33" s="6">
        <f t="shared" si="7"/>
        <v>0</v>
      </c>
      <c r="AJ33" s="7">
        <v>1</v>
      </c>
      <c r="AK33" s="7">
        <v>1</v>
      </c>
      <c r="AL33" s="7">
        <v>1</v>
      </c>
      <c r="AM33" s="7">
        <v>1</v>
      </c>
      <c r="AN33" s="7">
        <v>20</v>
      </c>
      <c r="AO33" s="7">
        <v>2</v>
      </c>
      <c r="AP33" s="8">
        <v>1</v>
      </c>
    </row>
    <row r="34" spans="1:42" ht="14.25" customHeight="1" x14ac:dyDescent="0.35">
      <c r="A34" s="4">
        <v>153</v>
      </c>
      <c r="B34" s="14" t="s">
        <v>51</v>
      </c>
      <c r="C34" s="15" t="s">
        <v>52</v>
      </c>
      <c r="D34" s="16" t="s">
        <v>53</v>
      </c>
      <c r="E34" s="7">
        <v>1</v>
      </c>
      <c r="F34" s="7">
        <v>1</v>
      </c>
      <c r="G34" s="10">
        <v>1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8" t="s">
        <v>39</v>
      </c>
      <c r="T34" s="7">
        <v>0</v>
      </c>
      <c r="U34" s="7">
        <v>0</v>
      </c>
      <c r="V34" s="7">
        <v>0</v>
      </c>
      <c r="W34" s="7">
        <v>0</v>
      </c>
      <c r="X34" s="5">
        <v>0</v>
      </c>
      <c r="Y34" s="5">
        <v>0</v>
      </c>
      <c r="Z34" s="5">
        <v>0</v>
      </c>
      <c r="AA34" s="5">
        <v>0</v>
      </c>
      <c r="AB34" s="7">
        <v>0</v>
      </c>
      <c r="AC34" s="7">
        <v>0</v>
      </c>
      <c r="AD34" s="7">
        <v>0</v>
      </c>
      <c r="AE34" s="7">
        <v>0</v>
      </c>
      <c r="AF34" s="6">
        <f t="shared" si="4"/>
        <v>0</v>
      </c>
      <c r="AG34" s="6">
        <f t="shared" si="5"/>
        <v>0</v>
      </c>
      <c r="AH34" s="6">
        <f t="shared" si="6"/>
        <v>0</v>
      </c>
      <c r="AI34" s="6">
        <f t="shared" si="7"/>
        <v>0</v>
      </c>
      <c r="AJ34" s="7">
        <v>1</v>
      </c>
      <c r="AK34" s="7">
        <v>1</v>
      </c>
      <c r="AL34" s="7">
        <v>1</v>
      </c>
      <c r="AM34" s="7">
        <v>2</v>
      </c>
      <c r="AN34" s="7">
        <v>18</v>
      </c>
      <c r="AO34" s="7">
        <v>3</v>
      </c>
      <c r="AP34" s="8">
        <v>1</v>
      </c>
    </row>
    <row r="35" spans="1:42" ht="14.25" customHeight="1" x14ac:dyDescent="0.35">
      <c r="A35" s="4">
        <v>154</v>
      </c>
      <c r="B35" s="14" t="s">
        <v>51</v>
      </c>
      <c r="C35" s="15" t="s">
        <v>52</v>
      </c>
      <c r="D35" s="16" t="s">
        <v>53</v>
      </c>
      <c r="E35" s="7">
        <v>1</v>
      </c>
      <c r="F35" s="7">
        <v>3</v>
      </c>
      <c r="G35" s="10">
        <v>2</v>
      </c>
      <c r="H35" s="7">
        <v>0</v>
      </c>
      <c r="I35" s="7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1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6">
        <f t="shared" si="4"/>
        <v>0.5</v>
      </c>
      <c r="AG35" s="6">
        <f t="shared" si="5"/>
        <v>0</v>
      </c>
      <c r="AH35" s="6">
        <f t="shared" si="6"/>
        <v>0</v>
      </c>
      <c r="AI35" s="6">
        <f t="shared" si="7"/>
        <v>0</v>
      </c>
      <c r="AJ35" s="7">
        <v>0</v>
      </c>
      <c r="AK35" s="7">
        <v>0</v>
      </c>
      <c r="AL35" s="7">
        <v>0</v>
      </c>
      <c r="AM35" s="7">
        <v>2</v>
      </c>
      <c r="AN35" s="7">
        <v>21</v>
      </c>
      <c r="AO35" s="7">
        <v>1</v>
      </c>
      <c r="AP35" s="8">
        <v>1</v>
      </c>
    </row>
    <row r="36" spans="1:42" ht="14.25" customHeight="1" x14ac:dyDescent="0.35">
      <c r="A36" s="4">
        <v>155</v>
      </c>
      <c r="B36" s="14" t="s">
        <v>51</v>
      </c>
      <c r="C36" s="15" t="s">
        <v>52</v>
      </c>
      <c r="D36" s="16" t="s">
        <v>53</v>
      </c>
      <c r="E36" s="7">
        <v>2</v>
      </c>
      <c r="F36" s="7">
        <v>4</v>
      </c>
      <c r="G36" s="10">
        <v>2</v>
      </c>
      <c r="H36" s="7">
        <v>1</v>
      </c>
      <c r="I36" s="7">
        <v>0</v>
      </c>
      <c r="J36" s="7">
        <v>1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1</v>
      </c>
      <c r="Q36" s="7">
        <v>0</v>
      </c>
      <c r="R36" s="7">
        <v>1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1</v>
      </c>
      <c r="Y36" s="7">
        <v>0</v>
      </c>
      <c r="Z36" s="7">
        <v>1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6">
        <f t="shared" si="4"/>
        <v>0.5</v>
      </c>
      <c r="AG36" s="6">
        <f t="shared" si="5"/>
        <v>0.5</v>
      </c>
      <c r="AH36" s="6">
        <f t="shared" si="6"/>
        <v>0</v>
      </c>
      <c r="AI36" s="6">
        <f t="shared" si="7"/>
        <v>0</v>
      </c>
      <c r="AJ36" s="7">
        <v>0</v>
      </c>
      <c r="AK36" s="7">
        <v>0</v>
      </c>
      <c r="AL36" s="7">
        <v>0</v>
      </c>
      <c r="AM36" s="7">
        <v>1</v>
      </c>
      <c r="AN36" s="7">
        <v>22</v>
      </c>
      <c r="AO36" s="7">
        <v>1</v>
      </c>
      <c r="AP36" s="8">
        <v>1</v>
      </c>
    </row>
    <row r="37" spans="1:42" ht="14.25" customHeight="1" x14ac:dyDescent="0.35">
      <c r="A37" s="4">
        <v>156</v>
      </c>
      <c r="B37" s="14" t="s">
        <v>51</v>
      </c>
      <c r="C37" s="15" t="s">
        <v>52</v>
      </c>
      <c r="D37" s="16" t="s">
        <v>53</v>
      </c>
      <c r="E37" s="7">
        <v>2</v>
      </c>
      <c r="F37" s="7">
        <v>1</v>
      </c>
      <c r="G37" s="10">
        <v>1</v>
      </c>
      <c r="H37" s="7">
        <v>1</v>
      </c>
      <c r="I37" s="7">
        <v>0</v>
      </c>
      <c r="J37" s="7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1</v>
      </c>
      <c r="Q37" s="7">
        <v>0</v>
      </c>
      <c r="R37" s="7">
        <v>1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1</v>
      </c>
      <c r="Y37" s="7">
        <v>0</v>
      </c>
      <c r="Z37" s="7">
        <v>1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6">
        <f t="shared" si="4"/>
        <v>0.5</v>
      </c>
      <c r="AG37" s="6">
        <f t="shared" si="5"/>
        <v>0.5</v>
      </c>
      <c r="AH37" s="6">
        <f t="shared" si="6"/>
        <v>0</v>
      </c>
      <c r="AI37" s="6">
        <f t="shared" si="7"/>
        <v>0</v>
      </c>
      <c r="AJ37" s="7">
        <v>0</v>
      </c>
      <c r="AK37" s="7">
        <v>0</v>
      </c>
      <c r="AL37" s="7">
        <v>0</v>
      </c>
      <c r="AM37" s="7">
        <v>1</v>
      </c>
      <c r="AN37" s="7">
        <v>18</v>
      </c>
      <c r="AO37" s="7">
        <v>1</v>
      </c>
      <c r="AP37" s="8">
        <v>1</v>
      </c>
    </row>
    <row r="38" spans="1:42" ht="14.25" customHeight="1" x14ac:dyDescent="0.35">
      <c r="A38" s="4">
        <v>157</v>
      </c>
      <c r="B38" s="14" t="s">
        <v>51</v>
      </c>
      <c r="C38" s="15" t="s">
        <v>52</v>
      </c>
      <c r="D38" s="16" t="s">
        <v>53</v>
      </c>
      <c r="E38" s="7">
        <v>1</v>
      </c>
      <c r="F38" s="7">
        <v>1</v>
      </c>
      <c r="G38" s="10">
        <v>1</v>
      </c>
      <c r="H38" s="7">
        <v>0</v>
      </c>
      <c r="I38" s="7">
        <v>0</v>
      </c>
      <c r="J38" s="7">
        <v>1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1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6">
        <f t="shared" si="4"/>
        <v>0</v>
      </c>
      <c r="AG38" s="6">
        <f t="shared" si="5"/>
        <v>0.5</v>
      </c>
      <c r="AH38" s="6">
        <f t="shared" si="6"/>
        <v>0</v>
      </c>
      <c r="AI38" s="6">
        <f t="shared" si="7"/>
        <v>0</v>
      </c>
      <c r="AJ38" s="7">
        <v>0</v>
      </c>
      <c r="AK38" s="7">
        <v>0</v>
      </c>
      <c r="AL38" s="7">
        <v>0</v>
      </c>
      <c r="AM38" s="7">
        <v>2</v>
      </c>
      <c r="AN38" s="7">
        <v>19</v>
      </c>
      <c r="AO38" s="7">
        <v>1</v>
      </c>
      <c r="AP38" s="8">
        <v>1</v>
      </c>
    </row>
    <row r="39" spans="1:42" ht="14.25" customHeight="1" x14ac:dyDescent="0.35">
      <c r="A39" s="4">
        <v>158</v>
      </c>
      <c r="B39" s="14" t="s">
        <v>51</v>
      </c>
      <c r="C39" s="15" t="s">
        <v>52</v>
      </c>
      <c r="D39" s="16" t="s">
        <v>53</v>
      </c>
      <c r="E39" s="7">
        <v>1</v>
      </c>
      <c r="F39" s="7">
        <v>2</v>
      </c>
      <c r="G39" s="10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6">
        <f t="shared" si="4"/>
        <v>0</v>
      </c>
      <c r="AG39" s="6">
        <f t="shared" si="5"/>
        <v>0</v>
      </c>
      <c r="AH39" s="6">
        <f t="shared" si="6"/>
        <v>0</v>
      </c>
      <c r="AI39" s="6">
        <f t="shared" si="7"/>
        <v>0</v>
      </c>
      <c r="AJ39" s="7">
        <v>0</v>
      </c>
      <c r="AK39" s="7">
        <v>0</v>
      </c>
      <c r="AL39" s="7">
        <v>0</v>
      </c>
      <c r="AM39" s="7">
        <v>1</v>
      </c>
      <c r="AN39" s="7">
        <v>18</v>
      </c>
      <c r="AO39" s="7">
        <v>1</v>
      </c>
      <c r="AP39" s="8">
        <v>1</v>
      </c>
    </row>
    <row r="40" spans="1:42" ht="14.25" customHeight="1" x14ac:dyDescent="0.35">
      <c r="A40" s="4">
        <v>159</v>
      </c>
      <c r="B40" s="14" t="s">
        <v>51</v>
      </c>
      <c r="C40" s="15" t="s">
        <v>52</v>
      </c>
      <c r="D40" s="16" t="s">
        <v>53</v>
      </c>
      <c r="E40" s="7">
        <v>2</v>
      </c>
      <c r="F40" s="7">
        <v>3</v>
      </c>
      <c r="G40" s="10">
        <v>1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6">
        <f t="shared" si="4"/>
        <v>0.5</v>
      </c>
      <c r="AG40" s="6">
        <f t="shared" si="5"/>
        <v>0</v>
      </c>
      <c r="AH40" s="6">
        <f t="shared" si="6"/>
        <v>0</v>
      </c>
      <c r="AI40" s="6">
        <f t="shared" si="7"/>
        <v>0</v>
      </c>
      <c r="AJ40" s="7">
        <v>0</v>
      </c>
      <c r="AK40" s="7">
        <v>0</v>
      </c>
      <c r="AL40" s="7">
        <v>0</v>
      </c>
      <c r="AM40" s="7">
        <v>1</v>
      </c>
      <c r="AN40" s="7">
        <v>19</v>
      </c>
      <c r="AO40" s="7">
        <v>1</v>
      </c>
      <c r="AP40" s="8">
        <v>1</v>
      </c>
    </row>
    <row r="41" spans="1:42" ht="14.25" customHeight="1" x14ac:dyDescent="0.35">
      <c r="A41" s="4">
        <v>160</v>
      </c>
      <c r="B41" s="14" t="s">
        <v>51</v>
      </c>
      <c r="C41" s="15" t="s">
        <v>52</v>
      </c>
      <c r="D41" s="16" t="s">
        <v>53</v>
      </c>
      <c r="E41" s="7">
        <v>2</v>
      </c>
      <c r="F41" s="7">
        <v>2</v>
      </c>
      <c r="G41" s="10">
        <v>2</v>
      </c>
      <c r="H41" s="7">
        <v>1</v>
      </c>
      <c r="I41" s="7">
        <v>0</v>
      </c>
      <c r="J41" s="7">
        <v>1</v>
      </c>
      <c r="K41" s="7">
        <v>1</v>
      </c>
      <c r="L41" s="7">
        <v>0</v>
      </c>
      <c r="M41" s="7">
        <v>0</v>
      </c>
      <c r="N41" s="7">
        <v>0</v>
      </c>
      <c r="O41" s="7">
        <v>0</v>
      </c>
      <c r="P41" s="7">
        <v>1</v>
      </c>
      <c r="Q41" s="7">
        <v>0</v>
      </c>
      <c r="R41" s="7">
        <v>1</v>
      </c>
      <c r="S41" s="7">
        <v>1</v>
      </c>
      <c r="T41" s="7">
        <v>0</v>
      </c>
      <c r="U41" s="7">
        <v>0</v>
      </c>
      <c r="V41" s="7">
        <v>0</v>
      </c>
      <c r="W41" s="7">
        <v>0</v>
      </c>
      <c r="X41" s="7">
        <v>1</v>
      </c>
      <c r="Y41" s="7">
        <v>0</v>
      </c>
      <c r="Z41" s="7">
        <v>1</v>
      </c>
      <c r="AA41" s="7">
        <v>1</v>
      </c>
      <c r="AB41" s="7">
        <v>0</v>
      </c>
      <c r="AC41" s="7">
        <v>0</v>
      </c>
      <c r="AD41" s="7">
        <v>0</v>
      </c>
      <c r="AE41" s="7">
        <v>0</v>
      </c>
      <c r="AF41" s="6">
        <f t="shared" si="4"/>
        <v>0.5</v>
      </c>
      <c r="AG41" s="6">
        <f t="shared" si="5"/>
        <v>1</v>
      </c>
      <c r="AH41" s="6">
        <f t="shared" si="6"/>
        <v>0</v>
      </c>
      <c r="AI41" s="6">
        <f t="shared" si="7"/>
        <v>0</v>
      </c>
      <c r="AJ41" s="7">
        <v>0</v>
      </c>
      <c r="AK41" s="7">
        <v>0</v>
      </c>
      <c r="AL41" s="7">
        <v>0</v>
      </c>
      <c r="AM41" s="7">
        <v>1</v>
      </c>
      <c r="AN41" s="7">
        <v>18</v>
      </c>
      <c r="AO41" s="7">
        <v>1</v>
      </c>
      <c r="AP41" s="8">
        <v>1</v>
      </c>
    </row>
    <row r="42" spans="1:42" ht="14.25" customHeight="1" x14ac:dyDescent="0.35">
      <c r="A42" s="4">
        <v>161</v>
      </c>
      <c r="B42" s="14" t="s">
        <v>51</v>
      </c>
      <c r="C42" s="15" t="s">
        <v>52</v>
      </c>
      <c r="D42" s="16" t="s">
        <v>53</v>
      </c>
      <c r="E42" s="7">
        <v>2</v>
      </c>
      <c r="F42" s="7">
        <v>2</v>
      </c>
      <c r="G42" s="10">
        <v>2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6">
        <f t="shared" si="4"/>
        <v>0</v>
      </c>
      <c r="AG42" s="6">
        <f t="shared" si="5"/>
        <v>0</v>
      </c>
      <c r="AH42" s="6">
        <f t="shared" si="6"/>
        <v>0</v>
      </c>
      <c r="AI42" s="6">
        <f t="shared" si="7"/>
        <v>0</v>
      </c>
      <c r="AJ42" s="7">
        <v>0</v>
      </c>
      <c r="AK42" s="7">
        <v>0</v>
      </c>
      <c r="AL42" s="7">
        <v>0</v>
      </c>
      <c r="AM42" s="7">
        <v>1</v>
      </c>
      <c r="AN42" s="7">
        <v>20</v>
      </c>
      <c r="AO42" s="7">
        <v>1</v>
      </c>
      <c r="AP42" s="8">
        <v>1</v>
      </c>
    </row>
    <row r="43" spans="1:42" ht="14.25" customHeight="1" x14ac:dyDescent="0.35">
      <c r="A43" s="4">
        <v>162</v>
      </c>
      <c r="B43" s="14" t="s">
        <v>51</v>
      </c>
      <c r="C43" s="15" t="s">
        <v>52</v>
      </c>
      <c r="D43" s="16" t="s">
        <v>53</v>
      </c>
      <c r="E43" s="7">
        <v>2</v>
      </c>
      <c r="F43" s="7">
        <v>3</v>
      </c>
      <c r="G43" s="10">
        <v>2</v>
      </c>
      <c r="H43" s="7">
        <v>1</v>
      </c>
      <c r="I43" s="7">
        <v>0</v>
      </c>
      <c r="J43" s="7">
        <v>0</v>
      </c>
      <c r="K43" s="7">
        <v>1</v>
      </c>
      <c r="L43" s="7">
        <v>0</v>
      </c>
      <c r="M43" s="7">
        <v>0</v>
      </c>
      <c r="N43" s="7">
        <v>0</v>
      </c>
      <c r="O43" s="7">
        <v>0</v>
      </c>
      <c r="P43" s="7">
        <v>1</v>
      </c>
      <c r="Q43" s="7">
        <v>0</v>
      </c>
      <c r="R43" s="7">
        <v>0</v>
      </c>
      <c r="S43" s="7">
        <v>1</v>
      </c>
      <c r="T43" s="7">
        <v>0</v>
      </c>
      <c r="U43" s="7">
        <v>0</v>
      </c>
      <c r="V43" s="7">
        <v>0</v>
      </c>
      <c r="W43" s="7">
        <v>0</v>
      </c>
      <c r="X43" s="7">
        <v>1</v>
      </c>
      <c r="Y43" s="7">
        <v>0</v>
      </c>
      <c r="Z43" s="7">
        <v>0</v>
      </c>
      <c r="AA43" s="7">
        <v>1</v>
      </c>
      <c r="AB43" s="7">
        <v>0</v>
      </c>
      <c r="AC43" s="7">
        <v>0</v>
      </c>
      <c r="AD43" s="7">
        <v>0</v>
      </c>
      <c r="AE43" s="7">
        <v>0</v>
      </c>
      <c r="AF43" s="6">
        <f t="shared" si="4"/>
        <v>0.5</v>
      </c>
      <c r="AG43" s="6">
        <f t="shared" si="5"/>
        <v>0.5</v>
      </c>
      <c r="AH43" s="6">
        <f t="shared" si="6"/>
        <v>0</v>
      </c>
      <c r="AI43" s="6">
        <f t="shared" si="7"/>
        <v>0</v>
      </c>
      <c r="AJ43" s="7">
        <v>0</v>
      </c>
      <c r="AK43" s="7">
        <v>0</v>
      </c>
      <c r="AL43" s="7">
        <v>0</v>
      </c>
      <c r="AM43" s="7">
        <v>2</v>
      </c>
      <c r="AN43" s="7">
        <v>18</v>
      </c>
      <c r="AO43" s="7">
        <v>1</v>
      </c>
      <c r="AP43" s="8">
        <v>1</v>
      </c>
    </row>
    <row r="44" spans="1:42" ht="14.25" customHeight="1" x14ac:dyDescent="0.35">
      <c r="A44" s="4">
        <v>163</v>
      </c>
      <c r="B44" s="14" t="s">
        <v>51</v>
      </c>
      <c r="C44" s="15" t="s">
        <v>52</v>
      </c>
      <c r="D44" s="16" t="s">
        <v>53</v>
      </c>
      <c r="E44" s="7">
        <v>1</v>
      </c>
      <c r="F44" s="7">
        <v>4</v>
      </c>
      <c r="G44" s="10">
        <v>1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6">
        <f t="shared" si="4"/>
        <v>0</v>
      </c>
      <c r="AG44" s="6">
        <f t="shared" si="5"/>
        <v>0</v>
      </c>
      <c r="AH44" s="6">
        <f t="shared" si="6"/>
        <v>0</v>
      </c>
      <c r="AI44" s="6">
        <f t="shared" si="7"/>
        <v>0</v>
      </c>
      <c r="AJ44" s="7">
        <v>0</v>
      </c>
      <c r="AK44" s="7">
        <v>0</v>
      </c>
      <c r="AL44" s="7">
        <v>0</v>
      </c>
      <c r="AM44" s="7">
        <v>2</v>
      </c>
      <c r="AN44" s="7">
        <v>18</v>
      </c>
      <c r="AO44" s="7">
        <v>1</v>
      </c>
      <c r="AP44" s="8">
        <v>1</v>
      </c>
    </row>
    <row r="45" spans="1:42" ht="14.25" customHeight="1" x14ac:dyDescent="0.35">
      <c r="A45" s="4">
        <v>164</v>
      </c>
      <c r="B45" s="14" t="s">
        <v>51</v>
      </c>
      <c r="C45" s="15" t="s">
        <v>52</v>
      </c>
      <c r="D45" s="16" t="s">
        <v>53</v>
      </c>
      <c r="E45" s="7">
        <v>1</v>
      </c>
      <c r="F45" s="7">
        <v>3</v>
      </c>
      <c r="G45" s="10">
        <v>2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6">
        <f t="shared" si="4"/>
        <v>0</v>
      </c>
      <c r="AG45" s="6">
        <f t="shared" si="5"/>
        <v>0</v>
      </c>
      <c r="AH45" s="6">
        <f t="shared" si="6"/>
        <v>0</v>
      </c>
      <c r="AI45" s="6">
        <f t="shared" si="7"/>
        <v>0</v>
      </c>
      <c r="AJ45" s="7">
        <v>0</v>
      </c>
      <c r="AK45" s="7">
        <v>0</v>
      </c>
      <c r="AL45" s="7">
        <v>0</v>
      </c>
      <c r="AM45" s="7">
        <v>2</v>
      </c>
      <c r="AN45" s="7">
        <v>19</v>
      </c>
      <c r="AO45" s="7">
        <v>1</v>
      </c>
      <c r="AP45" s="8">
        <v>1</v>
      </c>
    </row>
    <row r="46" spans="1:42" ht="14.25" customHeight="1" x14ac:dyDescent="0.35">
      <c r="A46" s="4">
        <v>165</v>
      </c>
      <c r="B46" s="14" t="s">
        <v>51</v>
      </c>
      <c r="C46" s="15" t="s">
        <v>52</v>
      </c>
      <c r="D46" s="16" t="s">
        <v>53</v>
      </c>
      <c r="E46" s="7">
        <v>1</v>
      </c>
      <c r="F46" s="7">
        <v>2</v>
      </c>
      <c r="G46" s="10">
        <v>1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6">
        <f t="shared" si="4"/>
        <v>0</v>
      </c>
      <c r="AG46" s="6">
        <f t="shared" si="5"/>
        <v>0</v>
      </c>
      <c r="AH46" s="6">
        <f t="shared" si="6"/>
        <v>0</v>
      </c>
      <c r="AI46" s="6">
        <f t="shared" si="7"/>
        <v>0</v>
      </c>
      <c r="AJ46" s="7">
        <v>0</v>
      </c>
      <c r="AK46" s="7">
        <v>0</v>
      </c>
      <c r="AL46" s="7">
        <v>0</v>
      </c>
      <c r="AM46" s="7">
        <v>2</v>
      </c>
      <c r="AN46" s="7">
        <v>18</v>
      </c>
      <c r="AO46" s="7">
        <v>1</v>
      </c>
      <c r="AP46" s="8">
        <v>1</v>
      </c>
    </row>
    <row r="47" spans="1:42" ht="14.25" customHeight="1" x14ac:dyDescent="0.35">
      <c r="A47" s="4">
        <v>166</v>
      </c>
      <c r="B47" s="14" t="s">
        <v>51</v>
      </c>
      <c r="C47" s="15" t="s">
        <v>52</v>
      </c>
      <c r="D47" s="16" t="s">
        <v>53</v>
      </c>
      <c r="E47" s="7">
        <v>2</v>
      </c>
      <c r="F47" s="7">
        <v>3</v>
      </c>
      <c r="G47" s="10">
        <v>2</v>
      </c>
      <c r="H47" s="7">
        <v>0</v>
      </c>
      <c r="I47" s="7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1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6">
        <f t="shared" si="4"/>
        <v>0.5</v>
      </c>
      <c r="AG47" s="6">
        <f t="shared" si="5"/>
        <v>0</v>
      </c>
      <c r="AH47" s="6">
        <f t="shared" si="6"/>
        <v>0</v>
      </c>
      <c r="AI47" s="6">
        <f t="shared" si="7"/>
        <v>0</v>
      </c>
      <c r="AJ47" s="7">
        <v>0</v>
      </c>
      <c r="AK47" s="7">
        <v>0</v>
      </c>
      <c r="AL47" s="7">
        <v>0</v>
      </c>
      <c r="AM47" s="7">
        <v>1</v>
      </c>
      <c r="AN47" s="7">
        <v>21</v>
      </c>
      <c r="AO47" s="7">
        <v>2</v>
      </c>
      <c r="AP47" s="8">
        <v>1</v>
      </c>
    </row>
    <row r="48" spans="1:42" ht="14.25" customHeight="1" x14ac:dyDescent="0.35">
      <c r="A48" s="4">
        <v>167</v>
      </c>
      <c r="B48" s="14" t="s">
        <v>51</v>
      </c>
      <c r="C48" s="15" t="s">
        <v>52</v>
      </c>
      <c r="D48" s="16" t="s">
        <v>53</v>
      </c>
      <c r="E48" s="7">
        <v>1</v>
      </c>
      <c r="F48" s="7">
        <v>3</v>
      </c>
      <c r="G48" s="10">
        <v>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6">
        <f t="shared" si="4"/>
        <v>0</v>
      </c>
      <c r="AG48" s="6">
        <f t="shared" si="5"/>
        <v>0</v>
      </c>
      <c r="AH48" s="6">
        <f t="shared" si="6"/>
        <v>0</v>
      </c>
      <c r="AI48" s="6">
        <f t="shared" si="7"/>
        <v>0</v>
      </c>
      <c r="AJ48" s="7">
        <v>0</v>
      </c>
      <c r="AK48" s="7">
        <v>0</v>
      </c>
      <c r="AL48" s="7">
        <v>0</v>
      </c>
      <c r="AM48" s="7">
        <v>1</v>
      </c>
      <c r="AN48" s="7">
        <v>19</v>
      </c>
      <c r="AO48" s="7">
        <v>1</v>
      </c>
      <c r="AP48" s="8">
        <v>1</v>
      </c>
    </row>
    <row r="49" spans="1:42" ht="14.25" customHeight="1" x14ac:dyDescent="0.35">
      <c r="A49" s="4">
        <v>168</v>
      </c>
      <c r="B49" s="14" t="s">
        <v>51</v>
      </c>
      <c r="C49" s="15" t="s">
        <v>52</v>
      </c>
      <c r="D49" s="16" t="s">
        <v>53</v>
      </c>
      <c r="E49" s="7">
        <v>2</v>
      </c>
      <c r="F49" s="7">
        <v>4</v>
      </c>
      <c r="G49" s="10">
        <v>1</v>
      </c>
      <c r="H49" s="7">
        <v>0</v>
      </c>
      <c r="I49" s="7">
        <v>1</v>
      </c>
      <c r="J49" s="7">
        <v>0</v>
      </c>
      <c r="K49" s="7">
        <v>1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1</v>
      </c>
      <c r="R49" s="7">
        <v>0</v>
      </c>
      <c r="S49" s="7">
        <v>1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1</v>
      </c>
      <c r="Z49" s="7">
        <v>0</v>
      </c>
      <c r="AA49" s="7">
        <v>1</v>
      </c>
      <c r="AB49" s="7">
        <v>0</v>
      </c>
      <c r="AC49" s="7">
        <v>0</v>
      </c>
      <c r="AD49" s="7">
        <v>0</v>
      </c>
      <c r="AE49" s="7">
        <v>0</v>
      </c>
      <c r="AF49" s="6">
        <f t="shared" si="4"/>
        <v>0.5</v>
      </c>
      <c r="AG49" s="6">
        <f t="shared" si="5"/>
        <v>0.5</v>
      </c>
      <c r="AH49" s="6">
        <f t="shared" si="6"/>
        <v>0</v>
      </c>
      <c r="AI49" s="6">
        <f t="shared" si="7"/>
        <v>0</v>
      </c>
      <c r="AJ49" s="7">
        <v>0</v>
      </c>
      <c r="AK49" s="7">
        <v>0</v>
      </c>
      <c r="AL49" s="7">
        <v>0</v>
      </c>
      <c r="AM49" s="7">
        <v>1</v>
      </c>
      <c r="AN49" s="7">
        <v>18</v>
      </c>
      <c r="AO49" s="7">
        <v>2</v>
      </c>
      <c r="AP49" s="8">
        <v>1</v>
      </c>
    </row>
    <row r="50" spans="1:42" ht="14.25" customHeight="1" x14ac:dyDescent="0.35">
      <c r="A50" s="4">
        <v>169</v>
      </c>
      <c r="B50" s="14" t="s">
        <v>51</v>
      </c>
      <c r="C50" s="15" t="s">
        <v>52</v>
      </c>
      <c r="D50" s="16" t="s">
        <v>53</v>
      </c>
      <c r="E50" s="7">
        <v>2</v>
      </c>
      <c r="F50" s="7">
        <v>4</v>
      </c>
      <c r="G50" s="10">
        <v>2</v>
      </c>
      <c r="H50" s="8"/>
      <c r="I50" s="8"/>
      <c r="J50" s="8"/>
      <c r="K50" s="8"/>
      <c r="L50" s="8"/>
      <c r="M50" s="8"/>
      <c r="N50" s="8"/>
      <c r="O50" s="8"/>
      <c r="P50" s="7">
        <v>0</v>
      </c>
      <c r="Q50" s="7">
        <v>1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5">
        <v>0</v>
      </c>
      <c r="Y50" s="5">
        <v>1</v>
      </c>
      <c r="Z50" s="5">
        <v>0</v>
      </c>
      <c r="AA50" s="5">
        <v>0</v>
      </c>
      <c r="AB50" s="7">
        <v>0</v>
      </c>
      <c r="AC50" s="7">
        <v>0</v>
      </c>
      <c r="AD50" s="7">
        <v>0</v>
      </c>
      <c r="AE50" s="7">
        <v>0</v>
      </c>
      <c r="AF50" s="6">
        <f t="shared" si="4"/>
        <v>0.5</v>
      </c>
      <c r="AG50" s="6">
        <f t="shared" si="5"/>
        <v>0</v>
      </c>
      <c r="AH50" s="6">
        <f t="shared" si="6"/>
        <v>0</v>
      </c>
      <c r="AI50" s="6">
        <f t="shared" si="7"/>
        <v>0</v>
      </c>
      <c r="AJ50" s="7">
        <v>0</v>
      </c>
      <c r="AK50" s="7">
        <v>0</v>
      </c>
      <c r="AL50" s="7">
        <v>0</v>
      </c>
      <c r="AM50" s="7">
        <v>1</v>
      </c>
      <c r="AN50" s="7">
        <v>20</v>
      </c>
      <c r="AO50" s="7">
        <v>2</v>
      </c>
      <c r="AP50" s="8">
        <v>1</v>
      </c>
    </row>
    <row r="51" spans="1:42" ht="14.25" customHeight="1" x14ac:dyDescent="0.35">
      <c r="A51" s="4">
        <v>170</v>
      </c>
      <c r="B51" s="14" t="s">
        <v>51</v>
      </c>
      <c r="C51" s="15" t="s">
        <v>52</v>
      </c>
      <c r="D51" s="16" t="s">
        <v>53</v>
      </c>
      <c r="E51" s="7">
        <v>1</v>
      </c>
      <c r="F51" s="7">
        <v>1</v>
      </c>
      <c r="G51" s="10">
        <v>2</v>
      </c>
      <c r="H51" s="7">
        <v>0</v>
      </c>
      <c r="I51" s="7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1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1</v>
      </c>
      <c r="Z51" s="7">
        <v>0</v>
      </c>
      <c r="AA51" s="7">
        <v>1</v>
      </c>
      <c r="AB51" s="7">
        <v>0</v>
      </c>
      <c r="AC51" s="7">
        <v>0</v>
      </c>
      <c r="AD51" s="7">
        <v>0</v>
      </c>
      <c r="AE51" s="7">
        <v>0</v>
      </c>
      <c r="AF51" s="6">
        <f t="shared" si="4"/>
        <v>0.5</v>
      </c>
      <c r="AG51" s="6">
        <f t="shared" si="5"/>
        <v>0.5</v>
      </c>
      <c r="AH51" s="6">
        <f t="shared" si="6"/>
        <v>0</v>
      </c>
      <c r="AI51" s="6">
        <f t="shared" si="7"/>
        <v>0</v>
      </c>
      <c r="AJ51" s="7">
        <v>0</v>
      </c>
      <c r="AK51" s="7">
        <v>0</v>
      </c>
      <c r="AL51" s="7">
        <v>0</v>
      </c>
      <c r="AM51" s="7">
        <v>2</v>
      </c>
      <c r="AN51" s="7">
        <v>18</v>
      </c>
      <c r="AO51" s="7">
        <v>1</v>
      </c>
      <c r="AP51" s="8">
        <v>1</v>
      </c>
    </row>
    <row r="52" spans="1:42" ht="14.25" customHeight="1" x14ac:dyDescent="0.35">
      <c r="A52" s="4">
        <v>171</v>
      </c>
      <c r="B52" s="14" t="s">
        <v>51</v>
      </c>
      <c r="C52" s="15" t="s">
        <v>52</v>
      </c>
      <c r="D52" s="16" t="s">
        <v>53</v>
      </c>
      <c r="E52" s="7">
        <v>1</v>
      </c>
      <c r="F52" s="7">
        <v>2</v>
      </c>
      <c r="G52" s="10">
        <v>1</v>
      </c>
      <c r="H52" s="7">
        <v>0</v>
      </c>
      <c r="I52" s="7">
        <v>0</v>
      </c>
      <c r="J52" s="7">
        <v>0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1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1</v>
      </c>
      <c r="AB52" s="7">
        <v>0</v>
      </c>
      <c r="AC52" s="7">
        <v>0</v>
      </c>
      <c r="AD52" s="7">
        <v>0</v>
      </c>
      <c r="AE52" s="7">
        <v>0</v>
      </c>
      <c r="AF52" s="6">
        <f t="shared" si="4"/>
        <v>0</v>
      </c>
      <c r="AG52" s="6">
        <f t="shared" si="5"/>
        <v>0.5</v>
      </c>
      <c r="AH52" s="6">
        <f t="shared" si="6"/>
        <v>0</v>
      </c>
      <c r="AI52" s="6">
        <f t="shared" si="7"/>
        <v>0</v>
      </c>
      <c r="AJ52" s="7">
        <v>0</v>
      </c>
      <c r="AK52" s="7">
        <v>0</v>
      </c>
      <c r="AL52" s="7">
        <v>0</v>
      </c>
      <c r="AM52" s="7">
        <v>1</v>
      </c>
      <c r="AN52" s="7">
        <v>19</v>
      </c>
      <c r="AO52" s="7">
        <v>2</v>
      </c>
      <c r="AP52" s="8">
        <v>1</v>
      </c>
    </row>
    <row r="53" spans="1:42" ht="14.25" customHeight="1" x14ac:dyDescent="0.35">
      <c r="A53" s="4">
        <v>172</v>
      </c>
      <c r="B53" s="14" t="s">
        <v>51</v>
      </c>
      <c r="C53" s="15" t="s">
        <v>52</v>
      </c>
      <c r="D53" s="16" t="s">
        <v>53</v>
      </c>
      <c r="E53" s="7">
        <v>1</v>
      </c>
      <c r="F53" s="7">
        <v>4</v>
      </c>
      <c r="G53" s="10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6">
        <f t="shared" si="4"/>
        <v>0</v>
      </c>
      <c r="AG53" s="6">
        <f t="shared" si="5"/>
        <v>0</v>
      </c>
      <c r="AH53" s="6">
        <f t="shared" si="6"/>
        <v>0</v>
      </c>
      <c r="AI53" s="6">
        <f t="shared" si="7"/>
        <v>0</v>
      </c>
      <c r="AJ53" s="7">
        <v>0</v>
      </c>
      <c r="AK53" s="7">
        <v>0</v>
      </c>
      <c r="AL53" s="7">
        <v>0</v>
      </c>
      <c r="AM53" s="7">
        <v>2</v>
      </c>
      <c r="AN53" s="7">
        <v>19</v>
      </c>
      <c r="AO53" s="7">
        <v>2</v>
      </c>
      <c r="AP53" s="8">
        <v>1</v>
      </c>
    </row>
    <row r="54" spans="1:42" ht="14.25" customHeight="1" x14ac:dyDescent="0.35">
      <c r="A54" s="4">
        <v>173</v>
      </c>
      <c r="B54" s="14" t="s">
        <v>51</v>
      </c>
      <c r="C54" s="15" t="s">
        <v>52</v>
      </c>
      <c r="D54" s="16" t="s">
        <v>53</v>
      </c>
      <c r="E54" s="7">
        <v>1</v>
      </c>
      <c r="F54" s="7">
        <v>2</v>
      </c>
      <c r="G54" s="10">
        <v>1</v>
      </c>
      <c r="H54" s="7">
        <v>1</v>
      </c>
      <c r="I54" s="7">
        <v>1</v>
      </c>
      <c r="J54" s="7">
        <v>0</v>
      </c>
      <c r="K54" s="7">
        <v>1</v>
      </c>
      <c r="L54" s="7">
        <v>0</v>
      </c>
      <c r="M54" s="7">
        <v>0</v>
      </c>
      <c r="N54" s="7">
        <v>0</v>
      </c>
      <c r="O54" s="7">
        <v>0</v>
      </c>
      <c r="P54" s="7">
        <v>1</v>
      </c>
      <c r="Q54" s="7">
        <v>1</v>
      </c>
      <c r="R54" s="7">
        <v>1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1</v>
      </c>
      <c r="Y54" s="7">
        <v>1</v>
      </c>
      <c r="Z54" s="7">
        <v>1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6">
        <f t="shared" si="4"/>
        <v>1</v>
      </c>
      <c r="AG54" s="6">
        <f t="shared" si="5"/>
        <v>0.5</v>
      </c>
      <c r="AH54" s="6">
        <f t="shared" si="6"/>
        <v>0</v>
      </c>
      <c r="AI54" s="6">
        <f t="shared" si="7"/>
        <v>0</v>
      </c>
      <c r="AJ54" s="7">
        <v>0</v>
      </c>
      <c r="AK54" s="7">
        <v>0</v>
      </c>
      <c r="AL54" s="7">
        <v>0</v>
      </c>
      <c r="AM54" s="7">
        <v>2</v>
      </c>
      <c r="AN54" s="7">
        <v>18</v>
      </c>
      <c r="AO54" s="7">
        <v>1</v>
      </c>
      <c r="AP54" s="8">
        <v>1</v>
      </c>
    </row>
    <row r="55" spans="1:42" ht="14.25" customHeight="1" x14ac:dyDescent="0.35">
      <c r="A55" s="4">
        <v>174</v>
      </c>
      <c r="B55" s="14" t="s">
        <v>51</v>
      </c>
      <c r="C55" s="15" t="s">
        <v>52</v>
      </c>
      <c r="D55" s="16" t="s">
        <v>53</v>
      </c>
      <c r="E55" s="7">
        <v>2</v>
      </c>
      <c r="F55" s="7">
        <v>2</v>
      </c>
      <c r="G55" s="10">
        <v>1</v>
      </c>
      <c r="H55" s="7">
        <v>0</v>
      </c>
      <c r="I55" s="7">
        <v>0</v>
      </c>
      <c r="J55" s="7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1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1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6">
        <f t="shared" si="4"/>
        <v>0</v>
      </c>
      <c r="AG55" s="6">
        <f t="shared" si="5"/>
        <v>0.5</v>
      </c>
      <c r="AH55" s="6">
        <f t="shared" si="6"/>
        <v>0</v>
      </c>
      <c r="AI55" s="6">
        <f t="shared" si="7"/>
        <v>0</v>
      </c>
      <c r="AJ55" s="7">
        <v>0</v>
      </c>
      <c r="AK55" s="7">
        <v>0</v>
      </c>
      <c r="AL55" s="7">
        <v>0</v>
      </c>
      <c r="AM55" s="7">
        <v>1</v>
      </c>
      <c r="AN55" s="7">
        <v>21</v>
      </c>
      <c r="AO55" s="7">
        <v>2</v>
      </c>
      <c r="AP55" s="8">
        <v>1</v>
      </c>
    </row>
    <row r="56" spans="1:42" ht="14.25" customHeight="1" x14ac:dyDescent="0.35">
      <c r="A56" s="4">
        <v>175</v>
      </c>
      <c r="B56" s="14" t="s">
        <v>51</v>
      </c>
      <c r="C56" s="15" t="s">
        <v>52</v>
      </c>
      <c r="D56" s="16" t="s">
        <v>53</v>
      </c>
      <c r="E56" s="7">
        <v>2</v>
      </c>
      <c r="F56" s="7">
        <v>4</v>
      </c>
      <c r="G56" s="10">
        <v>1</v>
      </c>
      <c r="H56" s="7">
        <v>0</v>
      </c>
      <c r="I56" s="7">
        <v>0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1</v>
      </c>
      <c r="R56" s="7">
        <v>0</v>
      </c>
      <c r="S56" s="7">
        <v>1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1</v>
      </c>
      <c r="Z56" s="7">
        <v>0</v>
      </c>
      <c r="AA56" s="7">
        <v>1</v>
      </c>
      <c r="AB56" s="7">
        <v>0</v>
      </c>
      <c r="AC56" s="7">
        <v>0</v>
      </c>
      <c r="AD56" s="7">
        <v>0</v>
      </c>
      <c r="AE56" s="7">
        <v>0</v>
      </c>
      <c r="AF56" s="6">
        <f t="shared" si="4"/>
        <v>0.5</v>
      </c>
      <c r="AG56" s="6">
        <f t="shared" si="5"/>
        <v>0.5</v>
      </c>
      <c r="AH56" s="6">
        <f t="shared" si="6"/>
        <v>0</v>
      </c>
      <c r="AI56" s="6">
        <f t="shared" si="7"/>
        <v>0</v>
      </c>
      <c r="AJ56" s="7">
        <v>0</v>
      </c>
      <c r="AK56" s="7">
        <v>0</v>
      </c>
      <c r="AL56" s="7">
        <v>0</v>
      </c>
      <c r="AM56" s="7">
        <v>1</v>
      </c>
      <c r="AN56" s="7">
        <v>19</v>
      </c>
      <c r="AO56" s="7">
        <v>2</v>
      </c>
      <c r="AP56" s="8">
        <v>1</v>
      </c>
    </row>
    <row r="57" spans="1:42" ht="14.25" customHeight="1" x14ac:dyDescent="0.35">
      <c r="A57" s="4">
        <v>176</v>
      </c>
      <c r="B57" s="14" t="s">
        <v>51</v>
      </c>
      <c r="C57" s="15" t="s">
        <v>52</v>
      </c>
      <c r="D57" s="16" t="s">
        <v>53</v>
      </c>
      <c r="E57" s="7">
        <v>2</v>
      </c>
      <c r="F57" s="7">
        <v>1</v>
      </c>
      <c r="G57" s="10">
        <v>1</v>
      </c>
      <c r="H57" s="7">
        <v>1</v>
      </c>
      <c r="I57" s="7">
        <v>0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1</v>
      </c>
      <c r="Q57" s="7">
        <v>0</v>
      </c>
      <c r="R57" s="7">
        <v>1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1</v>
      </c>
      <c r="Y57" s="7">
        <v>0</v>
      </c>
      <c r="Z57" s="7">
        <v>1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6">
        <f t="shared" si="4"/>
        <v>0.5</v>
      </c>
      <c r="AG57" s="6">
        <f t="shared" si="5"/>
        <v>0.5</v>
      </c>
      <c r="AH57" s="6">
        <f t="shared" si="6"/>
        <v>0</v>
      </c>
      <c r="AI57" s="6">
        <f t="shared" si="7"/>
        <v>0</v>
      </c>
      <c r="AJ57" s="7">
        <v>0</v>
      </c>
      <c r="AK57" s="7">
        <v>0</v>
      </c>
      <c r="AL57" s="7">
        <v>0</v>
      </c>
      <c r="AM57" s="7">
        <v>1</v>
      </c>
      <c r="AN57" s="7">
        <v>19</v>
      </c>
      <c r="AO57" s="7">
        <v>1</v>
      </c>
      <c r="AP57" s="8">
        <v>1</v>
      </c>
    </row>
    <row r="58" spans="1:42" ht="14.25" customHeight="1" x14ac:dyDescent="0.35">
      <c r="A58" s="4">
        <v>177</v>
      </c>
      <c r="B58" s="14" t="s">
        <v>51</v>
      </c>
      <c r="C58" s="15" t="s">
        <v>52</v>
      </c>
      <c r="D58" s="16" t="s">
        <v>53</v>
      </c>
      <c r="E58" s="7">
        <v>2</v>
      </c>
      <c r="F58" s="7">
        <v>4</v>
      </c>
      <c r="G58" s="10">
        <v>2</v>
      </c>
      <c r="H58" s="7">
        <v>1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1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1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6">
        <f t="shared" si="4"/>
        <v>0.5</v>
      </c>
      <c r="AG58" s="6">
        <f t="shared" si="5"/>
        <v>0</v>
      </c>
      <c r="AH58" s="6">
        <f t="shared" si="6"/>
        <v>0</v>
      </c>
      <c r="AI58" s="6">
        <f t="shared" si="7"/>
        <v>0</v>
      </c>
      <c r="AJ58" s="7">
        <v>0</v>
      </c>
      <c r="AK58" s="7">
        <v>0</v>
      </c>
      <c r="AL58" s="7">
        <v>0</v>
      </c>
      <c r="AM58" s="7">
        <v>1</v>
      </c>
      <c r="AN58" s="7">
        <v>18</v>
      </c>
      <c r="AO58" s="7">
        <v>1</v>
      </c>
      <c r="AP58" s="8">
        <v>1</v>
      </c>
    </row>
    <row r="59" spans="1:42" ht="14.25" customHeight="1" x14ac:dyDescent="0.35">
      <c r="A59" s="4">
        <v>178</v>
      </c>
      <c r="B59" s="14" t="s">
        <v>51</v>
      </c>
      <c r="C59" s="15" t="s">
        <v>52</v>
      </c>
      <c r="D59" s="16" t="s">
        <v>53</v>
      </c>
      <c r="E59" s="7">
        <v>1</v>
      </c>
      <c r="F59" s="7">
        <v>2</v>
      </c>
      <c r="G59" s="10">
        <v>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6">
        <f t="shared" si="4"/>
        <v>0</v>
      </c>
      <c r="AG59" s="6">
        <f t="shared" si="5"/>
        <v>0</v>
      </c>
      <c r="AH59" s="6">
        <f t="shared" si="6"/>
        <v>0</v>
      </c>
      <c r="AI59" s="6">
        <f t="shared" si="7"/>
        <v>0</v>
      </c>
      <c r="AJ59" s="7">
        <v>0</v>
      </c>
      <c r="AK59" s="7">
        <v>0</v>
      </c>
      <c r="AL59" s="7">
        <v>0</v>
      </c>
      <c r="AM59" s="7">
        <v>2</v>
      </c>
      <c r="AN59" s="7">
        <v>18</v>
      </c>
      <c r="AO59" s="7">
        <v>1</v>
      </c>
      <c r="AP59" s="8">
        <v>1</v>
      </c>
    </row>
    <row r="60" spans="1:42" ht="14.25" customHeight="1" x14ac:dyDescent="0.35">
      <c r="A60" s="4">
        <v>179</v>
      </c>
      <c r="B60" s="14" t="s">
        <v>51</v>
      </c>
      <c r="C60" s="15" t="s">
        <v>52</v>
      </c>
      <c r="D60" s="16" t="s">
        <v>53</v>
      </c>
      <c r="E60" s="7">
        <v>1</v>
      </c>
      <c r="F60" s="7">
        <v>2</v>
      </c>
      <c r="G60" s="10">
        <v>1</v>
      </c>
      <c r="H60" s="7">
        <v>0</v>
      </c>
      <c r="I60" s="7">
        <v>0</v>
      </c>
      <c r="J60" s="7">
        <v>0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1</v>
      </c>
      <c r="AB60" s="7">
        <v>0</v>
      </c>
      <c r="AC60" s="7">
        <v>0</v>
      </c>
      <c r="AD60" s="7">
        <v>0</v>
      </c>
      <c r="AE60" s="7">
        <v>0</v>
      </c>
      <c r="AF60" s="6">
        <f t="shared" si="4"/>
        <v>0</v>
      </c>
      <c r="AG60" s="6">
        <f t="shared" si="5"/>
        <v>0.5</v>
      </c>
      <c r="AH60" s="6">
        <f t="shared" si="6"/>
        <v>0</v>
      </c>
      <c r="AI60" s="6">
        <f t="shared" si="7"/>
        <v>0</v>
      </c>
      <c r="AJ60" s="7">
        <v>0</v>
      </c>
      <c r="AK60" s="7">
        <v>0</v>
      </c>
      <c r="AL60" s="7">
        <v>0</v>
      </c>
      <c r="AM60" s="7">
        <v>2</v>
      </c>
      <c r="AN60" s="7">
        <v>18</v>
      </c>
      <c r="AO60" s="7">
        <v>1</v>
      </c>
      <c r="AP60" s="8">
        <v>1</v>
      </c>
    </row>
    <row r="61" spans="1:42" ht="14.25" customHeight="1" x14ac:dyDescent="0.35">
      <c r="A61" s="4">
        <v>180</v>
      </c>
      <c r="B61" s="14" t="s">
        <v>51</v>
      </c>
      <c r="C61" s="15" t="s">
        <v>52</v>
      </c>
      <c r="D61" s="16" t="s">
        <v>53</v>
      </c>
      <c r="E61" s="7">
        <v>2</v>
      </c>
      <c r="F61" s="7">
        <v>1</v>
      </c>
      <c r="G61" s="10">
        <v>2</v>
      </c>
      <c r="H61" s="7">
        <v>0</v>
      </c>
      <c r="I61" s="7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1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1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6">
        <f t="shared" si="4"/>
        <v>0.5</v>
      </c>
      <c r="AG61" s="6">
        <f t="shared" si="5"/>
        <v>0</v>
      </c>
      <c r="AH61" s="6">
        <f t="shared" si="6"/>
        <v>0</v>
      </c>
      <c r="AI61" s="6">
        <f t="shared" si="7"/>
        <v>0</v>
      </c>
      <c r="AJ61" s="7">
        <v>0</v>
      </c>
      <c r="AK61" s="7">
        <v>0</v>
      </c>
      <c r="AL61" s="7">
        <v>0</v>
      </c>
      <c r="AM61" s="7">
        <v>1</v>
      </c>
      <c r="AN61" s="7">
        <v>18</v>
      </c>
      <c r="AO61" s="7">
        <v>1</v>
      </c>
      <c r="AP61" s="8">
        <v>1</v>
      </c>
    </row>
    <row r="62" spans="1:42" ht="14.25" customHeight="1" x14ac:dyDescent="0.35">
      <c r="A62" s="4">
        <v>181</v>
      </c>
      <c r="B62" s="14" t="s">
        <v>51</v>
      </c>
      <c r="C62" s="15" t="s">
        <v>52</v>
      </c>
      <c r="D62" s="16" t="s">
        <v>53</v>
      </c>
      <c r="E62" s="7">
        <v>1</v>
      </c>
      <c r="F62" s="7">
        <v>3</v>
      </c>
      <c r="G62" s="10">
        <v>2</v>
      </c>
      <c r="H62" s="7">
        <v>0</v>
      </c>
      <c r="I62" s="7">
        <v>0</v>
      </c>
      <c r="J62" s="7">
        <v>1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1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1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6">
        <f t="shared" si="4"/>
        <v>0</v>
      </c>
      <c r="AG62" s="6">
        <f t="shared" si="5"/>
        <v>0.5</v>
      </c>
      <c r="AH62" s="6">
        <f t="shared" si="6"/>
        <v>0</v>
      </c>
      <c r="AI62" s="6">
        <f t="shared" si="7"/>
        <v>0</v>
      </c>
      <c r="AJ62" s="7">
        <v>0</v>
      </c>
      <c r="AK62" s="7">
        <v>0</v>
      </c>
      <c r="AL62" s="7">
        <v>0</v>
      </c>
      <c r="AM62" s="7">
        <v>2</v>
      </c>
      <c r="AN62" s="7">
        <v>19</v>
      </c>
      <c r="AO62" s="7">
        <v>1</v>
      </c>
      <c r="AP62" s="8">
        <v>1</v>
      </c>
    </row>
    <row r="63" spans="1:42" ht="14.25" customHeight="1" x14ac:dyDescent="0.35">
      <c r="A63" s="4">
        <v>182</v>
      </c>
      <c r="B63" s="14" t="s">
        <v>51</v>
      </c>
      <c r="C63" s="15" t="s">
        <v>52</v>
      </c>
      <c r="D63" s="16" t="s">
        <v>53</v>
      </c>
      <c r="E63" s="7">
        <v>1</v>
      </c>
      <c r="F63" s="7">
        <v>3</v>
      </c>
      <c r="G63" s="10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6">
        <f t="shared" si="4"/>
        <v>0</v>
      </c>
      <c r="AG63" s="6">
        <f t="shared" si="5"/>
        <v>0</v>
      </c>
      <c r="AH63" s="6">
        <f t="shared" si="6"/>
        <v>0</v>
      </c>
      <c r="AI63" s="6">
        <f t="shared" si="7"/>
        <v>0</v>
      </c>
      <c r="AJ63" s="7">
        <v>0</v>
      </c>
      <c r="AK63" s="7">
        <v>0</v>
      </c>
      <c r="AL63" s="7">
        <v>0</v>
      </c>
      <c r="AM63" s="7">
        <v>2</v>
      </c>
      <c r="AN63" s="7">
        <v>29</v>
      </c>
      <c r="AO63" s="7">
        <v>2</v>
      </c>
      <c r="AP63" s="8">
        <v>1</v>
      </c>
    </row>
    <row r="64" spans="1:42" ht="14.25" customHeight="1" x14ac:dyDescent="0.35">
      <c r="A64" s="4">
        <v>183</v>
      </c>
      <c r="B64" s="14" t="s">
        <v>51</v>
      </c>
      <c r="C64" s="15" t="s">
        <v>52</v>
      </c>
      <c r="D64" s="16" t="s">
        <v>53</v>
      </c>
      <c r="E64" s="7">
        <v>1</v>
      </c>
      <c r="F64" s="7">
        <v>1</v>
      </c>
      <c r="G64" s="10">
        <v>2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6">
        <f t="shared" si="4"/>
        <v>0</v>
      </c>
      <c r="AG64" s="6">
        <f t="shared" si="5"/>
        <v>0</v>
      </c>
      <c r="AH64" s="6">
        <f t="shared" si="6"/>
        <v>0</v>
      </c>
      <c r="AI64" s="6">
        <f t="shared" si="7"/>
        <v>0</v>
      </c>
      <c r="AJ64" s="7">
        <v>0</v>
      </c>
      <c r="AK64" s="7">
        <v>0</v>
      </c>
      <c r="AL64" s="7">
        <v>0</v>
      </c>
      <c r="AM64" s="7">
        <v>1</v>
      </c>
      <c r="AN64" s="7">
        <v>20</v>
      </c>
      <c r="AO64" s="7">
        <v>1</v>
      </c>
      <c r="AP64" s="8">
        <v>1</v>
      </c>
    </row>
    <row r="65" spans="1:42" ht="14.25" customHeight="1" x14ac:dyDescent="0.35">
      <c r="A65" s="4">
        <v>184</v>
      </c>
      <c r="B65" s="14" t="s">
        <v>51</v>
      </c>
      <c r="C65" s="15" t="s">
        <v>52</v>
      </c>
      <c r="D65" s="16" t="s">
        <v>53</v>
      </c>
      <c r="E65" s="7">
        <v>1</v>
      </c>
      <c r="F65" s="7">
        <v>1</v>
      </c>
      <c r="G65" s="10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6">
        <f t="shared" si="4"/>
        <v>0</v>
      </c>
      <c r="AG65" s="6">
        <f t="shared" si="5"/>
        <v>0</v>
      </c>
      <c r="AH65" s="6">
        <f t="shared" si="6"/>
        <v>0</v>
      </c>
      <c r="AI65" s="6">
        <f t="shared" si="7"/>
        <v>0</v>
      </c>
      <c r="AJ65" s="7">
        <v>0</v>
      </c>
      <c r="AK65" s="7">
        <v>0</v>
      </c>
      <c r="AL65" s="7">
        <v>0</v>
      </c>
      <c r="AM65" s="7">
        <v>2</v>
      </c>
      <c r="AN65" s="7">
        <v>18</v>
      </c>
      <c r="AO65" s="7">
        <v>2</v>
      </c>
      <c r="AP65" s="8">
        <v>1</v>
      </c>
    </row>
    <row r="66" spans="1:42" ht="14.25" customHeight="1" x14ac:dyDescent="0.35">
      <c r="A66" s="4">
        <v>185</v>
      </c>
      <c r="B66" s="14" t="s">
        <v>51</v>
      </c>
      <c r="C66" s="15" t="s">
        <v>52</v>
      </c>
      <c r="D66" s="16" t="s">
        <v>53</v>
      </c>
      <c r="E66" s="7">
        <v>1</v>
      </c>
      <c r="F66" s="7">
        <v>2</v>
      </c>
      <c r="G66" s="10">
        <v>2</v>
      </c>
      <c r="H66" s="7">
        <v>1</v>
      </c>
      <c r="I66" s="7">
        <v>0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1</v>
      </c>
      <c r="Q66" s="7">
        <v>0</v>
      </c>
      <c r="R66" s="7">
        <v>0</v>
      </c>
      <c r="S66" s="7">
        <v>1</v>
      </c>
      <c r="T66" s="7">
        <v>0</v>
      </c>
      <c r="U66" s="7">
        <v>0</v>
      </c>
      <c r="V66" s="7">
        <v>0</v>
      </c>
      <c r="W66" s="7">
        <v>0</v>
      </c>
      <c r="X66" s="7">
        <v>1</v>
      </c>
      <c r="Y66" s="7">
        <v>0</v>
      </c>
      <c r="Z66" s="7">
        <v>0</v>
      </c>
      <c r="AA66" s="7">
        <v>1</v>
      </c>
      <c r="AB66" s="7">
        <v>0</v>
      </c>
      <c r="AC66" s="7">
        <v>0</v>
      </c>
      <c r="AD66" s="7">
        <v>0</v>
      </c>
      <c r="AE66" s="7">
        <v>0</v>
      </c>
      <c r="AF66" s="6">
        <f t="shared" si="4"/>
        <v>0.5</v>
      </c>
      <c r="AG66" s="6">
        <f t="shared" si="5"/>
        <v>0.5</v>
      </c>
      <c r="AH66" s="6">
        <f t="shared" si="6"/>
        <v>0</v>
      </c>
      <c r="AI66" s="6">
        <f t="shared" si="7"/>
        <v>0</v>
      </c>
      <c r="AJ66" s="7">
        <v>0</v>
      </c>
      <c r="AK66" s="7">
        <v>0</v>
      </c>
      <c r="AL66" s="7">
        <v>0</v>
      </c>
      <c r="AM66" s="7">
        <v>2</v>
      </c>
      <c r="AN66" s="7">
        <v>18</v>
      </c>
      <c r="AO66" s="7">
        <v>1</v>
      </c>
      <c r="AP66" s="8">
        <v>1</v>
      </c>
    </row>
    <row r="67" spans="1:42" ht="14.25" customHeight="1" x14ac:dyDescent="0.35">
      <c r="A67" s="4">
        <v>186</v>
      </c>
      <c r="B67" s="14" t="s">
        <v>51</v>
      </c>
      <c r="C67" s="15" t="s">
        <v>52</v>
      </c>
      <c r="D67" s="16" t="s">
        <v>53</v>
      </c>
      <c r="E67" s="7">
        <v>2</v>
      </c>
      <c r="F67" s="7">
        <v>1</v>
      </c>
      <c r="G67" s="10">
        <v>2</v>
      </c>
      <c r="H67" s="7">
        <v>0</v>
      </c>
      <c r="I67" s="7">
        <v>0</v>
      </c>
      <c r="J67" s="7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1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6">
        <f t="shared" si="4"/>
        <v>0</v>
      </c>
      <c r="AG67" s="6">
        <f t="shared" si="5"/>
        <v>0.5</v>
      </c>
      <c r="AH67" s="6">
        <f t="shared" si="6"/>
        <v>0</v>
      </c>
      <c r="AI67" s="6">
        <f t="shared" si="7"/>
        <v>0</v>
      </c>
      <c r="AJ67" s="7">
        <v>0</v>
      </c>
      <c r="AK67" s="7">
        <v>0</v>
      </c>
      <c r="AL67" s="7">
        <v>0</v>
      </c>
      <c r="AM67" s="7">
        <v>1</v>
      </c>
      <c r="AN67" s="7">
        <v>19</v>
      </c>
      <c r="AO67" s="7">
        <v>2</v>
      </c>
      <c r="AP67" s="8">
        <v>1</v>
      </c>
    </row>
    <row r="68" spans="1:42" ht="14.25" customHeight="1" x14ac:dyDescent="0.35">
      <c r="A68" s="4">
        <v>187</v>
      </c>
      <c r="B68" s="14" t="s">
        <v>51</v>
      </c>
      <c r="C68" s="15" t="s">
        <v>52</v>
      </c>
      <c r="D68" s="16" t="s">
        <v>53</v>
      </c>
      <c r="E68" s="7">
        <v>1</v>
      </c>
      <c r="F68" s="7">
        <v>1</v>
      </c>
      <c r="G68" s="10">
        <v>1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6">
        <f t="shared" si="4"/>
        <v>0</v>
      </c>
      <c r="AG68" s="6">
        <f t="shared" si="5"/>
        <v>0</v>
      </c>
      <c r="AH68" s="6">
        <f t="shared" si="6"/>
        <v>0</v>
      </c>
      <c r="AI68" s="6">
        <f t="shared" si="7"/>
        <v>0</v>
      </c>
      <c r="AJ68" s="7">
        <v>0</v>
      </c>
      <c r="AK68" s="7">
        <v>0</v>
      </c>
      <c r="AL68" s="7">
        <v>0</v>
      </c>
      <c r="AM68" s="7">
        <v>2</v>
      </c>
      <c r="AN68" s="7">
        <v>19</v>
      </c>
      <c r="AO68" s="7">
        <v>1</v>
      </c>
      <c r="AP68" s="8">
        <v>1</v>
      </c>
    </row>
    <row r="69" spans="1:42" ht="14.25" customHeight="1" x14ac:dyDescent="0.35">
      <c r="A69" s="4">
        <v>188</v>
      </c>
      <c r="B69" s="14" t="s">
        <v>51</v>
      </c>
      <c r="C69" s="15" t="s">
        <v>52</v>
      </c>
      <c r="D69" s="16" t="s">
        <v>53</v>
      </c>
      <c r="E69" s="7">
        <v>1</v>
      </c>
      <c r="F69" s="7">
        <v>3</v>
      </c>
      <c r="G69" s="10">
        <v>2</v>
      </c>
      <c r="H69" s="7">
        <v>1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1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6">
        <f t="shared" si="4"/>
        <v>0.5</v>
      </c>
      <c r="AG69" s="6">
        <f t="shared" si="5"/>
        <v>0</v>
      </c>
      <c r="AH69" s="6">
        <f t="shared" si="6"/>
        <v>0</v>
      </c>
      <c r="AI69" s="6">
        <f t="shared" si="7"/>
        <v>0</v>
      </c>
      <c r="AJ69" s="7">
        <v>0</v>
      </c>
      <c r="AK69" s="7">
        <v>0</v>
      </c>
      <c r="AL69" s="7">
        <v>0</v>
      </c>
      <c r="AM69" s="7">
        <v>2</v>
      </c>
      <c r="AN69" s="7">
        <v>18</v>
      </c>
      <c r="AO69" s="7">
        <v>1</v>
      </c>
      <c r="AP69" s="8">
        <v>1</v>
      </c>
    </row>
    <row r="70" spans="1:42" ht="14.25" customHeight="1" x14ac:dyDescent="0.35">
      <c r="A70" s="4">
        <v>189</v>
      </c>
      <c r="B70" s="14" t="s">
        <v>51</v>
      </c>
      <c r="C70" s="15" t="s">
        <v>52</v>
      </c>
      <c r="D70" s="16" t="s">
        <v>53</v>
      </c>
      <c r="E70" s="7">
        <v>2</v>
      </c>
      <c r="F70" s="7">
        <v>2</v>
      </c>
      <c r="G70" s="10">
        <v>2</v>
      </c>
      <c r="H70" s="7">
        <v>0</v>
      </c>
      <c r="I70" s="7">
        <v>0</v>
      </c>
      <c r="J70" s="7">
        <v>0</v>
      </c>
      <c r="K70" s="7">
        <v>1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1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1</v>
      </c>
      <c r="AB70" s="7">
        <v>0</v>
      </c>
      <c r="AC70" s="7">
        <v>0</v>
      </c>
      <c r="AD70" s="7">
        <v>0</v>
      </c>
      <c r="AE70" s="7">
        <v>0</v>
      </c>
      <c r="AF70" s="6">
        <f t="shared" si="4"/>
        <v>0</v>
      </c>
      <c r="AG70" s="6">
        <f t="shared" si="5"/>
        <v>0.5</v>
      </c>
      <c r="AH70" s="6">
        <f t="shared" si="6"/>
        <v>0</v>
      </c>
      <c r="AI70" s="6">
        <f t="shared" si="7"/>
        <v>0</v>
      </c>
      <c r="AJ70" s="7">
        <v>0</v>
      </c>
      <c r="AK70" s="7">
        <v>0</v>
      </c>
      <c r="AL70" s="7">
        <v>0</v>
      </c>
      <c r="AM70" s="7">
        <v>1</v>
      </c>
      <c r="AN70" s="7">
        <v>20</v>
      </c>
      <c r="AO70" s="7">
        <v>1</v>
      </c>
      <c r="AP70" s="8">
        <v>1</v>
      </c>
    </row>
    <row r="71" spans="1:42" ht="14.25" customHeight="1" x14ac:dyDescent="0.35">
      <c r="A71" s="4">
        <v>190</v>
      </c>
      <c r="B71" s="14" t="s">
        <v>51</v>
      </c>
      <c r="C71" s="15" t="s">
        <v>52</v>
      </c>
      <c r="D71" s="16" t="s">
        <v>53</v>
      </c>
      <c r="E71" s="7">
        <v>1</v>
      </c>
      <c r="F71" s="7">
        <v>4</v>
      </c>
      <c r="G71" s="10">
        <v>2</v>
      </c>
      <c r="H71" s="7">
        <v>1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1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1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6">
        <f t="shared" si="4"/>
        <v>0.5</v>
      </c>
      <c r="AG71" s="6">
        <f t="shared" si="5"/>
        <v>0</v>
      </c>
      <c r="AH71" s="6">
        <f t="shared" si="6"/>
        <v>0</v>
      </c>
      <c r="AI71" s="6">
        <f t="shared" si="7"/>
        <v>0</v>
      </c>
      <c r="AJ71" s="7">
        <v>0</v>
      </c>
      <c r="AK71" s="7">
        <v>0</v>
      </c>
      <c r="AL71" s="7">
        <v>0</v>
      </c>
      <c r="AM71" s="8">
        <v>2</v>
      </c>
      <c r="AN71" s="8">
        <v>20</v>
      </c>
      <c r="AO71" s="8">
        <v>2</v>
      </c>
      <c r="AP71" s="8">
        <v>1</v>
      </c>
    </row>
    <row r="72" spans="1:42" ht="14.25" customHeight="1" x14ac:dyDescent="0.35">
      <c r="A72" s="4">
        <v>191</v>
      </c>
      <c r="B72" s="14" t="s">
        <v>51</v>
      </c>
      <c r="C72" s="15" t="s">
        <v>52</v>
      </c>
      <c r="D72" s="16" t="s">
        <v>53</v>
      </c>
      <c r="E72" s="7">
        <v>2</v>
      </c>
      <c r="F72" s="7">
        <v>4</v>
      </c>
      <c r="G72" s="10">
        <v>1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8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8">
        <v>0</v>
      </c>
      <c r="AF72" s="6">
        <f t="shared" si="4"/>
        <v>0</v>
      </c>
      <c r="AG72" s="6">
        <f t="shared" si="5"/>
        <v>0</v>
      </c>
      <c r="AH72" s="6">
        <f t="shared" si="6"/>
        <v>0</v>
      </c>
      <c r="AI72" s="6">
        <f t="shared" si="7"/>
        <v>0</v>
      </c>
      <c r="AJ72" s="7">
        <v>0</v>
      </c>
      <c r="AK72" s="7">
        <v>0</v>
      </c>
      <c r="AL72" s="7">
        <v>0</v>
      </c>
      <c r="AM72" s="7">
        <v>1</v>
      </c>
      <c r="AN72" s="7">
        <v>30</v>
      </c>
      <c r="AO72" s="7">
        <v>1</v>
      </c>
      <c r="AP72" s="8">
        <v>1</v>
      </c>
    </row>
    <row r="73" spans="1:42" ht="14.25" customHeight="1" x14ac:dyDescent="0.35">
      <c r="A73" s="4">
        <v>192</v>
      </c>
      <c r="B73" s="14" t="s">
        <v>51</v>
      </c>
      <c r="C73" s="15" t="s">
        <v>52</v>
      </c>
      <c r="D73" s="16" t="s">
        <v>53</v>
      </c>
      <c r="E73" s="7">
        <v>2</v>
      </c>
      <c r="F73" s="7">
        <v>4</v>
      </c>
      <c r="G73" s="10">
        <v>1</v>
      </c>
      <c r="H73" s="12">
        <v>1</v>
      </c>
      <c r="I73" s="7">
        <v>0</v>
      </c>
      <c r="J73" s="7">
        <v>0</v>
      </c>
      <c r="K73" s="7">
        <v>1</v>
      </c>
      <c r="L73" s="7">
        <v>0</v>
      </c>
      <c r="M73" s="7">
        <v>0</v>
      </c>
      <c r="N73" s="7">
        <v>0</v>
      </c>
      <c r="O73" s="7">
        <v>0</v>
      </c>
      <c r="P73" s="7">
        <v>1</v>
      </c>
      <c r="Q73" s="7">
        <v>0</v>
      </c>
      <c r="R73" s="7">
        <v>0</v>
      </c>
      <c r="S73" s="7">
        <v>1</v>
      </c>
      <c r="T73" s="7">
        <v>0</v>
      </c>
      <c r="U73" s="7">
        <v>0</v>
      </c>
      <c r="V73" s="7">
        <v>0</v>
      </c>
      <c r="W73" s="7">
        <v>0</v>
      </c>
      <c r="X73" s="7">
        <v>1</v>
      </c>
      <c r="Y73" s="7">
        <v>0</v>
      </c>
      <c r="Z73" s="7">
        <v>0</v>
      </c>
      <c r="AA73" s="7">
        <v>1</v>
      </c>
      <c r="AB73" s="7">
        <v>0</v>
      </c>
      <c r="AC73" s="7">
        <v>0</v>
      </c>
      <c r="AD73" s="7">
        <v>0</v>
      </c>
      <c r="AE73" s="7">
        <v>0</v>
      </c>
      <c r="AF73" s="6">
        <f t="shared" si="4"/>
        <v>0.5</v>
      </c>
      <c r="AG73" s="6">
        <f t="shared" si="5"/>
        <v>0.5</v>
      </c>
      <c r="AH73" s="6">
        <f t="shared" si="6"/>
        <v>0</v>
      </c>
      <c r="AI73" s="6">
        <f t="shared" si="7"/>
        <v>0</v>
      </c>
      <c r="AJ73" s="7">
        <v>0</v>
      </c>
      <c r="AK73" s="7">
        <v>0</v>
      </c>
      <c r="AL73" s="7">
        <v>0</v>
      </c>
      <c r="AM73" s="7">
        <v>1</v>
      </c>
      <c r="AN73" s="7">
        <v>19</v>
      </c>
      <c r="AO73" s="7">
        <v>1</v>
      </c>
      <c r="AP73" s="8">
        <v>1</v>
      </c>
    </row>
    <row r="74" spans="1:42" ht="14.25" customHeight="1" x14ac:dyDescent="0.35">
      <c r="A74" s="4">
        <v>193</v>
      </c>
      <c r="B74" s="14" t="s">
        <v>51</v>
      </c>
      <c r="C74" s="15" t="s">
        <v>52</v>
      </c>
      <c r="D74" s="16" t="s">
        <v>53</v>
      </c>
      <c r="E74" s="7">
        <v>1</v>
      </c>
      <c r="F74" s="7">
        <v>4</v>
      </c>
      <c r="G74" s="10">
        <v>1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6">
        <f t="shared" si="4"/>
        <v>0</v>
      </c>
      <c r="AG74" s="6">
        <f t="shared" si="5"/>
        <v>0</v>
      </c>
      <c r="AH74" s="6">
        <f t="shared" si="6"/>
        <v>0</v>
      </c>
      <c r="AI74" s="6">
        <f t="shared" si="7"/>
        <v>0</v>
      </c>
      <c r="AJ74" s="7">
        <v>0</v>
      </c>
      <c r="AK74" s="7">
        <v>0</v>
      </c>
      <c r="AL74" s="7">
        <v>0</v>
      </c>
      <c r="AM74" s="7">
        <v>1</v>
      </c>
      <c r="AN74" s="7">
        <v>21</v>
      </c>
      <c r="AO74" s="7">
        <v>2</v>
      </c>
      <c r="AP74" s="8">
        <v>1</v>
      </c>
    </row>
    <row r="75" spans="1:42" ht="14.25" customHeight="1" x14ac:dyDescent="0.35">
      <c r="A75" s="4">
        <v>194</v>
      </c>
      <c r="B75" s="14" t="s">
        <v>51</v>
      </c>
      <c r="C75" s="15" t="s">
        <v>52</v>
      </c>
      <c r="D75" s="16" t="s">
        <v>53</v>
      </c>
      <c r="E75" s="7">
        <v>1</v>
      </c>
      <c r="F75" s="7">
        <v>4</v>
      </c>
      <c r="G75" s="10">
        <v>1</v>
      </c>
      <c r="H75" s="7">
        <v>1</v>
      </c>
      <c r="I75" s="7">
        <v>0</v>
      </c>
      <c r="J75" s="7">
        <v>0</v>
      </c>
      <c r="K75" s="7">
        <v>1</v>
      </c>
      <c r="L75" s="7">
        <v>0</v>
      </c>
      <c r="M75" s="7">
        <v>0</v>
      </c>
      <c r="N75" s="7">
        <v>0</v>
      </c>
      <c r="O75" s="7">
        <v>0</v>
      </c>
      <c r="P75" s="7">
        <v>1</v>
      </c>
      <c r="Q75" s="7">
        <v>0</v>
      </c>
      <c r="R75" s="7">
        <v>0</v>
      </c>
      <c r="S75" s="7">
        <v>1</v>
      </c>
      <c r="T75" s="7">
        <v>0</v>
      </c>
      <c r="U75" s="7">
        <v>0</v>
      </c>
      <c r="V75" s="7">
        <v>0</v>
      </c>
      <c r="W75" s="7">
        <v>0</v>
      </c>
      <c r="X75" s="7">
        <v>1</v>
      </c>
      <c r="Y75" s="7">
        <v>0</v>
      </c>
      <c r="Z75" s="7">
        <v>0</v>
      </c>
      <c r="AA75" s="7">
        <v>1</v>
      </c>
      <c r="AB75" s="7">
        <v>0</v>
      </c>
      <c r="AC75" s="7">
        <v>0</v>
      </c>
      <c r="AD75" s="7">
        <v>0</v>
      </c>
      <c r="AE75" s="7">
        <v>0</v>
      </c>
      <c r="AF75" s="6">
        <f t="shared" si="4"/>
        <v>0.5</v>
      </c>
      <c r="AG75" s="6">
        <f t="shared" si="5"/>
        <v>0.5</v>
      </c>
      <c r="AH75" s="6">
        <f t="shared" si="6"/>
        <v>0</v>
      </c>
      <c r="AI75" s="6">
        <f t="shared" si="7"/>
        <v>0</v>
      </c>
      <c r="AJ75" s="7">
        <v>0</v>
      </c>
      <c r="AK75" s="7">
        <v>0</v>
      </c>
      <c r="AL75" s="7">
        <v>0</v>
      </c>
      <c r="AM75" s="7">
        <v>2</v>
      </c>
      <c r="AN75" s="7">
        <v>19</v>
      </c>
      <c r="AO75" s="7">
        <v>1</v>
      </c>
      <c r="AP75" s="8">
        <v>1</v>
      </c>
    </row>
    <row r="76" spans="1:42" ht="14.25" customHeight="1" x14ac:dyDescent="0.35">
      <c r="A76" s="4">
        <v>195</v>
      </c>
      <c r="B76" s="14" t="s">
        <v>51</v>
      </c>
      <c r="C76" s="15" t="s">
        <v>52</v>
      </c>
      <c r="D76" s="16" t="s">
        <v>53</v>
      </c>
      <c r="E76" s="7">
        <v>2</v>
      </c>
      <c r="F76" s="7">
        <v>4</v>
      </c>
      <c r="G76" s="10">
        <v>2</v>
      </c>
      <c r="H76" s="7">
        <v>0</v>
      </c>
      <c r="I76" s="7">
        <v>0</v>
      </c>
      <c r="J76" s="7">
        <v>1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1</v>
      </c>
      <c r="S76" s="7">
        <v>1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1</v>
      </c>
      <c r="AA76" s="7">
        <v>1</v>
      </c>
      <c r="AB76" s="7">
        <v>0</v>
      </c>
      <c r="AC76" s="7">
        <v>0</v>
      </c>
      <c r="AD76" s="7">
        <v>0</v>
      </c>
      <c r="AE76" s="7">
        <v>0</v>
      </c>
      <c r="AF76" s="6">
        <f t="shared" si="4"/>
        <v>0</v>
      </c>
      <c r="AG76" s="6">
        <f t="shared" si="5"/>
        <v>1</v>
      </c>
      <c r="AH76" s="6">
        <f t="shared" si="6"/>
        <v>0</v>
      </c>
      <c r="AI76" s="6">
        <f t="shared" si="7"/>
        <v>0</v>
      </c>
      <c r="AJ76" s="7">
        <v>0</v>
      </c>
      <c r="AK76" s="7">
        <v>0</v>
      </c>
      <c r="AL76" s="7">
        <v>0</v>
      </c>
      <c r="AM76" s="7">
        <v>1</v>
      </c>
      <c r="AN76" s="7">
        <v>18</v>
      </c>
      <c r="AO76" s="7">
        <v>1</v>
      </c>
      <c r="AP76" s="8">
        <v>1</v>
      </c>
    </row>
    <row r="77" spans="1:42" ht="14.25" customHeight="1" x14ac:dyDescent="0.35">
      <c r="A77" s="4">
        <v>196</v>
      </c>
      <c r="B77" s="14" t="s">
        <v>51</v>
      </c>
      <c r="C77" s="15" t="s">
        <v>52</v>
      </c>
      <c r="D77" s="16" t="s">
        <v>53</v>
      </c>
      <c r="E77" s="7">
        <v>1</v>
      </c>
      <c r="F77" s="7">
        <v>3</v>
      </c>
      <c r="G77" s="13">
        <v>1</v>
      </c>
      <c r="H77" s="7">
        <v>0</v>
      </c>
      <c r="I77" s="7">
        <v>1</v>
      </c>
      <c r="J77" s="7">
        <v>0</v>
      </c>
      <c r="K77" s="7">
        <v>1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1</v>
      </c>
      <c r="R77" s="7">
        <v>0</v>
      </c>
      <c r="S77" s="7">
        <v>1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1</v>
      </c>
      <c r="Z77" s="7">
        <v>0</v>
      </c>
      <c r="AA77" s="7">
        <v>1</v>
      </c>
      <c r="AB77" s="7">
        <v>0</v>
      </c>
      <c r="AC77" s="7">
        <v>0</v>
      </c>
      <c r="AD77" s="7">
        <v>0</v>
      </c>
      <c r="AE77" s="7">
        <v>0</v>
      </c>
      <c r="AF77" s="6">
        <f t="shared" si="4"/>
        <v>0.5</v>
      </c>
      <c r="AG77" s="6">
        <f t="shared" si="5"/>
        <v>0.5</v>
      </c>
      <c r="AH77" s="6">
        <f t="shared" si="6"/>
        <v>0</v>
      </c>
      <c r="AI77" s="6">
        <f t="shared" si="7"/>
        <v>0</v>
      </c>
      <c r="AJ77" s="7">
        <v>0</v>
      </c>
      <c r="AK77" s="7">
        <v>0</v>
      </c>
      <c r="AL77" s="7">
        <v>0</v>
      </c>
      <c r="AM77" s="7">
        <v>2</v>
      </c>
      <c r="AN77" s="7">
        <v>18</v>
      </c>
      <c r="AO77" s="7">
        <v>2</v>
      </c>
      <c r="AP77" s="8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2F8A-71B3-4868-A18B-50F2ECF81EDB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25" customHeight="1" x14ac:dyDescent="0.35">
      <c r="A1" s="1" t="s">
        <v>40</v>
      </c>
    </row>
    <row r="2" spans="1:3" ht="14.25" customHeight="1" x14ac:dyDescent="0.35">
      <c r="A2" s="2"/>
      <c r="B2" s="2" t="s">
        <v>41</v>
      </c>
      <c r="C2" s="2" t="s">
        <v>42</v>
      </c>
    </row>
    <row r="3" spans="1:3" ht="14.25" customHeight="1" x14ac:dyDescent="0.35">
      <c r="A3" s="2" t="s">
        <v>43</v>
      </c>
      <c r="B3" s="3" t="e">
        <f>AVERAGEIF(testdata!$E$2:$E$14, "Concentration", testdata!AG2:AG14)</f>
        <v>#DIV/0!</v>
      </c>
      <c r="C3" s="3" t="e">
        <f>AVERAGEIF(testdata!$E$2:$E$14, "Suppression", testdata!AG2:AG14)</f>
        <v>#DIV/0!</v>
      </c>
    </row>
    <row r="4" spans="1:3" ht="14.25" customHeight="1" x14ac:dyDescent="0.35">
      <c r="A4" s="2" t="s">
        <v>44</v>
      </c>
      <c r="B4" s="3" t="e">
        <f>AVERAGEIF(testdata!$E$2:$E$14, "Concentration", testdata!AF2:AF14)</f>
        <v>#DIV/0!</v>
      </c>
      <c r="C4" s="3" t="e">
        <f>AVERAGEIF(testdata!$E$2:$E$14, "Suppression", testdata!AF2:AF14)</f>
        <v>#DIV/0!</v>
      </c>
    </row>
    <row r="5" spans="1:3" ht="14.25" customHeight="1" x14ac:dyDescent="0.35"/>
    <row r="6" spans="1:3" ht="14.25" customHeight="1" x14ac:dyDescent="0.35">
      <c r="A6" s="1" t="s">
        <v>45</v>
      </c>
    </row>
    <row r="7" spans="1:3" ht="14.25" customHeight="1" x14ac:dyDescent="0.35">
      <c r="A7" s="2"/>
      <c r="B7" s="2" t="s">
        <v>41</v>
      </c>
      <c r="C7" s="2" t="s">
        <v>42</v>
      </c>
    </row>
    <row r="8" spans="1:3" ht="14.25" customHeight="1" x14ac:dyDescent="0.35">
      <c r="A8" s="2" t="s">
        <v>43</v>
      </c>
      <c r="B8" s="3" t="e">
        <f>AVERAGEIF(testdata!$E$2:$E$14, "Concentration", testdata!#REF!)</f>
        <v>#REF!</v>
      </c>
      <c r="C8" s="3" t="e">
        <f>AVERAGEIF(testdata!$E$2:$E$14, "Suppression", testdata!#REF!)</f>
        <v>#REF!</v>
      </c>
    </row>
    <row r="9" spans="1:3" ht="14.25" customHeight="1" x14ac:dyDescent="0.35">
      <c r="A9" s="2" t="s">
        <v>44</v>
      </c>
      <c r="B9" s="3" t="e">
        <f>AVERAGEIF(testdata!$E$2:$E$14, "Concentration", testdata!#REF!)</f>
        <v>#REF!</v>
      </c>
      <c r="C9" s="3" t="e">
        <f>AVERAGEIF(testdata!$E$2:$E$14,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2025-03-21T03:08:20Z</dcterms:modified>
</cp:coreProperties>
</file>