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865452E8-1936-4D64-86CA-C5355F5A29DF}" xr6:coauthVersionLast="47" xr6:coauthVersionMax="47" xr10:uidLastSave="{00000000-0000-0000-0000-000000000000}"/>
  <bookViews>
    <workbookView xWindow="-28920" yWindow="-105" windowWidth="29040" windowHeight="15720" firstSheet="2" activeTab="2" xr2:uid="{00000000-000D-0000-FFFF-FFFF00000000}"/>
  </bookViews>
  <sheets>
    <sheet name="Noelle (resolving)" sheetId="6" state="hidden" r:id="rId1"/>
    <sheet name="Meilan (resolving)" sheetId="5" state="hidden" r:id="rId2"/>
    <sheet name="testdata" sheetId="3" r:id="rId3"/>
    <sheet name="Data cleaning" sheetId="7" r:id="rId4"/>
    <sheet name="summarystats" sheetId="2" r:id="rId5"/>
  </sheets>
  <definedNames>
    <definedName name="_xlnm._FilterDatabase" localSheetId="1" hidden="1">'Meilan (resolving)'!$A$1:$AL$13</definedName>
    <definedName name="_xlnm._FilterDatabase" localSheetId="2" hidden="1">testdata!$A$1:$AI$122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1" i="3" l="1"/>
  <c r="P116" i="3"/>
  <c r="P122" i="3"/>
  <c r="P111" i="3"/>
  <c r="P110" i="3"/>
  <c r="P107" i="3"/>
  <c r="Z106" i="3"/>
  <c r="P102" i="3"/>
  <c r="P99" i="3"/>
  <c r="P80" i="3"/>
  <c r="Z75" i="3"/>
  <c r="Z64" i="3"/>
  <c r="P74" i="3"/>
  <c r="P71" i="3"/>
  <c r="P63" i="3"/>
  <c r="Z58" i="3"/>
  <c r="P37" i="3"/>
  <c r="Z53" i="3"/>
  <c r="Z36" i="3"/>
  <c r="Z121" i="3"/>
  <c r="Z120" i="3"/>
  <c r="Z119" i="3"/>
  <c r="Z118" i="3"/>
  <c r="Z117" i="3"/>
  <c r="Z115" i="3"/>
  <c r="Z105" i="3"/>
  <c r="Z100" i="3"/>
  <c r="Z97" i="3"/>
  <c r="Z89" i="3"/>
  <c r="Z87" i="3"/>
  <c r="Z86" i="3"/>
  <c r="Z84" i="3"/>
  <c r="Z83" i="3"/>
  <c r="Z81" i="3"/>
  <c r="Z78" i="3"/>
  <c r="Z76" i="3"/>
  <c r="Z72" i="3"/>
  <c r="Z70" i="3"/>
  <c r="Z69" i="3"/>
  <c r="Z67" i="3"/>
  <c r="Z61" i="3"/>
  <c r="Z57" i="3"/>
  <c r="Z54" i="3"/>
  <c r="Z52" i="3"/>
  <c r="Z51" i="3"/>
  <c r="Z50" i="3"/>
  <c r="Z48" i="3"/>
  <c r="Z47" i="3"/>
  <c r="Z45" i="3"/>
  <c r="Z44" i="3"/>
  <c r="Z42" i="3"/>
  <c r="Z40" i="3"/>
  <c r="Z39" i="3"/>
  <c r="Z38" i="3"/>
  <c r="Z35" i="3"/>
  <c r="Z33" i="3"/>
  <c r="Z30" i="3"/>
  <c r="Z29" i="3"/>
  <c r="Z27" i="3"/>
  <c r="Z22" i="3"/>
  <c r="Z20" i="3"/>
  <c r="Z19" i="3"/>
  <c r="Z18" i="3"/>
  <c r="Z17" i="3"/>
  <c r="Z16" i="3"/>
  <c r="Z15" i="3"/>
  <c r="Z14" i="3"/>
  <c r="Z11" i="3"/>
  <c r="Z6" i="3"/>
  <c r="Z3" i="3"/>
  <c r="Z2" i="3"/>
  <c r="P114" i="3"/>
  <c r="P113" i="3"/>
  <c r="P112" i="3"/>
  <c r="P109" i="3"/>
  <c r="P108" i="3"/>
  <c r="P103" i="3"/>
  <c r="P101" i="3"/>
  <c r="P98" i="3"/>
  <c r="P96" i="3"/>
  <c r="P95" i="3"/>
  <c r="P94" i="3"/>
  <c r="P93" i="3"/>
  <c r="P92" i="3"/>
  <c r="P91" i="3"/>
  <c r="P90" i="3"/>
  <c r="P88" i="3"/>
  <c r="P85" i="3"/>
  <c r="P82" i="3"/>
  <c r="P79" i="3"/>
  <c r="P77" i="3"/>
  <c r="P73" i="3"/>
  <c r="P68" i="3"/>
  <c r="P66" i="3"/>
  <c r="P65" i="3"/>
  <c r="P62" i="3"/>
  <c r="P60" i="3"/>
  <c r="P59" i="3"/>
  <c r="P56" i="3"/>
  <c r="P55" i="3"/>
  <c r="P49" i="3"/>
  <c r="P46" i="3"/>
  <c r="P43" i="3"/>
  <c r="P41" i="3"/>
  <c r="P34" i="3"/>
  <c r="P32" i="3"/>
  <c r="P31" i="3"/>
  <c r="P28" i="3"/>
  <c r="P24" i="3"/>
  <c r="P25" i="3"/>
  <c r="P26" i="3"/>
  <c r="P23" i="3"/>
  <c r="P13" i="3"/>
  <c r="P12" i="3"/>
  <c r="P5" i="3"/>
  <c r="P7" i="3"/>
  <c r="P8" i="3"/>
  <c r="P9" i="3"/>
  <c r="P10" i="3"/>
  <c r="P4" i="3"/>
  <c r="A18" i="6"/>
  <c r="Z5" i="6"/>
  <c r="P5" i="6"/>
  <c r="Z4" i="6"/>
  <c r="P4" i="6"/>
  <c r="Z3" i="6"/>
  <c r="P3" i="6"/>
  <c r="Z2" i="6"/>
  <c r="P2" i="6"/>
  <c r="Z5" i="5"/>
  <c r="P5" i="5"/>
  <c r="Z4" i="5"/>
  <c r="P4" i="5"/>
  <c r="Z3" i="5"/>
  <c r="P3" i="5"/>
  <c r="Z2" i="5"/>
  <c r="P2" i="5"/>
  <c r="B8" i="2" l="1"/>
  <c r="C9" i="2"/>
  <c r="B9" i="2"/>
  <c r="C8" i="2"/>
  <c r="B3" i="2" l="1"/>
  <c r="C3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tc={EF3F2392-0B6E-EE45-976F-29335DC581A2}</author>
  </authors>
  <commentList>
    <comment ref="D33" authorId="0" shapeId="0" xr:uid="{EF3F2392-0B6E-EE45-976F-29335DC5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code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tc={E7EB2E7F-581E-024E-86C6-D2F1E0107906}</author>
    <author>tc={4DF2115C-C6C8-9F48-9BCD-7EEF0528AFA2}</author>
    <author>tc={FF936B7B-2F98-7442-A5EC-36F00538E6A4}</author>
    <author>tc={9B22A9B4-EF3A-3142-9D92-5C6DD10F4AB5}</author>
    <author>tc={DE48A019-AF5A-B84F-A72F-DBBE8E011F36}</author>
    <author>tc={1B06DCDF-483E-B940-96BF-B8202634375D}</author>
    <author>tc={EDFC3E99-EE1F-3143-BDFC-31B36B4CC61B}</author>
    <author>tc={7AACB928-483B-7343-A7D3-157900320F1A}</author>
    <author>tc={8901ECA2-84E1-464E-B05D-FE4DE7BD05BD}</author>
    <author>tc={3127F3F2-334B-E94F-A654-3FB9EB906396}</author>
    <author>tc={81372EA1-07BC-AC4C-A0FA-593B46D6CB4E}</author>
    <author>tc={10B2D5F8-22F6-9946-80EA-89D76CDC9A7D}</author>
    <author>tc={56712FCF-3210-5A4D-A12F-C50B94A6336F}</author>
    <author>tc={35B68939-B221-114A-91B3-A95569ED0BF7}</author>
    <author>tc={27E4AAFD-5804-984A-8D4F-F49FBB057548}</author>
    <author>tc={49ED8D92-BF38-3F49-8E7A-E0DC607347BB}</author>
    <author>tc={9963D1BF-C727-4944-B935-FA35402B44AE}</author>
    <author>tc={046B01B4-EC35-1246-894B-C30886446835}</author>
    <author>tc={016D03C4-13C7-844B-8B9A-CFAD2BFEE6D1}</author>
    <author>tc={530D4EFE-7C56-264C-BC2E-BDAE840C8822}</author>
    <author>tc={6C22AF3E-921A-C34E-8CDF-44CDFE81526D}</author>
  </authors>
  <commentList>
    <comment ref="D6" authorId="0" shapeId="0" xr:uid="{E7EB2E7F-581E-024E-86C6-D2F1E01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two cannot hear anything.. never talk no bell ring too</t>
      </text>
    </comment>
    <comment ref="AD7" authorId="1" shapeId="0" xr:uid="{4DF2115C-C6C8-9F48-9BCD-7EEF0528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D8" authorId="2" shapeId="0" xr:uid="{FF936B7B-2F98-7442-A5EC-36F0053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counted whenever he said ‘tigger’ from Winnie the Pooh as tiger… &gt; to discuss with Noelle &amp; Fro</t>
      </text>
    </comment>
    <comment ref="AD8" authorId="3" shapeId="0" xr:uid="{9B22A9B4-EF3A-3142-9D92-5C6DD10F4AB5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  <comment ref="J12" authorId="4" shapeId="0" xr:uid="{DE48A019-AF5A-B84F-A72F-DBBE8E011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talked about specific diseases (that she thinks/not sure are diseases) e.g. covid, schizophrenia, autism, bone impairment, down syndrome, being sick, mental health issues, delusion, malnutrition 
Then also said the word diseases specifically </t>
      </text>
    </comment>
    <comment ref="J13" authorId="5" shapeId="0" xr:uid="{1B06DCDF-483E-B940-96BF-B8202634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ape twice but did not include it in the count; to discuss whether ape counts as gorilla
Reply:
    Included kingkong cause participant believed it was a gorilla.. mentioned twice</t>
      </text>
    </comment>
    <comment ref="L13" authorId="6" shapeId="0" xr:uid="{EDFC3E99-EE1F-3143-BDFC-31B36B4CC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times rang together with king kong</t>
      </text>
    </comment>
    <comment ref="D14" authorId="7" shapeId="0" xr:uid="{7AACB928-483B-7343-A7D3-157900320F1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Focused more on the specific type of disease (or rather what the participant believed counts as a disease) - named &amp; elaborated on it (e.g. dengue) 
Reply:
    For my own reference: In my notebook (1) means she just said disease, [1] means a type of disease (e.g. hypotension…)</t>
      </text>
    </comment>
    <comment ref="D24" authorId="8" shapeId="0" xr:uid="{8901ECA2-84E1-464E-B05D-FE4DE7BD05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audio bit muffled but halfway I think he was speaking Malay?? LOL sorry I don’t know.. Malay.. </t>
      </text>
    </comment>
    <comment ref="D27" authorId="9" shapeId="0" xr:uid="{3127F3F2-334B-E94F-A654-3FB9EB90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r right when the arrow appeared (recording continued after the arrow apeared)</t>
      </text>
    </comment>
    <comment ref="D57" authorId="10" shapeId="0" xr:uid="{81372EA1-07BC-AC4C-A0FA-593B46D6CB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monkey count LOL </t>
      </text>
    </comment>
    <comment ref="D66" authorId="11" shapeId="0" xr:uid="{10B2D5F8-22F6-9946-80EA-89D76CDC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drinks.. if not A would be 10 (2 times she said drinks without ringing the bell)</t>
      </text>
    </comment>
    <comment ref="D75" authorId="12" shapeId="0" xr:uid="{56712FCF-3210-5A4D-A12F-C50B94A6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recording
Reply:
    Recording is labelled as 910784 I think</t>
      </text>
    </comment>
    <comment ref="D86" authorId="13" shapeId="0" xr:uid="{35B68939-B221-114A-91B3-A95569ED0B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tiger in korean twice??
Reply:
    “Competitor of lion” &amp; rang the bell - not sure whether it counts as both or just him ringing the bell</t>
      </text>
    </comment>
    <comment ref="D88" authorId="14" shapeId="0" xr:uid="{27E4AAFD-5804-984A-8D4F-F49FBB057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“what should I eat 3 times” and rang the bell &gt; classified as just ring bell only </t>
      </text>
    </comment>
    <comment ref="D106" authorId="15" shapeId="0" xr:uid="{49ED8D92-BF38-3F49-8E7A-E0DC607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tigeress (female tiger?) as part of the ‘both’
Reply:
    once</t>
      </text>
    </comment>
    <comment ref="D114" authorId="16" shapeId="0" xr:uid="{9963D1BF-C727-4944-B935-FA35402B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Walao this one I really cannot hear she’s MUMBLING</t>
      </text>
    </comment>
    <comment ref="D116" authorId="17" shapeId="0" xr:uid="{046B01B4-EC35-1246-894B-C308864468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times she said parasite but seems like she thought of it as a disease?</t>
      </text>
    </comment>
    <comment ref="D122" authorId="18" shapeId="0" xr:uid="{016D03C4-13C7-844B-8B9A-CFAD2BFE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Honestly I think I hallucinating the bell sounds already</t>
      </text>
    </comment>
    <comment ref="D123" authorId="19" shapeId="0" xr:uid="{530D4EFE-7C56-264C-BC2E-BDAE840C88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for this omg idk</t>
      </text>
    </comment>
    <comment ref="D125" authorId="20" shapeId="0" xr:uid="{6C22AF3E-921A-C34E-8CDF-44CDFE81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macdonald twice - does that count as food?
Reply:
    Without ringing the bell</t>
      </text>
    </comment>
  </commentList>
</comments>
</file>

<file path=xl/sharedStrings.xml><?xml version="1.0" encoding="utf-8"?>
<sst xmlns="http://schemas.openxmlformats.org/spreadsheetml/2006/main" count="1724" uniqueCount="68">
  <si>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</si>
  <si>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</si>
  <si>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</si>
  <si>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</si>
  <si>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</si>
  <si>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</si>
  <si>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</si>
  <si>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</si>
  <si>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</si>
  <si>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</si>
  <si>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</si>
  <si>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</si>
  <si>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</si>
  <si>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</si>
  <si>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</si>
  <si>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</si>
  <si>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</si>
  <si>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</si>
  <si>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</si>
  <si>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</si>
  <si>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</si>
  <si>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</si>
  <si>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</si>
  <si>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</si>
  <si>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</si>
  <si>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</si>
  <si>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</si>
  <si>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</si>
  <si>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</si>
  <si>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</si>
  <si>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</si>
  <si>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</si>
  <si>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</si>
  <si>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</si>
  <si>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</si>
  <si>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</si>
  <si>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</si>
  <si>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</si>
  <si>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</si>
  <si>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</si>
  <si>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</si>
  <si>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</si>
  <si>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</si>
  <si>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</si>
  <si>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</si>
  <si>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</si>
  <si>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</si>
  <si>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</si>
  <si>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</si>
  <si>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</si>
  <si>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</si>
  <si>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</si>
  <si>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</si>
  <si>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 (think)</t>
  </si>
  <si>
    <t xml:space="preserve">2 (not think) </t>
  </si>
  <si>
    <t>1 (yes)</t>
  </si>
  <si>
    <t>not think = 1</t>
  </si>
  <si>
    <t xml:space="preserve">think =2 </t>
  </si>
  <si>
    <t>NA</t>
  </si>
  <si>
    <t>1. Original tab "Resolved" renamed to testdata</t>
  </si>
  <si>
    <t>2. Missing values replaced. And there are lots of them.</t>
  </si>
  <si>
    <t>3. Original tab by Meilian and Noell (presumably research assistants) have been deleted. They can still be found in the raw data.</t>
  </si>
  <si>
    <t xml:space="preserve">Andree HARTANTO </t>
  </si>
  <si>
    <t>Singapore Management University</t>
  </si>
  <si>
    <t>Singapore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</si>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</sst>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/>
    <xf numFmtId="0" fontId="8" fillId="6" borderId="0" xfId="0" applyFont="1" applyFill="1"/>
    <xf numFmtId="0" fontId="7" fillId="7" borderId="0" xfId="0" applyFont="1" applyFill="1"/>
    <xf numFmtId="0" fontId="0" fillId="5" borderId="0" xfId="0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3" fillId="8" borderId="0" xfId="0" applyFont="1" applyFill="1"/>
    <xf numFmtId="0" fontId="5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2" borderId="5" xfId="0" applyFont="1" applyFill="1" applyBorder="1"/>
    <xf numFmtId="0" fontId="8" fillId="4" borderId="5" xfId="0" applyFont="1" applyFill="1" applyBorder="1"/>
    <xf numFmtId="0" fontId="8" fillId="3" borderId="5" xfId="0" applyFont="1" applyFill="1" applyBorder="1"/>
    <xf numFmtId="0" fontId="8" fillId="6" borderId="5" xfId="0" applyFont="1" applyFill="1" applyBorder="1"/>
    <xf numFmtId="0" fontId="0" fillId="8" borderId="5" xfId="0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8" fillId="4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wrapText="1"/>
    </xf>
    <xf numFmtId="0" fontId="2" fillId="4" borderId="0" xfId="0" applyFont="1" applyFill="1"/>
    <xf numFmtId="0" fontId="2" fillId="0" borderId="0" xfId="0" applyFont="1"/>
    <xf numFmtId="0" fontId="2" fillId="4" borderId="2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2" fillId="6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4" borderId="5" xfId="0" applyFont="1" applyFill="1" applyBorder="1"/>
    <xf numFmtId="0" fontId="2" fillId="2" borderId="5" xfId="0" applyFont="1" applyFill="1" applyBorder="1"/>
    <xf numFmtId="0" fontId="2" fillId="3" borderId="5" xfId="0" applyFont="1" applyFill="1" applyBorder="1"/>
    <xf numFmtId="0" fontId="2" fillId="6" borderId="5" xfId="0" applyFont="1" applyFill="1" applyBorder="1"/>
    <xf numFmtId="0" fontId="0" fillId="0" borderId="0" xfId="0" applyAlignment="1">
      <alignment wrapText="1"/>
    </xf>
    <xf numFmtId="0" fontId="10" fillId="4" borderId="0" xfId="0" applyFont="1" applyFill="1"/>
    <xf numFmtId="0" fontId="11" fillId="3" borderId="0" xfId="0" applyFont="1" applyFill="1"/>
    <xf numFmtId="0" fontId="11" fillId="8" borderId="0" xfId="0" applyFont="1" applyFill="1"/>
    <xf numFmtId="0" fontId="2" fillId="0" borderId="0" xfId="0" applyFont="1" applyFill="1"/>
    <xf numFmtId="0" fontId="0" fillId="0" borderId="0" xfId="0" applyFill="1"/>
    <xf numFmtId="0" fontId="7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12" fillId="0" borderId="0" xfId="0" applyFont="1" applyFill="1"/>
    <xf numFmtId="0" fontId="9" fillId="0" borderId="0" xfId="0" applyFont="1" applyFill="1" applyAlignment="1">
      <alignment horizontal="right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14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G Shu Fen" id="{78D6198D-FA62-B846-BE30-16FF3E06B5CB}" userId="S::sfdiong.2020@socsc.smu.edu.sg::21e1e165-47d0-4bab-98a4-903377f67b19" providerId="AD"/>
  <person displayName="HU Meilan" id="{514B906D-3861-A94F-A0E8-5480DBA446F8}" userId="S::meilan.hu.2020@socsc.smu.edu.sg::4693eb19-060b-44cd-ab42-7bbe31d16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4-05-21T04:17:01.06" personId="{78D6198D-FA62-B846-BE30-16FF3E06B5CB}" id="{EF3F2392-0B6E-EE45-976F-29335DC581A2}">
    <text>Did not code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1-15T02:24:51.77" personId="{514B906D-3861-A94F-A0E8-5480DBA446F8}" id="{E7EB2E7F-581E-024E-86C6-D2F1E0107906}">
    <text>First two cannot hear anything.. never talk no bell ring too</text>
  </threadedComment>
  <threadedComment ref="AD7" dT="2024-01-15T09:56:11.11" personId="{514B906D-3861-A94F-A0E8-5480DBA446F8}" id="{4DF2115C-C6C8-9F48-9BCD-7EEF0528AFA2}">
    <text>Based on the percentage cause this one can’t hear the participant</text>
  </threadedComment>
  <threadedComment ref="D8" dT="2024-01-13T07:51:33.98" personId="{514B906D-3861-A94F-A0E8-5480DBA446F8}" id="{FF936B7B-2F98-7442-A5EC-36F00538E6A4}">
    <text>I counted whenever he said ‘tigger’ from Winnie the Pooh as tiger… &gt; to discuss with Noelle &amp; Fro</text>
  </threadedComment>
  <threadedComment ref="AD8" dT="2024-01-15T10:04:01.21" personId="{514B906D-3861-A94F-A0E8-5480DBA446F8}" id="{9B22A9B4-EF3A-3142-9D92-5C6DD10F4AB5}">
    <text>I put 0 (never fail probe) for the concentrate one cause they DID follow the probe which is to concentrate on the word (either said without ringing bell, said &amp; rang bell or just rang bell without saying?)</text>
  </threadedComment>
  <threadedComment ref="J12" dT="2024-01-15T07:59:19.89" personId="{514B906D-3861-A94F-A0E8-5480DBA446F8}" id="{DE48A019-AF5A-B84F-A72F-DBBE8E011F36}">
    <text xml:space="preserve">She talked about specific diseases (that she thinks/not sure are diseases) e.g. covid, schizophrenia, autism, bone impairment, down syndrome, being sick, mental health issues, delusion, malnutrition 
Then also said the word diseases specifically </text>
  </threadedComment>
  <threadedComment ref="J13" dT="2024-01-15T08:22:54.61" personId="{514B906D-3861-A94F-A0E8-5480DBA446F8}" id="{1B06DCDF-483E-B940-96BF-B8202634375D}">
    <text>Said ape twice but did not include it in the count; to discuss whether ape counts as gorilla</text>
  </threadedComment>
  <threadedComment ref="J13" dT="2024-01-15T09:02:26.43" personId="{514B906D-3861-A94F-A0E8-5480DBA446F8}" id="{25025790-CBB2-5F43-A407-D02BCF82AD36}" parentId="{1B06DCDF-483E-B940-96BF-B8202634375D}">
    <text>Included kingkong cause participant believed it was a gorilla.. mentioned twice</text>
  </threadedComment>
  <threadedComment ref="L13" dT="2024-01-15T09:02:37.01" personId="{514B906D-3861-A94F-A0E8-5480DBA446F8}" id="{EDFC3E99-EE1F-3143-BDFC-31B36B4CC61B}">
    <text>Two times rang together with king kong</text>
  </threadedComment>
  <threadedComment ref="D14" dT="2024-01-15T09:11:06.43" personId="{514B906D-3861-A94F-A0E8-5480DBA446F8}" id="{7AACB928-483B-7343-A7D3-157900320F1A}">
    <text xml:space="preserve">Focused more on the specific type of disease (or rather what the participant believed counts as a disease) - named &amp; elaborated on it (e.g. dengue) 
</text>
  </threadedComment>
  <threadedComment ref="D14" dT="2024-01-15T09:11:51.11" personId="{514B906D-3861-A94F-A0E8-5480DBA446F8}" id="{06B82FDA-EDDB-0646-B138-76967C6AFB70}" parentId="{7AACB928-483B-7343-A7D3-157900320F1A}">
    <text>For my own reference: In my notebook (1) means she just said disease, [1] means a type of disease (e.g. hypotension…)</text>
  </threadedComment>
  <threadedComment ref="D24" dT="2024-04-19T06:02:55.73" personId="{514B906D-3861-A94F-A0E8-5480DBA446F8}" id="{8901ECA2-84E1-464E-B05D-FE4DE7BD05BD}">
    <text xml:space="preserve">The audio bit muffled but halfway I think he was speaking Malay?? LOL sorry I don’t know.. Malay.. </text>
  </threadedComment>
  <threadedComment ref="D27" dT="2024-04-19T06:42:56.02" personId="{514B906D-3861-A94F-A0E8-5480DBA446F8}" id="{3127F3F2-334B-E94F-A654-3FB9EB906396}">
    <text>Numbers r right when the arrow appeared (recording continued after the arrow apeared)</text>
  </threadedComment>
  <threadedComment ref="D57" dT="2024-04-25T02:57:54.72" personId="{514B906D-3861-A94F-A0E8-5480DBA446F8}" id="{81372EA1-07BC-AC4C-A0FA-593B46D6CB4E}">
    <text xml:space="preserve">Does monkey count LOL </text>
  </threadedComment>
  <threadedComment ref="D66" dT="2024-04-26T09:55:13.27" personId="{514B906D-3861-A94F-A0E8-5480DBA446F8}" id="{10B2D5F8-22F6-9946-80EA-89D76CDC9A7D}">
    <text>Included drinks.. if not A would be 10 (2 times she said drinks without ringing the bell)</text>
  </threadedComment>
  <threadedComment ref="D75" dT="2024-04-28T02:42:38.79" personId="{514B906D-3861-A94F-A0E8-5480DBA446F8}" id="{56712FCF-3210-5A4D-A12F-C50B94A6336F}">
    <text xml:space="preserve">No recording
</text>
  </threadedComment>
  <threadedComment ref="D75" dT="2024-05-01T12:18:44.89" personId="{514B906D-3861-A94F-A0E8-5480DBA446F8}" id="{D7B71C0D-FAD1-2B43-9B4F-4065E9C8D7CD}" parentId="{56712FCF-3210-5A4D-A12F-C50B94A6336F}">
    <text>Recording is labelled as 910784 I think</text>
  </threadedComment>
  <threadedComment ref="D86" dT="2024-04-28T06:00:18.09" personId="{514B906D-3861-A94F-A0E8-5480DBA446F8}" id="{35B68939-B221-114A-91B3-A95569ED0BF7}">
    <text xml:space="preserve">Said tiger in korean twice??
</text>
  </threadedComment>
  <threadedComment ref="D86" dT="2024-04-28T06:02:36.34" personId="{514B906D-3861-A94F-A0E8-5480DBA446F8}" id="{5A464839-01F4-3F4B-96C2-E5146CBC6065}" parentId="{35B68939-B221-114A-91B3-A95569ED0BF7}">
    <text>“Competitor of lion” &amp; rang the bell - not sure whether it counts as both or just him ringing the bell</text>
  </threadedComment>
  <threadedComment ref="D88" dT="2024-04-28T06:14:49.90" personId="{514B906D-3861-A94F-A0E8-5480DBA446F8}" id="{27E4AAFD-5804-984A-8D4F-F49FBB057548}">
    <text xml:space="preserve">Said “what should I eat 3 times” and rang the bell &gt; classified as just ring bell only </text>
  </threadedComment>
  <threadedComment ref="D106" dT="2024-05-01T08:31:15.78" personId="{514B906D-3861-A94F-A0E8-5480DBA446F8}" id="{49ED8D92-BF38-3F49-8E7A-E0DC607347BB}">
    <text>Counted tigeress (female tiger?) as part of the ‘both’</text>
  </threadedComment>
  <threadedComment ref="D106" dT="2024-05-01T08:31:22.14" personId="{514B906D-3861-A94F-A0E8-5480DBA446F8}" id="{061692E4-4078-5D42-863E-A2BF3FC8E1D8}" parentId="{49ED8D92-BF38-3F49-8E7A-E0DC607347BB}">
    <text>once</text>
  </threadedComment>
  <threadedComment ref="D114" dT="2024-05-01T10:15:26.77" personId="{514B906D-3861-A94F-A0E8-5480DBA446F8}" id="{9963D1BF-C727-4944-B935-FA35402B44AE}">
    <text>Walao this one I really cannot hear she’s MUMBLING</text>
  </threadedComment>
  <threadedComment ref="D116" dT="2024-05-01T11:56:13.09" personId="{514B906D-3861-A94F-A0E8-5480DBA446F8}" id="{046B01B4-EC35-1246-894B-C30886446835}">
    <text>4 times she said parasite but seems like she thought of it as a disease?</text>
  </threadedComment>
  <threadedComment ref="D122" dT="2024-05-01T13:35:14.37" personId="{514B906D-3861-A94F-A0E8-5480DBA446F8}" id="{016D03C4-13C7-844B-8B9A-CFAD2BFEE6D1}">
    <text>Honestly I think I hallucinating the bell sounds already</text>
  </threadedComment>
  <threadedComment ref="D123" dT="2024-05-01T13:35:20.54" personId="{514B906D-3861-A94F-A0E8-5480DBA446F8}" id="{530D4EFE-7C56-264C-BC2E-BDAE840C8822}">
    <text>Same for this omg idk</text>
  </threadedComment>
  <threadedComment ref="D125" dT="2024-05-01T13:47:30.83" personId="{514B906D-3861-A94F-A0E8-5480DBA446F8}" id="{6C22AF3E-921A-C34E-8CDF-44CDFE81526D}">
    <text>Said macdonald twice - does that count as food?</text>
  </threadedComment>
  <threadedComment ref="D125" dT="2024-05-01T13:47:36.94" personId="{514B906D-3861-A94F-A0E8-5480DBA446F8}" id="{AA017060-919F-AB40-9D3F-6D3DFAA52DEC}" parentId="{6C22AF3E-921A-C34E-8CDF-44CDFE81526D}">
    <text>Without ringing the bell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E1D-CA4A-FD4D-902C-8E0866E4A207}">
  <dimension ref="A1:AI126"/>
  <sheetViews>
    <sheetView zoomScaleNormal="100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defaultColWidth="8.81640625" defaultRowHeight="15.5" x14ac:dyDescent="0.35"/>
  <cols>
    <col min="1" max="1" width="56.36328125" style="60" customWidth="1"/>
    <col min="2" max="2" width="13.1796875" hidden="1" customWidth="1"/>
    <col min="3" max="3" width="5.453125" customWidth="1"/>
    <col min="4" max="4" width="11.453125" style="47" customWidth="1"/>
    <col min="5" max="5" width="11.453125" style="17" customWidth="1"/>
    <col min="6" max="6" width="15" style="17" customWidth="1"/>
    <col min="7" max="7" width="19.6328125" style="16" customWidth="1"/>
    <col min="8" max="8" width="19.453125" style="16" customWidth="1"/>
    <col min="9" max="9" width="18.453125" style="16" customWidth="1"/>
    <col min="10" max="10" width="20.453125" style="16" hidden="1" customWidth="1"/>
    <col min="11" max="11" width="21.1796875" style="16" hidden="1" customWidth="1"/>
    <col min="12" max="12" width="20.453125" style="16" hidden="1" customWidth="1"/>
    <col min="13" max="13" width="21.1796875" style="16" hidden="1" customWidth="1"/>
    <col min="14" max="14" width="20.179687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453125" style="17" customWidth="1"/>
    <col min="19" max="19" width="21.6328125" style="17" customWidth="1"/>
    <col min="20" max="25" width="21.81640625" style="17" hidden="1" customWidth="1"/>
    <col min="26" max="26" width="27.453125" style="17" hidden="1" customWidth="1"/>
    <col min="27" max="28" width="20.81640625" style="19" customWidth="1"/>
    <col min="29" max="29" width="14.36328125" style="21" customWidth="1"/>
    <col min="30" max="30" width="13.453125" style="21" hidden="1" customWidth="1"/>
    <col min="31" max="31" width="12.453125" style="21" hidden="1" customWidth="1"/>
    <col min="32" max="34" width="8.81640625" style="20"/>
    <col min="35" max="35" width="14.1796875" style="20" customWidth="1"/>
  </cols>
  <sheetData>
    <row r="1" spans="1:35" x14ac:dyDescent="0.35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47" t="s">
        <v>23</v>
      </c>
      <c r="B2" s="48"/>
      <c r="C2" s="66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35">
      <c r="A3" s="47" t="s">
        <v>22</v>
      </c>
      <c r="B3" s="48"/>
      <c r="C3" s="67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35">
      <c r="A4" s="47" t="s">
        <v>7</v>
      </c>
      <c r="B4" s="48"/>
      <c r="C4" s="67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35">
      <c r="A5" s="47" t="s">
        <v>52</v>
      </c>
      <c r="B5" s="48"/>
      <c r="C5" s="68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35">
      <c r="A6" s="53" t="s">
        <v>25</v>
      </c>
      <c r="B6" s="48"/>
      <c r="C6" s="69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35">
      <c r="A7" s="10" t="s">
        <v>18</v>
      </c>
      <c r="B7" s="25"/>
      <c r="C7" s="69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35">
      <c r="A8" s="14" t="s">
        <v>24</v>
      </c>
      <c r="B8" s="26"/>
      <c r="C8" s="69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35">
      <c r="A9" s="55" t="s">
        <v>13</v>
      </c>
      <c r="B9" s="48"/>
      <c r="C9" s="69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/>
      <c r="K9" s="53"/>
      <c r="L9" s="53"/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35">
      <c r="A10" s="55" t="s">
        <v>14</v>
      </c>
      <c r="B10" s="48"/>
      <c r="C10" s="69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35">
      <c r="A11" s="11" t="s">
        <v>15</v>
      </c>
      <c r="C11" s="69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35">
      <c r="A12" s="11" t="s">
        <v>12</v>
      </c>
      <c r="C12" s="69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35">
      <c r="A13" s="11" t="s">
        <v>21</v>
      </c>
      <c r="C13" s="69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35">
      <c r="A14"/>
      <c r="C14" s="69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35">
      <c r="A15" s="11" t="s">
        <v>56</v>
      </c>
      <c r="C15" s="69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35">
      <c r="A16" s="11" t="s">
        <v>57</v>
      </c>
      <c r="C16" s="69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35">
      <c r="C17" s="69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35">
      <c r="A18" s="60">
        <f>ROWS(D6:D126)</f>
        <v>121</v>
      </c>
      <c r="C18" s="69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35">
      <c r="C19" s="69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35">
      <c r="C20" s="69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35">
      <c r="C21" s="69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62">
        <v>0</v>
      </c>
      <c r="AB21" s="62">
        <v>2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35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35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35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35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35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35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35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35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35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35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35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35">
      <c r="D33" s="61">
        <v>315045</v>
      </c>
      <c r="E33" s="17">
        <v>1</v>
      </c>
      <c r="F33" s="17">
        <v>3</v>
      </c>
      <c r="AA33" s="19">
        <v>10</v>
      </c>
      <c r="AB33" s="19">
        <v>20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35">
      <c r="D34" s="47">
        <v>326586</v>
      </c>
      <c r="E34" s="17">
        <v>1</v>
      </c>
      <c r="F34" s="17">
        <v>2</v>
      </c>
      <c r="G34" s="16">
        <v>0</v>
      </c>
      <c r="H34" s="16">
        <v>2</v>
      </c>
      <c r="I34" s="16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35">
      <c r="D35" s="47">
        <v>330133</v>
      </c>
      <c r="E35" s="17">
        <v>2</v>
      </c>
      <c r="F35" s="17">
        <v>3</v>
      </c>
      <c r="Q35" s="17">
        <v>15</v>
      </c>
      <c r="R35" s="17">
        <v>7</v>
      </c>
      <c r="S35" s="17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35">
      <c r="D36" s="47">
        <v>341963</v>
      </c>
      <c r="E36" s="17">
        <v>2</v>
      </c>
      <c r="F36" s="17">
        <v>4</v>
      </c>
      <c r="Q36" s="17">
        <v>4</v>
      </c>
      <c r="R36" s="17">
        <v>1</v>
      </c>
      <c r="S36" s="17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35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35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AA38" s="19">
        <v>0</v>
      </c>
      <c r="AB38" s="19">
        <v>10</v>
      </c>
      <c r="AC38" s="21">
        <v>0</v>
      </c>
      <c r="AF38" s="63">
        <v>1</v>
      </c>
      <c r="AG38" s="20">
        <v>20</v>
      </c>
      <c r="AH38" s="20">
        <v>1</v>
      </c>
      <c r="AI38" s="20">
        <v>1</v>
      </c>
    </row>
    <row r="39" spans="4:35" x14ac:dyDescent="0.35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35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T40" s="17">
        <v>0</v>
      </c>
      <c r="U40" s="17">
        <v>14</v>
      </c>
      <c r="V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35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35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35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1</v>
      </c>
      <c r="U43" s="17">
        <v>6</v>
      </c>
      <c r="V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35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0</v>
      </c>
      <c r="U44" s="17">
        <v>3</v>
      </c>
      <c r="V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35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35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0</v>
      </c>
      <c r="V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35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35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6</v>
      </c>
      <c r="V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35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5</v>
      </c>
      <c r="U49" s="17">
        <v>1</v>
      </c>
      <c r="V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35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35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0</v>
      </c>
      <c r="U51" s="17">
        <v>3</v>
      </c>
      <c r="V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35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4</v>
      </c>
      <c r="V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35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35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2</v>
      </c>
      <c r="U54" s="17">
        <v>7</v>
      </c>
      <c r="V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35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35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2</v>
      </c>
      <c r="U56" s="17">
        <v>0</v>
      </c>
      <c r="V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35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T57" s="17">
        <v>0</v>
      </c>
      <c r="U57" s="17">
        <v>44</v>
      </c>
      <c r="V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35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1</v>
      </c>
      <c r="V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35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35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35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8</v>
      </c>
      <c r="V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35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4</v>
      </c>
      <c r="V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35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AA63" s="19">
        <v>0</v>
      </c>
      <c r="AB63" s="19">
        <v>70</v>
      </c>
      <c r="AC63" s="21">
        <v>0</v>
      </c>
      <c r="AF63" s="20">
        <v>2</v>
      </c>
      <c r="AG63" s="63">
        <v>21</v>
      </c>
      <c r="AH63" s="20">
        <v>2</v>
      </c>
      <c r="AI63" s="20">
        <v>1</v>
      </c>
    </row>
    <row r="64" spans="4:35" x14ac:dyDescent="0.35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35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35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63">
        <v>21</v>
      </c>
      <c r="AH66" s="20">
        <v>1</v>
      </c>
      <c r="AI66" s="20">
        <v>1</v>
      </c>
    </row>
    <row r="67" spans="4:35" x14ac:dyDescent="0.35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35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35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35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35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0</v>
      </c>
      <c r="U71" s="17">
        <v>3</v>
      </c>
      <c r="V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35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35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0</v>
      </c>
      <c r="U73" s="17">
        <v>7</v>
      </c>
      <c r="V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35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35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35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1</v>
      </c>
      <c r="U76" s="17">
        <v>2</v>
      </c>
      <c r="V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35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35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35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35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1</v>
      </c>
      <c r="U80" s="17">
        <v>2</v>
      </c>
      <c r="V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35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35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35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35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35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4</v>
      </c>
      <c r="V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35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35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0</v>
      </c>
      <c r="U87" s="17">
        <v>5</v>
      </c>
      <c r="V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35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0</v>
      </c>
      <c r="U88" s="17">
        <v>5</v>
      </c>
      <c r="V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35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35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62">
        <v>5</v>
      </c>
      <c r="AB90" s="19">
        <v>70</v>
      </c>
      <c r="AC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x14ac:dyDescent="0.35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35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35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2</v>
      </c>
      <c r="V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35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T94" s="17">
        <v>0</v>
      </c>
      <c r="U94" s="17">
        <v>3</v>
      </c>
      <c r="V94" s="17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35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AA95" s="19">
        <v>0</v>
      </c>
      <c r="AB95" s="19">
        <v>90</v>
      </c>
      <c r="AC95" s="21">
        <v>0</v>
      </c>
      <c r="AF95" s="63">
        <v>1</v>
      </c>
      <c r="AG95" s="20">
        <v>22</v>
      </c>
      <c r="AH95" s="20">
        <v>1</v>
      </c>
      <c r="AI95" s="20">
        <v>1</v>
      </c>
    </row>
    <row r="96" spans="4:35" x14ac:dyDescent="0.35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35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35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AA98" s="19">
        <v>10</v>
      </c>
      <c r="AB98" s="19">
        <v>95</v>
      </c>
      <c r="AC98" s="21">
        <v>0</v>
      </c>
      <c r="AF98" s="63">
        <v>1</v>
      </c>
      <c r="AG98" s="20">
        <v>22</v>
      </c>
      <c r="AH98" s="20">
        <v>1</v>
      </c>
      <c r="AI98" s="20">
        <v>1</v>
      </c>
    </row>
    <row r="99" spans="4:35" x14ac:dyDescent="0.35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35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35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6</v>
      </c>
      <c r="V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35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35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35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0</v>
      </c>
      <c r="U104" s="17">
        <v>2</v>
      </c>
      <c r="V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35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35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35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35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11</v>
      </c>
      <c r="V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35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3</v>
      </c>
      <c r="U109" s="17">
        <v>4</v>
      </c>
      <c r="V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35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35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35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35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35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35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35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35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35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35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1</v>
      </c>
      <c r="U119" s="17">
        <v>3</v>
      </c>
      <c r="V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35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35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35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35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1</v>
      </c>
      <c r="V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35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9</v>
      </c>
      <c r="U124" s="17">
        <v>0</v>
      </c>
      <c r="V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35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0</v>
      </c>
      <c r="U125" s="17">
        <v>1</v>
      </c>
      <c r="V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35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79E-E509-5C40-B292-0925A341EE2E}">
  <dimension ref="A1:AI126"/>
  <sheetViews>
    <sheetView zoomScale="106" zoomScaleNormal="78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defaultColWidth="8.81640625" defaultRowHeight="14.5" x14ac:dyDescent="0.35"/>
  <cols>
    <col min="1" max="1" width="118.6328125" bestFit="1" customWidth="1"/>
    <col min="2" max="2" width="8.453125" customWidth="1"/>
    <col min="3" max="3" width="4.6328125" bestFit="1" customWidth="1"/>
    <col min="4" max="4" width="11.81640625" style="17" bestFit="1" customWidth="1"/>
    <col min="5" max="5" width="9.36328125" style="17" bestFit="1" customWidth="1"/>
    <col min="6" max="6" width="10.6328125" style="17" bestFit="1" customWidth="1"/>
    <col min="7" max="9" width="16.36328125" style="16" hidden="1" customWidth="1"/>
    <col min="10" max="12" width="16.36328125" style="16" bestFit="1" customWidth="1"/>
    <col min="13" max="14" width="14.1796875" style="16" hidden="1" customWidth="1"/>
    <col min="15" max="15" width="14" style="16" hidden="1" customWidth="1"/>
    <col min="16" max="16" width="22.81640625" style="16" hidden="1" customWidth="1"/>
    <col min="17" max="19" width="16.36328125" style="17" hidden="1" customWidth="1"/>
    <col min="20" max="22" width="16.36328125" style="17" bestFit="1" customWidth="1"/>
    <col min="23" max="24" width="14.1796875" style="17" hidden="1" customWidth="1"/>
    <col min="25" max="25" width="14" style="17" hidden="1" customWidth="1"/>
    <col min="26" max="26" width="20" style="17" hidden="1" customWidth="1"/>
    <col min="27" max="28" width="17.6328125" style="19" bestFit="1" customWidth="1"/>
    <col min="29" max="30" width="12.453125" style="21" bestFit="1" customWidth="1"/>
    <col min="31" max="31" width="10.1796875" style="21" bestFit="1" customWidth="1"/>
    <col min="32" max="32" width="12" style="20" bestFit="1" customWidth="1"/>
    <col min="33" max="33" width="4.1796875" style="20" bestFit="1" customWidth="1"/>
    <col min="34" max="34" width="9.1796875" style="20" bestFit="1" customWidth="1"/>
    <col min="35" max="35" width="12.81640625" style="20" bestFit="1" customWidth="1"/>
  </cols>
  <sheetData>
    <row r="1" spans="1:35" ht="15.5" x14ac:dyDescent="0.3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7" t="s">
        <v>23</v>
      </c>
      <c r="B2" s="24"/>
      <c r="C2" s="66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5.5" x14ac:dyDescent="0.35">
      <c r="A3" s="7" t="s">
        <v>22</v>
      </c>
      <c r="B3" s="24"/>
      <c r="C3" s="67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5" x14ac:dyDescent="0.35">
      <c r="A4" s="7" t="s">
        <v>7</v>
      </c>
      <c r="B4" s="24"/>
      <c r="C4" s="67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5.5" x14ac:dyDescent="0.35">
      <c r="A5" s="7" t="s">
        <v>52</v>
      </c>
      <c r="B5" s="24"/>
      <c r="C5" s="68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5" x14ac:dyDescent="0.35">
      <c r="A6" s="12" t="s">
        <v>25</v>
      </c>
      <c r="B6" s="24"/>
      <c r="C6" s="69" t="s">
        <v>51</v>
      </c>
      <c r="D6" s="44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5.5" x14ac:dyDescent="0.35">
      <c r="A7" s="10" t="s">
        <v>18</v>
      </c>
      <c r="B7" s="25"/>
      <c r="C7" s="69"/>
      <c r="D7" s="44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63">
        <v>1</v>
      </c>
      <c r="AG7" s="20">
        <v>19</v>
      </c>
      <c r="AH7" s="20">
        <v>1</v>
      </c>
      <c r="AI7" s="20">
        <v>1</v>
      </c>
    </row>
    <row r="8" spans="1:35" ht="15.5" x14ac:dyDescent="0.35">
      <c r="A8" s="14" t="s">
        <v>24</v>
      </c>
      <c r="B8" s="26"/>
      <c r="C8" s="69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5.5" x14ac:dyDescent="0.35">
      <c r="A9" s="9" t="s">
        <v>13</v>
      </c>
      <c r="B9" s="24"/>
      <c r="C9" s="69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5.5" x14ac:dyDescent="0.35">
      <c r="A10" s="9" t="s">
        <v>14</v>
      </c>
      <c r="B10" s="24"/>
      <c r="C10" s="69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5.5" x14ac:dyDescent="0.35">
      <c r="A11" s="11" t="s">
        <v>15</v>
      </c>
      <c r="C11" s="69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5.5" x14ac:dyDescent="0.35">
      <c r="A12" s="11" t="s">
        <v>12</v>
      </c>
      <c r="C12" s="69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5.5" x14ac:dyDescent="0.35">
      <c r="A13" s="11" t="s">
        <v>21</v>
      </c>
      <c r="C13" s="69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5" x14ac:dyDescent="0.35">
      <c r="C14" s="69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5.5" x14ac:dyDescent="0.35">
      <c r="C15" s="69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63">
        <v>1</v>
      </c>
      <c r="AG15" s="20">
        <v>19</v>
      </c>
      <c r="AH15" s="20">
        <v>1</v>
      </c>
      <c r="AI15" s="20">
        <v>1</v>
      </c>
    </row>
    <row r="16" spans="1:35" ht="15.5" x14ac:dyDescent="0.35">
      <c r="C16" s="69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5.5" x14ac:dyDescent="0.35">
      <c r="C17" s="69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5.5" x14ac:dyDescent="0.35">
      <c r="C18" s="69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63">
        <v>1</v>
      </c>
      <c r="AG18" s="20">
        <v>23</v>
      </c>
      <c r="AH18" s="20">
        <v>1</v>
      </c>
      <c r="AI18" s="20">
        <v>2</v>
      </c>
    </row>
    <row r="19" spans="3:35" ht="15.5" x14ac:dyDescent="0.35">
      <c r="C19" s="69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5.5" x14ac:dyDescent="0.35">
      <c r="C20" s="69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5.5" x14ac:dyDescent="0.35">
      <c r="C21" s="69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5.5" x14ac:dyDescent="0.35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5.5" x14ac:dyDescent="0.35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5.5" x14ac:dyDescent="0.35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5.5" x14ac:dyDescent="0.35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5.5" x14ac:dyDescent="0.35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5.5" x14ac:dyDescent="0.35">
      <c r="D27" s="42">
        <v>256240</v>
      </c>
      <c r="E27" s="17">
        <v>2</v>
      </c>
      <c r="F27" s="17">
        <v>3</v>
      </c>
      <c r="J27" s="16">
        <v>7</v>
      </c>
      <c r="K27" s="16">
        <v>20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5.5" x14ac:dyDescent="0.35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5.5" x14ac:dyDescent="0.35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5.5" x14ac:dyDescent="0.35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5.5" x14ac:dyDescent="0.35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5.5" x14ac:dyDescent="0.35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1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5.5" x14ac:dyDescent="0.35">
      <c r="D33" s="43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5.5" x14ac:dyDescent="0.35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5.5" x14ac:dyDescent="0.35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5.5" x14ac:dyDescent="0.35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5.5" x14ac:dyDescent="0.35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5.5" x14ac:dyDescent="0.35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5.5" x14ac:dyDescent="0.35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5.5" x14ac:dyDescent="0.35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5.5" x14ac:dyDescent="0.35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5.5" x14ac:dyDescent="0.35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5.5" x14ac:dyDescent="0.35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5.5" x14ac:dyDescent="0.35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5.5" x14ac:dyDescent="0.35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63">
        <v>2</v>
      </c>
      <c r="AG45" s="20">
        <v>18</v>
      </c>
      <c r="AH45" s="20">
        <v>1</v>
      </c>
      <c r="AI45" s="20">
        <v>1</v>
      </c>
    </row>
    <row r="46" spans="4:35" ht="15.5" x14ac:dyDescent="0.35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5.5" x14ac:dyDescent="0.35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5.5" x14ac:dyDescent="0.35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5.5" x14ac:dyDescent="0.35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5.5" x14ac:dyDescent="0.35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5.5" x14ac:dyDescent="0.35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5.5" x14ac:dyDescent="0.35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5.5" x14ac:dyDescent="0.35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5.5" x14ac:dyDescent="0.35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5.5" x14ac:dyDescent="0.35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5.5" x14ac:dyDescent="0.35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5.5" x14ac:dyDescent="0.35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5.5" x14ac:dyDescent="0.35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5.5" x14ac:dyDescent="0.35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5.5" x14ac:dyDescent="0.35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5.5" x14ac:dyDescent="0.35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5.5" x14ac:dyDescent="0.35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5.5" x14ac:dyDescent="0.35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63">
        <v>2</v>
      </c>
      <c r="AG63" s="20">
        <v>21</v>
      </c>
      <c r="AH63" s="20">
        <v>2</v>
      </c>
      <c r="AI63" s="20">
        <v>1</v>
      </c>
    </row>
    <row r="64" spans="4:35" ht="15.5" x14ac:dyDescent="0.35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5.5" x14ac:dyDescent="0.35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5.5" x14ac:dyDescent="0.35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5.5" x14ac:dyDescent="0.35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5.5" x14ac:dyDescent="0.35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5.5" x14ac:dyDescent="0.35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5.5" x14ac:dyDescent="0.35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63">
        <v>2</v>
      </c>
      <c r="AG70" s="20">
        <v>20</v>
      </c>
      <c r="AH70" s="20">
        <v>1</v>
      </c>
      <c r="AI70" s="20">
        <v>1</v>
      </c>
    </row>
    <row r="71" spans="4:35" ht="15.5" x14ac:dyDescent="0.35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5.5" x14ac:dyDescent="0.35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5.5" x14ac:dyDescent="0.35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5.5" x14ac:dyDescent="0.35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5.5" x14ac:dyDescent="0.35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5.5" x14ac:dyDescent="0.35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5.5" x14ac:dyDescent="0.35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5.5" x14ac:dyDescent="0.35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5.5" x14ac:dyDescent="0.35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5.5" x14ac:dyDescent="0.35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5.5" x14ac:dyDescent="0.35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5.5" x14ac:dyDescent="0.35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5.5" x14ac:dyDescent="0.35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5.5" x14ac:dyDescent="0.35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5.5" x14ac:dyDescent="0.35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5.5" x14ac:dyDescent="0.35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5.5" x14ac:dyDescent="0.35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5.5" x14ac:dyDescent="0.35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5.5" x14ac:dyDescent="0.35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5.5" x14ac:dyDescent="0.35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ht="15.5" x14ac:dyDescent="0.35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5.5" x14ac:dyDescent="0.35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5.5" x14ac:dyDescent="0.35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5.5" x14ac:dyDescent="0.35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5.5" x14ac:dyDescent="0.35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5.5" x14ac:dyDescent="0.35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5.5" x14ac:dyDescent="0.35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5.5" x14ac:dyDescent="0.35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5.5" x14ac:dyDescent="0.35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5.5" x14ac:dyDescent="0.35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5.5" x14ac:dyDescent="0.35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5.5" x14ac:dyDescent="0.35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5.5" x14ac:dyDescent="0.35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5.5" x14ac:dyDescent="0.35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5.5" x14ac:dyDescent="0.35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5.5" x14ac:dyDescent="0.35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5.5" x14ac:dyDescent="0.35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5.5" x14ac:dyDescent="0.35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63">
        <v>1</v>
      </c>
      <c r="AG108" s="20">
        <v>21</v>
      </c>
      <c r="AH108" s="20">
        <v>2</v>
      </c>
      <c r="AI108" s="63">
        <v>1</v>
      </c>
    </row>
    <row r="109" spans="4:35" ht="15.5" x14ac:dyDescent="0.35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5.5" x14ac:dyDescent="0.35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5.5" x14ac:dyDescent="0.35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5.5" x14ac:dyDescent="0.35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5.5" x14ac:dyDescent="0.35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5.5" x14ac:dyDescent="0.35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5.5" x14ac:dyDescent="0.35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5.5" x14ac:dyDescent="0.35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5.5" x14ac:dyDescent="0.35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5.5" x14ac:dyDescent="0.35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5.5" x14ac:dyDescent="0.35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5.5" x14ac:dyDescent="0.35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5.5" x14ac:dyDescent="0.35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5.5" x14ac:dyDescent="0.35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5.5" x14ac:dyDescent="0.35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5.5" x14ac:dyDescent="0.35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5.5" x14ac:dyDescent="0.35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5.5" x14ac:dyDescent="0.35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D6A-9CD5-D244-B46E-5625D98AC120}">
  <dimension ref="A1:AI122"/>
  <sheetViews>
    <sheetView tabSelected="1" workbookViewId="0"/>
  </sheetViews>
  <sheetFormatPr defaultColWidth="10.90625" defaultRowHeight="15.5" x14ac:dyDescent="0.35"/>
  <cols>
    <col min="1" max="4" width="11.453125" style="64" customWidth="1"/>
    <col min="5" max="5" width="9.36328125" style="65" bestFit="1" customWidth="1"/>
    <col min="6" max="6" width="10.6328125" style="65" bestFit="1" customWidth="1"/>
    <col min="7" max="8" width="16.36328125" style="65" customWidth="1"/>
    <col min="9" max="9" width="15.81640625" style="65" bestFit="1" customWidth="1"/>
    <col min="10" max="12" width="16.36328125" style="65" bestFit="1" customWidth="1"/>
    <col min="13" max="14" width="14.1796875" style="65" customWidth="1"/>
    <col min="15" max="15" width="14" style="65" customWidth="1"/>
    <col min="16" max="16" width="22.81640625" style="65" customWidth="1"/>
    <col min="17" max="19" width="16.36328125" style="65" customWidth="1"/>
    <col min="20" max="22" width="16.36328125" style="65" bestFit="1" customWidth="1"/>
    <col min="23" max="24" width="14.1796875" style="65" bestFit="1" customWidth="1"/>
    <col min="25" max="25" width="14" style="65" bestFit="1" customWidth="1"/>
    <col min="26" max="26" width="20" style="65" bestFit="1" customWidth="1"/>
    <col min="27" max="28" width="17.6328125" style="65" bestFit="1" customWidth="1"/>
    <col min="29" max="30" width="12.453125" style="65" bestFit="1" customWidth="1"/>
    <col min="31" max="31" width="10.1796875" style="65" bestFit="1" customWidth="1"/>
    <col min="32" max="32" width="12" style="65" bestFit="1" customWidth="1"/>
    <col min="33" max="33" width="8.54296875" style="65" customWidth="1"/>
    <col min="34" max="34" width="9.1796875" style="65" bestFit="1" customWidth="1"/>
    <col min="35" max="35" width="12.81640625" style="65" bestFit="1" customWidth="1"/>
    <col min="36" max="16384" width="10.90625" style="65"/>
  </cols>
  <sheetData>
    <row r="1" spans="1:35" customFormat="1" x14ac:dyDescent="0.35">
      <c r="A1" s="72" t="s">
        <v>29</v>
      </c>
      <c r="B1" s="74" t="s">
        <v>65</v>
      </c>
      <c r="C1" s="74" t="s">
        <v>66</v>
      </c>
      <c r="D1" s="74" t="s">
        <v>67</v>
      </c>
      <c r="E1" s="73" t="s">
        <v>6</v>
      </c>
      <c r="F1" s="73" t="s">
        <v>30</v>
      </c>
      <c r="G1" s="73" t="s">
        <v>49</v>
      </c>
      <c r="H1" s="73" t="s">
        <v>31</v>
      </c>
      <c r="I1" s="73" t="s">
        <v>32</v>
      </c>
      <c r="J1" s="73" t="s">
        <v>33</v>
      </c>
      <c r="K1" s="73" t="s">
        <v>34</v>
      </c>
      <c r="L1" s="73" t="s">
        <v>35</v>
      </c>
      <c r="M1" s="73" t="s">
        <v>36</v>
      </c>
      <c r="N1" s="73" t="s">
        <v>37</v>
      </c>
      <c r="O1" s="73" t="s">
        <v>38</v>
      </c>
      <c r="P1" s="73" t="s">
        <v>39</v>
      </c>
      <c r="Q1" s="73" t="s">
        <v>40</v>
      </c>
      <c r="R1" s="73" t="s">
        <v>41</v>
      </c>
      <c r="S1" s="73" t="s">
        <v>42</v>
      </c>
      <c r="T1" s="73" t="s">
        <v>43</v>
      </c>
      <c r="U1" s="73" t="s">
        <v>44</v>
      </c>
      <c r="V1" s="73" t="s">
        <v>45</v>
      </c>
      <c r="W1" s="73" t="s">
        <v>46</v>
      </c>
      <c r="X1" s="73" t="s">
        <v>47</v>
      </c>
      <c r="Y1" s="73" t="s">
        <v>48</v>
      </c>
      <c r="Z1" s="73" t="s">
        <v>28</v>
      </c>
      <c r="AA1" s="73" t="s">
        <v>26</v>
      </c>
      <c r="AB1" s="73" t="s">
        <v>27</v>
      </c>
      <c r="AC1" s="72" t="s">
        <v>16</v>
      </c>
      <c r="AD1" s="72" t="s">
        <v>17</v>
      </c>
      <c r="AE1" s="72" t="s">
        <v>19</v>
      </c>
      <c r="AF1" s="70" t="s">
        <v>9</v>
      </c>
      <c r="AG1" s="70" t="s">
        <v>10</v>
      </c>
      <c r="AH1" s="70" t="s">
        <v>11</v>
      </c>
      <c r="AI1" s="70" t="s">
        <v>20</v>
      </c>
    </row>
    <row r="2" spans="1:35" customFormat="1" ht="16" customHeight="1" x14ac:dyDescent="0.35">
      <c r="A2" s="71">
        <v>100161</v>
      </c>
      <c r="B2" s="74" t="s">
        <v>62</v>
      </c>
      <c r="C2" s="75" t="s">
        <v>63</v>
      </c>
      <c r="D2" s="74" t="s">
        <v>64</v>
      </c>
      <c r="E2" s="72">
        <v>1</v>
      </c>
      <c r="F2" s="72">
        <v>1</v>
      </c>
      <c r="G2" s="72" t="s">
        <v>58</v>
      </c>
      <c r="H2" s="72" t="s">
        <v>58</v>
      </c>
      <c r="I2" s="72" t="s">
        <v>58</v>
      </c>
      <c r="J2" s="72" t="s">
        <v>58</v>
      </c>
      <c r="K2" s="72" t="s">
        <v>58</v>
      </c>
      <c r="L2" s="72" t="s">
        <v>58</v>
      </c>
      <c r="M2" s="72" t="s">
        <v>58</v>
      </c>
      <c r="N2" s="72" t="s">
        <v>58</v>
      </c>
      <c r="O2" s="72" t="s">
        <v>58</v>
      </c>
      <c r="P2" s="72" t="s">
        <v>58</v>
      </c>
      <c r="Q2" s="72">
        <v>0</v>
      </c>
      <c r="R2" s="72">
        <v>0</v>
      </c>
      <c r="S2" s="72">
        <v>0</v>
      </c>
      <c r="T2" s="72">
        <v>0</v>
      </c>
      <c r="U2" s="72">
        <v>0</v>
      </c>
      <c r="V2" s="72">
        <v>0</v>
      </c>
      <c r="W2" s="72">
        <v>0</v>
      </c>
      <c r="X2" s="72">
        <v>0</v>
      </c>
      <c r="Y2" s="72">
        <v>0</v>
      </c>
      <c r="Z2" s="72">
        <f>SUM(W2:Y2)</f>
        <v>0</v>
      </c>
      <c r="AA2" s="72">
        <v>0</v>
      </c>
      <c r="AB2" s="72">
        <v>1</v>
      </c>
      <c r="AC2" s="72">
        <v>0</v>
      </c>
      <c r="AD2" s="72">
        <v>0</v>
      </c>
      <c r="AE2" s="72">
        <v>0</v>
      </c>
      <c r="AF2" s="70">
        <v>2</v>
      </c>
      <c r="AG2" s="70">
        <v>20</v>
      </c>
      <c r="AH2" s="70">
        <v>1</v>
      </c>
      <c r="AI2" s="70">
        <v>1</v>
      </c>
    </row>
    <row r="3" spans="1:35" customFormat="1" x14ac:dyDescent="0.35">
      <c r="A3" s="71">
        <v>104496</v>
      </c>
      <c r="B3" s="74" t="s">
        <v>62</v>
      </c>
      <c r="C3" s="75" t="s">
        <v>63</v>
      </c>
      <c r="D3" s="74" t="s">
        <v>64</v>
      </c>
      <c r="E3" s="72">
        <v>1</v>
      </c>
      <c r="F3" s="72">
        <v>2</v>
      </c>
      <c r="G3" s="72" t="s">
        <v>58</v>
      </c>
      <c r="H3" s="72" t="s">
        <v>58</v>
      </c>
      <c r="I3" s="72" t="s">
        <v>58</v>
      </c>
      <c r="J3" s="72" t="s">
        <v>58</v>
      </c>
      <c r="K3" s="72" t="s">
        <v>58</v>
      </c>
      <c r="L3" s="72" t="s">
        <v>58</v>
      </c>
      <c r="M3" s="72" t="s">
        <v>58</v>
      </c>
      <c r="N3" s="72" t="s">
        <v>58</v>
      </c>
      <c r="O3" s="72" t="s">
        <v>58</v>
      </c>
      <c r="P3" s="72" t="s">
        <v>58</v>
      </c>
      <c r="Q3" s="72">
        <v>0</v>
      </c>
      <c r="R3" s="72">
        <v>0</v>
      </c>
      <c r="S3" s="72">
        <v>0</v>
      </c>
      <c r="T3" s="72">
        <v>0</v>
      </c>
      <c r="U3" s="72">
        <v>0</v>
      </c>
      <c r="V3" s="72">
        <v>0</v>
      </c>
      <c r="W3" s="72">
        <v>0</v>
      </c>
      <c r="X3" s="72">
        <v>0</v>
      </c>
      <c r="Y3" s="72">
        <v>0</v>
      </c>
      <c r="Z3" s="72">
        <f>SUM(W3:Y3)</f>
        <v>0</v>
      </c>
      <c r="AA3" s="72">
        <v>0</v>
      </c>
      <c r="AB3" s="72">
        <v>10</v>
      </c>
      <c r="AC3" s="72">
        <v>0</v>
      </c>
      <c r="AD3" s="72">
        <v>0</v>
      </c>
      <c r="AE3" s="72">
        <v>0</v>
      </c>
      <c r="AF3" s="70">
        <v>1</v>
      </c>
      <c r="AG3" s="70">
        <v>19</v>
      </c>
      <c r="AH3" s="70">
        <v>1</v>
      </c>
      <c r="AI3" s="70">
        <v>1</v>
      </c>
    </row>
    <row r="4" spans="1:35" customFormat="1" x14ac:dyDescent="0.35">
      <c r="A4" s="71">
        <v>117872</v>
      </c>
      <c r="B4" s="74" t="s">
        <v>62</v>
      </c>
      <c r="C4" s="75" t="s">
        <v>63</v>
      </c>
      <c r="D4" s="74" t="s">
        <v>64</v>
      </c>
      <c r="E4" s="70">
        <v>2</v>
      </c>
      <c r="F4" s="70">
        <v>2</v>
      </c>
      <c r="G4" s="70">
        <v>20</v>
      </c>
      <c r="H4" s="70">
        <v>7</v>
      </c>
      <c r="I4" s="70">
        <v>14</v>
      </c>
      <c r="J4" s="72">
        <v>24</v>
      </c>
      <c r="K4" s="72">
        <v>5</v>
      </c>
      <c r="L4" s="72">
        <v>12</v>
      </c>
      <c r="M4" s="72">
        <v>24</v>
      </c>
      <c r="N4" s="72">
        <v>5</v>
      </c>
      <c r="O4" s="72">
        <v>12</v>
      </c>
      <c r="P4" s="70">
        <f>SUM(L4:O4)</f>
        <v>53</v>
      </c>
      <c r="Q4" s="70" t="s">
        <v>58</v>
      </c>
      <c r="R4" s="70" t="s">
        <v>58</v>
      </c>
      <c r="S4" s="70" t="s">
        <v>58</v>
      </c>
      <c r="T4" s="70" t="s">
        <v>58</v>
      </c>
      <c r="U4" s="70" t="s">
        <v>58</v>
      </c>
      <c r="V4" s="70" t="s">
        <v>58</v>
      </c>
      <c r="W4" s="70" t="s">
        <v>58</v>
      </c>
      <c r="X4" s="70" t="s">
        <v>58</v>
      </c>
      <c r="Y4" s="70" t="s">
        <v>58</v>
      </c>
      <c r="Z4" s="70" t="s">
        <v>58</v>
      </c>
      <c r="AA4" s="70">
        <v>0</v>
      </c>
      <c r="AB4" s="70">
        <v>60</v>
      </c>
      <c r="AC4" s="70">
        <v>0</v>
      </c>
      <c r="AD4" s="72">
        <v>0</v>
      </c>
      <c r="AE4" s="72">
        <v>0</v>
      </c>
      <c r="AF4" s="70">
        <v>1</v>
      </c>
      <c r="AG4" s="70">
        <v>23</v>
      </c>
      <c r="AH4" s="70">
        <v>2</v>
      </c>
      <c r="AI4" s="70">
        <v>1</v>
      </c>
    </row>
    <row r="5" spans="1:35" customFormat="1" x14ac:dyDescent="0.35">
      <c r="A5" s="71">
        <v>120073</v>
      </c>
      <c r="B5" s="74" t="s">
        <v>62</v>
      </c>
      <c r="C5" s="75" t="s">
        <v>63</v>
      </c>
      <c r="D5" s="74" t="s">
        <v>64</v>
      </c>
      <c r="E5" s="72">
        <v>2</v>
      </c>
      <c r="F5" s="72">
        <v>2</v>
      </c>
      <c r="G5" s="72">
        <v>21</v>
      </c>
      <c r="H5" s="72">
        <v>0</v>
      </c>
      <c r="I5" s="72">
        <v>3</v>
      </c>
      <c r="J5" s="72">
        <v>16</v>
      </c>
      <c r="K5" s="72">
        <v>0</v>
      </c>
      <c r="L5" s="72">
        <v>3</v>
      </c>
      <c r="M5" s="72">
        <v>16</v>
      </c>
      <c r="N5" s="72">
        <v>0</v>
      </c>
      <c r="O5" s="72">
        <v>3</v>
      </c>
      <c r="P5" s="70">
        <f t="shared" ref="P5:P10" si="0">SUM(L5:O5)</f>
        <v>22</v>
      </c>
      <c r="Q5" s="72" t="s">
        <v>58</v>
      </c>
      <c r="R5" s="72" t="s">
        <v>58</v>
      </c>
      <c r="S5" s="72" t="s">
        <v>58</v>
      </c>
      <c r="T5" s="72" t="s">
        <v>58</v>
      </c>
      <c r="U5" s="72" t="s">
        <v>58</v>
      </c>
      <c r="V5" s="72" t="s">
        <v>58</v>
      </c>
      <c r="W5" s="72" t="s">
        <v>58</v>
      </c>
      <c r="X5" s="72" t="s">
        <v>58</v>
      </c>
      <c r="Y5" s="72" t="s">
        <v>58</v>
      </c>
      <c r="Z5" s="72" t="s">
        <v>58</v>
      </c>
      <c r="AA5" s="72">
        <v>0</v>
      </c>
      <c r="AB5" s="72">
        <v>60</v>
      </c>
      <c r="AC5" s="72">
        <v>0</v>
      </c>
      <c r="AD5" s="72">
        <v>0</v>
      </c>
      <c r="AE5" s="72">
        <v>0</v>
      </c>
      <c r="AF5" s="70">
        <v>1</v>
      </c>
      <c r="AG5" s="70">
        <v>20</v>
      </c>
      <c r="AH5" s="70">
        <v>1</v>
      </c>
      <c r="AI5" s="70">
        <v>1</v>
      </c>
    </row>
    <row r="6" spans="1:35" customFormat="1" x14ac:dyDescent="0.35">
      <c r="A6" s="71">
        <v>122535</v>
      </c>
      <c r="B6" s="74" t="s">
        <v>62</v>
      </c>
      <c r="C6" s="75" t="s">
        <v>63</v>
      </c>
      <c r="D6" s="74" t="s">
        <v>64</v>
      </c>
      <c r="E6" s="72">
        <v>1</v>
      </c>
      <c r="F6" s="72">
        <v>1</v>
      </c>
      <c r="G6" s="72" t="s">
        <v>58</v>
      </c>
      <c r="H6" s="72" t="s">
        <v>58</v>
      </c>
      <c r="I6" s="72" t="s">
        <v>58</v>
      </c>
      <c r="J6" s="72" t="s">
        <v>58</v>
      </c>
      <c r="K6" s="72" t="s">
        <v>58</v>
      </c>
      <c r="L6" s="72" t="s">
        <v>58</v>
      </c>
      <c r="M6" s="72" t="s">
        <v>58</v>
      </c>
      <c r="N6" s="72" t="s">
        <v>58</v>
      </c>
      <c r="O6" s="72" t="s">
        <v>58</v>
      </c>
      <c r="P6" s="70" t="s">
        <v>58</v>
      </c>
      <c r="Q6" s="72">
        <v>0</v>
      </c>
      <c r="R6" s="72">
        <v>1</v>
      </c>
      <c r="S6" s="72">
        <v>0</v>
      </c>
      <c r="T6" s="72">
        <v>0</v>
      </c>
      <c r="U6" s="72">
        <v>3</v>
      </c>
      <c r="V6" s="72">
        <v>0</v>
      </c>
      <c r="W6" s="72">
        <v>0</v>
      </c>
      <c r="X6" s="72">
        <v>3</v>
      </c>
      <c r="Y6" s="72">
        <v>0</v>
      </c>
      <c r="Z6" s="72">
        <f>SUM(W6:Y6)</f>
        <v>3</v>
      </c>
      <c r="AA6" s="72">
        <v>0</v>
      </c>
      <c r="AB6" s="72">
        <v>40</v>
      </c>
      <c r="AC6" s="72">
        <v>1</v>
      </c>
      <c r="AD6" s="72">
        <v>1</v>
      </c>
      <c r="AE6" s="72">
        <v>1</v>
      </c>
      <c r="AF6" s="70">
        <v>2</v>
      </c>
      <c r="AG6" s="70">
        <v>22</v>
      </c>
      <c r="AH6" s="70">
        <v>1</v>
      </c>
      <c r="AI6" s="70">
        <v>1</v>
      </c>
    </row>
    <row r="7" spans="1:35" customFormat="1" x14ac:dyDescent="0.35">
      <c r="A7" s="71">
        <v>128377</v>
      </c>
      <c r="B7" s="74" t="s">
        <v>62</v>
      </c>
      <c r="C7" s="75" t="s">
        <v>63</v>
      </c>
      <c r="D7" s="74" t="s">
        <v>64</v>
      </c>
      <c r="E7" s="70">
        <v>2</v>
      </c>
      <c r="F7" s="70">
        <v>1</v>
      </c>
      <c r="G7" s="70">
        <v>23</v>
      </c>
      <c r="H7" s="70">
        <v>7</v>
      </c>
      <c r="I7" s="70">
        <v>9</v>
      </c>
      <c r="J7" s="72">
        <v>21</v>
      </c>
      <c r="K7" s="72">
        <v>4</v>
      </c>
      <c r="L7" s="72">
        <v>6</v>
      </c>
      <c r="M7" s="72">
        <v>21</v>
      </c>
      <c r="N7" s="72">
        <v>4</v>
      </c>
      <c r="O7" s="72">
        <v>6</v>
      </c>
      <c r="P7" s="70">
        <f t="shared" si="0"/>
        <v>37</v>
      </c>
      <c r="Q7" s="70" t="s">
        <v>58</v>
      </c>
      <c r="R7" s="70" t="s">
        <v>58</v>
      </c>
      <c r="S7" s="70" t="s">
        <v>58</v>
      </c>
      <c r="T7" s="70" t="s">
        <v>58</v>
      </c>
      <c r="U7" s="70" t="s">
        <v>58</v>
      </c>
      <c r="V7" s="70" t="s">
        <v>58</v>
      </c>
      <c r="W7" s="70" t="s">
        <v>58</v>
      </c>
      <c r="X7" s="70" t="s">
        <v>58</v>
      </c>
      <c r="Y7" s="70" t="s">
        <v>58</v>
      </c>
      <c r="Z7" s="70" t="s">
        <v>58</v>
      </c>
      <c r="AA7" s="70">
        <v>0</v>
      </c>
      <c r="AB7" s="70">
        <v>60</v>
      </c>
      <c r="AC7" s="70">
        <v>0</v>
      </c>
      <c r="AD7" s="72">
        <v>0</v>
      </c>
      <c r="AE7" s="70">
        <v>0</v>
      </c>
      <c r="AF7" s="70">
        <v>1</v>
      </c>
      <c r="AG7" s="70">
        <v>23</v>
      </c>
      <c r="AH7" s="70">
        <v>2</v>
      </c>
      <c r="AI7" s="70">
        <v>1</v>
      </c>
    </row>
    <row r="8" spans="1:35" customFormat="1" x14ac:dyDescent="0.35">
      <c r="A8" s="71">
        <v>143217</v>
      </c>
      <c r="B8" s="74" t="s">
        <v>62</v>
      </c>
      <c r="C8" s="75" t="s">
        <v>63</v>
      </c>
      <c r="D8" s="74" t="s">
        <v>64</v>
      </c>
      <c r="E8" s="70">
        <v>2</v>
      </c>
      <c r="F8" s="70">
        <v>4</v>
      </c>
      <c r="G8" s="70">
        <v>37</v>
      </c>
      <c r="H8" s="70">
        <v>3</v>
      </c>
      <c r="I8" s="70">
        <v>2</v>
      </c>
      <c r="J8" s="72">
        <v>33</v>
      </c>
      <c r="K8" s="72">
        <v>1</v>
      </c>
      <c r="L8" s="72">
        <v>5</v>
      </c>
      <c r="M8" s="72">
        <v>33</v>
      </c>
      <c r="N8" s="72">
        <v>1</v>
      </c>
      <c r="O8" s="72">
        <v>5</v>
      </c>
      <c r="P8" s="70">
        <f t="shared" si="0"/>
        <v>44</v>
      </c>
      <c r="Q8" s="70" t="s">
        <v>58</v>
      </c>
      <c r="R8" s="70" t="s">
        <v>58</v>
      </c>
      <c r="S8" s="70" t="s">
        <v>58</v>
      </c>
      <c r="T8" s="70" t="s">
        <v>58</v>
      </c>
      <c r="U8" s="70" t="s">
        <v>58</v>
      </c>
      <c r="V8" s="70" t="s">
        <v>58</v>
      </c>
      <c r="W8" s="70" t="s">
        <v>58</v>
      </c>
      <c r="X8" s="70" t="s">
        <v>58</v>
      </c>
      <c r="Y8" s="70" t="s">
        <v>58</v>
      </c>
      <c r="Z8" s="70" t="s">
        <v>58</v>
      </c>
      <c r="AA8" s="70">
        <v>85</v>
      </c>
      <c r="AB8" s="70">
        <v>87</v>
      </c>
      <c r="AC8" s="70">
        <v>0</v>
      </c>
      <c r="AD8" s="72">
        <v>0</v>
      </c>
      <c r="AE8" s="70">
        <v>0</v>
      </c>
      <c r="AF8" s="70">
        <v>1</v>
      </c>
      <c r="AG8" s="70">
        <v>22</v>
      </c>
      <c r="AH8" s="70">
        <v>1</v>
      </c>
      <c r="AI8" s="70">
        <v>1</v>
      </c>
    </row>
    <row r="9" spans="1:35" customFormat="1" x14ac:dyDescent="0.35">
      <c r="A9" s="71">
        <v>155583</v>
      </c>
      <c r="B9" s="74" t="s">
        <v>62</v>
      </c>
      <c r="C9" s="75" t="s">
        <v>63</v>
      </c>
      <c r="D9" s="74" t="s">
        <v>64</v>
      </c>
      <c r="E9" s="70">
        <v>2</v>
      </c>
      <c r="F9" s="70">
        <v>1</v>
      </c>
      <c r="G9" s="70">
        <v>35</v>
      </c>
      <c r="H9" s="70">
        <v>3</v>
      </c>
      <c r="I9" s="70">
        <v>4</v>
      </c>
      <c r="J9" s="70">
        <v>30</v>
      </c>
      <c r="K9" s="70">
        <v>3</v>
      </c>
      <c r="L9" s="70">
        <v>4</v>
      </c>
      <c r="M9" s="70">
        <v>30</v>
      </c>
      <c r="N9" s="70">
        <v>3</v>
      </c>
      <c r="O9" s="70">
        <v>4</v>
      </c>
      <c r="P9" s="70">
        <f t="shared" si="0"/>
        <v>41</v>
      </c>
      <c r="Q9" s="70" t="s">
        <v>58</v>
      </c>
      <c r="R9" s="70" t="s">
        <v>58</v>
      </c>
      <c r="S9" s="70" t="s">
        <v>58</v>
      </c>
      <c r="T9" s="70" t="s">
        <v>58</v>
      </c>
      <c r="U9" s="70" t="s">
        <v>58</v>
      </c>
      <c r="V9" s="70" t="s">
        <v>58</v>
      </c>
      <c r="W9" s="70" t="s">
        <v>58</v>
      </c>
      <c r="X9" s="70" t="s">
        <v>58</v>
      </c>
      <c r="Y9" s="70" t="s">
        <v>58</v>
      </c>
      <c r="Z9" s="70" t="s">
        <v>58</v>
      </c>
      <c r="AA9" s="70">
        <v>0</v>
      </c>
      <c r="AB9" s="70">
        <v>70</v>
      </c>
      <c r="AC9" s="70">
        <v>0</v>
      </c>
      <c r="AD9" s="72">
        <v>0</v>
      </c>
      <c r="AE9" s="70">
        <v>0</v>
      </c>
      <c r="AF9" s="70">
        <v>1</v>
      </c>
      <c r="AG9" s="70">
        <v>19</v>
      </c>
      <c r="AH9" s="70">
        <v>1</v>
      </c>
      <c r="AI9" s="70">
        <v>1</v>
      </c>
    </row>
    <row r="10" spans="1:35" customFormat="1" x14ac:dyDescent="0.35">
      <c r="A10" s="71">
        <v>160903</v>
      </c>
      <c r="B10" s="74" t="s">
        <v>62</v>
      </c>
      <c r="C10" s="75" t="s">
        <v>63</v>
      </c>
      <c r="D10" s="74" t="s">
        <v>64</v>
      </c>
      <c r="E10" s="70">
        <v>2</v>
      </c>
      <c r="F10" s="70">
        <v>4</v>
      </c>
      <c r="G10" s="70">
        <v>27</v>
      </c>
      <c r="H10" s="70">
        <v>0</v>
      </c>
      <c r="I10" s="70">
        <v>8</v>
      </c>
      <c r="J10" s="72">
        <v>26</v>
      </c>
      <c r="K10" s="72">
        <v>0</v>
      </c>
      <c r="L10" s="72">
        <v>7</v>
      </c>
      <c r="M10" s="72">
        <v>26</v>
      </c>
      <c r="N10" s="72">
        <v>0</v>
      </c>
      <c r="O10" s="72">
        <v>7</v>
      </c>
      <c r="P10" s="70">
        <f t="shared" si="0"/>
        <v>40</v>
      </c>
      <c r="Q10" s="70" t="s">
        <v>58</v>
      </c>
      <c r="R10" s="70" t="s">
        <v>58</v>
      </c>
      <c r="S10" s="70" t="s">
        <v>58</v>
      </c>
      <c r="T10" s="70" t="s">
        <v>58</v>
      </c>
      <c r="U10" s="70" t="s">
        <v>58</v>
      </c>
      <c r="V10" s="70" t="s">
        <v>58</v>
      </c>
      <c r="W10" s="70" t="s">
        <v>58</v>
      </c>
      <c r="X10" s="70" t="s">
        <v>58</v>
      </c>
      <c r="Y10" s="70" t="s">
        <v>58</v>
      </c>
      <c r="Z10" s="70" t="s">
        <v>58</v>
      </c>
      <c r="AA10" s="70">
        <v>0</v>
      </c>
      <c r="AB10" s="70">
        <v>90</v>
      </c>
      <c r="AC10" s="70">
        <v>0</v>
      </c>
      <c r="AD10" s="72">
        <v>0</v>
      </c>
      <c r="AE10" s="70">
        <v>0</v>
      </c>
      <c r="AF10" s="70">
        <v>1</v>
      </c>
      <c r="AG10" s="70">
        <v>20</v>
      </c>
      <c r="AH10" s="70">
        <v>1</v>
      </c>
      <c r="AI10" s="70">
        <v>1</v>
      </c>
    </row>
    <row r="11" spans="1:35" customFormat="1" x14ac:dyDescent="0.35">
      <c r="A11" s="71">
        <v>170171</v>
      </c>
      <c r="B11" s="74" t="s">
        <v>62</v>
      </c>
      <c r="C11" s="75" t="s">
        <v>63</v>
      </c>
      <c r="D11" s="74" t="s">
        <v>64</v>
      </c>
      <c r="E11" s="70">
        <v>1</v>
      </c>
      <c r="F11" s="70">
        <v>4</v>
      </c>
      <c r="G11" s="70" t="s">
        <v>58</v>
      </c>
      <c r="H11" s="70" t="s">
        <v>58</v>
      </c>
      <c r="I11" s="70" t="s">
        <v>58</v>
      </c>
      <c r="J11" s="72" t="s">
        <v>58</v>
      </c>
      <c r="K11" s="72" t="s">
        <v>58</v>
      </c>
      <c r="L11" s="72" t="s">
        <v>58</v>
      </c>
      <c r="M11" s="70" t="s">
        <v>58</v>
      </c>
      <c r="N11" s="70" t="s">
        <v>58</v>
      </c>
      <c r="O11" s="70" t="s">
        <v>58</v>
      </c>
      <c r="P11" s="70" t="s">
        <v>58</v>
      </c>
      <c r="Q11" s="70">
        <v>0</v>
      </c>
      <c r="R11" s="70">
        <v>2</v>
      </c>
      <c r="S11" s="70">
        <v>0</v>
      </c>
      <c r="T11" s="72">
        <v>0</v>
      </c>
      <c r="U11" s="72">
        <v>4</v>
      </c>
      <c r="V11" s="72">
        <v>0</v>
      </c>
      <c r="W11" s="70">
        <v>0</v>
      </c>
      <c r="X11" s="70">
        <v>2</v>
      </c>
      <c r="Y11" s="70">
        <v>0</v>
      </c>
      <c r="Z11" s="72">
        <f>SUM(W11:Y11)</f>
        <v>2</v>
      </c>
      <c r="AA11" s="70">
        <v>0</v>
      </c>
      <c r="AB11" s="70">
        <v>40</v>
      </c>
      <c r="AC11" s="70">
        <v>1</v>
      </c>
      <c r="AD11" s="72">
        <v>1</v>
      </c>
      <c r="AE11" s="70">
        <v>1</v>
      </c>
      <c r="AF11" s="70">
        <v>1</v>
      </c>
      <c r="AG11" s="70">
        <v>19</v>
      </c>
      <c r="AH11" s="70">
        <v>1</v>
      </c>
      <c r="AI11" s="70">
        <v>1</v>
      </c>
    </row>
    <row r="12" spans="1:35" customFormat="1" x14ac:dyDescent="0.35">
      <c r="A12" s="71">
        <v>194097</v>
      </c>
      <c r="B12" s="74" t="s">
        <v>62</v>
      </c>
      <c r="C12" s="75" t="s">
        <v>63</v>
      </c>
      <c r="D12" s="74" t="s">
        <v>64</v>
      </c>
      <c r="E12" s="70">
        <v>2</v>
      </c>
      <c r="F12" s="70">
        <v>1</v>
      </c>
      <c r="G12" s="70">
        <v>6</v>
      </c>
      <c r="H12" s="70">
        <v>11</v>
      </c>
      <c r="I12" s="70">
        <v>12</v>
      </c>
      <c r="J12" s="70">
        <v>9</v>
      </c>
      <c r="K12" s="70">
        <v>9</v>
      </c>
      <c r="L12" s="70">
        <v>8</v>
      </c>
      <c r="M12" s="70">
        <v>6</v>
      </c>
      <c r="N12" s="70">
        <v>11</v>
      </c>
      <c r="O12" s="70">
        <v>12</v>
      </c>
      <c r="P12" s="70">
        <f>SUM(M12:O12)</f>
        <v>29</v>
      </c>
      <c r="Q12" s="70" t="s">
        <v>58</v>
      </c>
      <c r="R12" s="70" t="s">
        <v>58</v>
      </c>
      <c r="S12" s="70" t="s">
        <v>58</v>
      </c>
      <c r="T12" s="70" t="s">
        <v>58</v>
      </c>
      <c r="U12" s="70" t="s">
        <v>58</v>
      </c>
      <c r="V12" s="70" t="s">
        <v>58</v>
      </c>
      <c r="W12" s="70" t="s">
        <v>58</v>
      </c>
      <c r="X12" s="70" t="s">
        <v>58</v>
      </c>
      <c r="Y12" s="70" t="s">
        <v>58</v>
      </c>
      <c r="Z12" s="70" t="s">
        <v>58</v>
      </c>
      <c r="AA12" s="70">
        <v>0</v>
      </c>
      <c r="AB12" s="70">
        <v>80</v>
      </c>
      <c r="AC12" s="70">
        <v>0</v>
      </c>
      <c r="AD12" s="70">
        <v>0</v>
      </c>
      <c r="AE12" s="70">
        <v>0</v>
      </c>
      <c r="AF12" s="70">
        <v>1</v>
      </c>
      <c r="AG12" s="70">
        <v>20</v>
      </c>
      <c r="AH12" s="70">
        <v>1</v>
      </c>
      <c r="AI12" s="70">
        <v>1</v>
      </c>
    </row>
    <row r="13" spans="1:35" customFormat="1" x14ac:dyDescent="0.35">
      <c r="A13" s="71">
        <v>197532</v>
      </c>
      <c r="B13" s="74" t="s">
        <v>62</v>
      </c>
      <c r="C13" s="75" t="s">
        <v>63</v>
      </c>
      <c r="D13" s="74" t="s">
        <v>64</v>
      </c>
      <c r="E13" s="70">
        <v>2</v>
      </c>
      <c r="F13" s="70">
        <v>4</v>
      </c>
      <c r="G13" s="70">
        <v>22</v>
      </c>
      <c r="H13" s="70">
        <v>0</v>
      </c>
      <c r="I13" s="70">
        <v>7</v>
      </c>
      <c r="J13" s="70">
        <v>12</v>
      </c>
      <c r="K13" s="70">
        <v>0</v>
      </c>
      <c r="L13" s="70">
        <v>9</v>
      </c>
      <c r="M13" s="70">
        <v>20</v>
      </c>
      <c r="N13" s="70">
        <v>0</v>
      </c>
      <c r="O13" s="70">
        <v>9</v>
      </c>
      <c r="P13" s="70">
        <f>SUM(M13:O13)</f>
        <v>29</v>
      </c>
      <c r="Q13" s="70" t="s">
        <v>58</v>
      </c>
      <c r="R13" s="70" t="s">
        <v>58</v>
      </c>
      <c r="S13" s="70" t="s">
        <v>58</v>
      </c>
      <c r="T13" s="70" t="s">
        <v>58</v>
      </c>
      <c r="U13" s="70" t="s">
        <v>58</v>
      </c>
      <c r="V13" s="70" t="s">
        <v>58</v>
      </c>
      <c r="W13" s="70" t="s">
        <v>58</v>
      </c>
      <c r="X13" s="70" t="s">
        <v>58</v>
      </c>
      <c r="Y13" s="70" t="s">
        <v>58</v>
      </c>
      <c r="Z13" s="70" t="s">
        <v>58</v>
      </c>
      <c r="AA13" s="70">
        <v>0</v>
      </c>
      <c r="AB13" s="70">
        <v>90</v>
      </c>
      <c r="AC13" s="70">
        <v>0</v>
      </c>
      <c r="AD13" s="70">
        <v>0</v>
      </c>
      <c r="AE13" s="70">
        <v>0</v>
      </c>
      <c r="AF13" s="70">
        <v>1</v>
      </c>
      <c r="AG13" s="70">
        <v>21</v>
      </c>
      <c r="AH13" s="70">
        <v>1</v>
      </c>
      <c r="AI13" s="70">
        <v>1</v>
      </c>
    </row>
    <row r="14" spans="1:35" customFormat="1" x14ac:dyDescent="0.35">
      <c r="A14" s="71">
        <v>197689</v>
      </c>
      <c r="B14" s="74" t="s">
        <v>62</v>
      </c>
      <c r="C14" s="75" t="s">
        <v>63</v>
      </c>
      <c r="D14" s="74" t="s">
        <v>64</v>
      </c>
      <c r="E14" s="70">
        <v>1</v>
      </c>
      <c r="F14" s="70">
        <v>3</v>
      </c>
      <c r="G14" s="70" t="s">
        <v>58</v>
      </c>
      <c r="H14" s="70" t="s">
        <v>58</v>
      </c>
      <c r="I14" s="70" t="s">
        <v>58</v>
      </c>
      <c r="J14" s="70" t="s">
        <v>58</v>
      </c>
      <c r="K14" s="70" t="s">
        <v>58</v>
      </c>
      <c r="L14" s="70" t="s">
        <v>58</v>
      </c>
      <c r="M14" s="70" t="s">
        <v>58</v>
      </c>
      <c r="N14" s="70" t="s">
        <v>58</v>
      </c>
      <c r="O14" s="70" t="s">
        <v>58</v>
      </c>
      <c r="P14" s="70" t="s">
        <v>58</v>
      </c>
      <c r="Q14" s="70">
        <v>0</v>
      </c>
      <c r="R14" s="70">
        <v>2</v>
      </c>
      <c r="S14" s="70">
        <v>1</v>
      </c>
      <c r="T14" s="70">
        <v>1</v>
      </c>
      <c r="U14" s="70">
        <v>7</v>
      </c>
      <c r="V14" s="70">
        <v>0</v>
      </c>
      <c r="W14" s="70">
        <v>1</v>
      </c>
      <c r="X14" s="70">
        <v>7</v>
      </c>
      <c r="Y14" s="70">
        <v>0</v>
      </c>
      <c r="Z14" s="72">
        <f t="shared" ref="Z14:Z22" si="1">SUM(W14:Y14)</f>
        <v>8</v>
      </c>
      <c r="AA14" s="70">
        <v>2</v>
      </c>
      <c r="AB14" s="70">
        <v>65</v>
      </c>
      <c r="AC14" s="70">
        <v>1</v>
      </c>
      <c r="AD14" s="70">
        <v>1</v>
      </c>
      <c r="AE14" s="70">
        <v>1</v>
      </c>
      <c r="AF14" s="70">
        <v>1</v>
      </c>
      <c r="AG14" s="70">
        <v>23</v>
      </c>
      <c r="AH14" s="70">
        <v>1</v>
      </c>
      <c r="AI14" s="70">
        <v>2</v>
      </c>
    </row>
    <row r="15" spans="1:35" customFormat="1" x14ac:dyDescent="0.35">
      <c r="A15" s="71">
        <v>199134</v>
      </c>
      <c r="B15" s="74" t="s">
        <v>62</v>
      </c>
      <c r="C15" s="75" t="s">
        <v>63</v>
      </c>
      <c r="D15" s="74" t="s">
        <v>64</v>
      </c>
      <c r="E15" s="70">
        <v>1</v>
      </c>
      <c r="F15" s="70">
        <v>3</v>
      </c>
      <c r="G15" s="70" t="s">
        <v>58</v>
      </c>
      <c r="H15" s="70" t="s">
        <v>58</v>
      </c>
      <c r="I15" s="70" t="s">
        <v>58</v>
      </c>
      <c r="J15" s="70" t="s">
        <v>58</v>
      </c>
      <c r="K15" s="70" t="s">
        <v>58</v>
      </c>
      <c r="L15" s="70" t="s">
        <v>58</v>
      </c>
      <c r="M15" s="70" t="s">
        <v>58</v>
      </c>
      <c r="N15" s="70" t="s">
        <v>58</v>
      </c>
      <c r="O15" s="70" t="s">
        <v>58</v>
      </c>
      <c r="P15" s="70" t="s">
        <v>58</v>
      </c>
      <c r="Q15" s="70">
        <v>2</v>
      </c>
      <c r="R15" s="70">
        <v>2</v>
      </c>
      <c r="S15" s="70">
        <v>1</v>
      </c>
      <c r="T15" s="70">
        <v>0</v>
      </c>
      <c r="U15" s="70">
        <v>3</v>
      </c>
      <c r="V15" s="70">
        <v>1</v>
      </c>
      <c r="W15" s="70">
        <v>2</v>
      </c>
      <c r="X15" s="70">
        <v>2</v>
      </c>
      <c r="Y15" s="70">
        <v>1</v>
      </c>
      <c r="Z15" s="72">
        <f t="shared" si="1"/>
        <v>5</v>
      </c>
      <c r="AA15" s="70">
        <v>50</v>
      </c>
      <c r="AB15" s="70">
        <v>20</v>
      </c>
      <c r="AC15" s="70">
        <v>1</v>
      </c>
      <c r="AD15" s="70">
        <v>1</v>
      </c>
      <c r="AE15" s="70">
        <v>1</v>
      </c>
      <c r="AF15" s="70">
        <v>2</v>
      </c>
      <c r="AG15" s="70">
        <v>20</v>
      </c>
      <c r="AH15" s="70">
        <v>1</v>
      </c>
      <c r="AI15" s="70">
        <v>1</v>
      </c>
    </row>
    <row r="16" spans="1:35" customFormat="1" x14ac:dyDescent="0.35">
      <c r="A16" s="72">
        <v>203165</v>
      </c>
      <c r="B16" s="74" t="s">
        <v>62</v>
      </c>
      <c r="C16" s="75" t="s">
        <v>63</v>
      </c>
      <c r="D16" s="74" t="s">
        <v>64</v>
      </c>
      <c r="E16" s="70">
        <v>1</v>
      </c>
      <c r="F16" s="70">
        <v>2</v>
      </c>
      <c r="G16" s="70" t="s">
        <v>58</v>
      </c>
      <c r="H16" s="70" t="s">
        <v>58</v>
      </c>
      <c r="I16" s="70" t="s">
        <v>58</v>
      </c>
      <c r="J16" s="70" t="s">
        <v>58</v>
      </c>
      <c r="K16" s="70" t="s">
        <v>58</v>
      </c>
      <c r="L16" s="70" t="s">
        <v>58</v>
      </c>
      <c r="M16" s="70" t="s">
        <v>58</v>
      </c>
      <c r="N16" s="70" t="s">
        <v>58</v>
      </c>
      <c r="O16" s="70" t="s">
        <v>58</v>
      </c>
      <c r="P16" s="70" t="s">
        <v>58</v>
      </c>
      <c r="Q16" s="70">
        <v>2</v>
      </c>
      <c r="R16" s="70">
        <v>3</v>
      </c>
      <c r="S16" s="70">
        <v>8</v>
      </c>
      <c r="T16" s="70">
        <v>3</v>
      </c>
      <c r="U16" s="70">
        <v>4</v>
      </c>
      <c r="V16" s="70">
        <v>7</v>
      </c>
      <c r="W16" s="70">
        <v>3</v>
      </c>
      <c r="X16" s="70">
        <v>4</v>
      </c>
      <c r="Y16" s="70">
        <v>7</v>
      </c>
      <c r="Z16" s="72">
        <f t="shared" si="1"/>
        <v>14</v>
      </c>
      <c r="AA16" s="70">
        <v>0</v>
      </c>
      <c r="AB16" s="70">
        <v>20</v>
      </c>
      <c r="AC16" s="70">
        <v>1</v>
      </c>
      <c r="AD16" s="70">
        <v>1</v>
      </c>
      <c r="AE16" s="70">
        <v>1</v>
      </c>
      <c r="AF16" s="70">
        <v>2</v>
      </c>
      <c r="AG16" s="70">
        <v>18</v>
      </c>
      <c r="AH16" s="70">
        <v>1</v>
      </c>
      <c r="AI16" s="70">
        <v>1</v>
      </c>
    </row>
    <row r="17" spans="1:35" customFormat="1" x14ac:dyDescent="0.35">
      <c r="A17" s="72">
        <v>205813</v>
      </c>
      <c r="B17" s="74" t="s">
        <v>62</v>
      </c>
      <c r="C17" s="75" t="s">
        <v>63</v>
      </c>
      <c r="D17" s="74" t="s">
        <v>64</v>
      </c>
      <c r="E17" s="70">
        <v>1</v>
      </c>
      <c r="F17" s="70">
        <v>1</v>
      </c>
      <c r="G17" s="70" t="s">
        <v>58</v>
      </c>
      <c r="H17" s="70" t="s">
        <v>58</v>
      </c>
      <c r="I17" s="70" t="s">
        <v>58</v>
      </c>
      <c r="J17" s="70" t="s">
        <v>58</v>
      </c>
      <c r="K17" s="70" t="s">
        <v>58</v>
      </c>
      <c r="L17" s="70" t="s">
        <v>58</v>
      </c>
      <c r="M17" s="70" t="s">
        <v>58</v>
      </c>
      <c r="N17" s="70" t="s">
        <v>58</v>
      </c>
      <c r="O17" s="70" t="s">
        <v>58</v>
      </c>
      <c r="P17" s="70" t="s">
        <v>58</v>
      </c>
      <c r="Q17" s="70">
        <v>1</v>
      </c>
      <c r="R17" s="70">
        <v>1</v>
      </c>
      <c r="S17" s="70">
        <v>1</v>
      </c>
      <c r="T17" s="70">
        <v>2</v>
      </c>
      <c r="U17" s="70">
        <v>3</v>
      </c>
      <c r="V17" s="70">
        <v>0</v>
      </c>
      <c r="W17" s="70">
        <v>1</v>
      </c>
      <c r="X17" s="70">
        <v>1</v>
      </c>
      <c r="Y17" s="70">
        <v>1</v>
      </c>
      <c r="Z17" s="72">
        <f t="shared" si="1"/>
        <v>3</v>
      </c>
      <c r="AA17" s="70">
        <v>0</v>
      </c>
      <c r="AB17" s="70">
        <v>2</v>
      </c>
      <c r="AC17" s="70">
        <v>1</v>
      </c>
      <c r="AD17" s="70">
        <v>1</v>
      </c>
      <c r="AE17" s="70">
        <v>1</v>
      </c>
      <c r="AF17" s="70">
        <v>2</v>
      </c>
      <c r="AG17" s="70">
        <v>19</v>
      </c>
      <c r="AH17" s="70">
        <v>1</v>
      </c>
      <c r="AI17" s="70">
        <v>1</v>
      </c>
    </row>
    <row r="18" spans="1:35" customFormat="1" x14ac:dyDescent="0.35">
      <c r="A18" s="72">
        <v>215393</v>
      </c>
      <c r="B18" s="74" t="s">
        <v>62</v>
      </c>
      <c r="C18" s="75" t="s">
        <v>63</v>
      </c>
      <c r="D18" s="74" t="s">
        <v>64</v>
      </c>
      <c r="E18" s="70">
        <v>1</v>
      </c>
      <c r="F18" s="70">
        <v>3</v>
      </c>
      <c r="G18" s="70" t="s">
        <v>58</v>
      </c>
      <c r="H18" s="70" t="s">
        <v>58</v>
      </c>
      <c r="I18" s="70" t="s">
        <v>58</v>
      </c>
      <c r="J18" s="70" t="s">
        <v>58</v>
      </c>
      <c r="K18" s="70" t="s">
        <v>58</v>
      </c>
      <c r="L18" s="70" t="s">
        <v>58</v>
      </c>
      <c r="M18" s="70" t="s">
        <v>58</v>
      </c>
      <c r="N18" s="70" t="s">
        <v>58</v>
      </c>
      <c r="O18" s="70" t="s">
        <v>58</v>
      </c>
      <c r="P18" s="70" t="s">
        <v>58</v>
      </c>
      <c r="Q18" s="70">
        <v>0</v>
      </c>
      <c r="R18" s="70">
        <v>12</v>
      </c>
      <c r="S18" s="70">
        <v>0</v>
      </c>
      <c r="T18" s="70">
        <v>0</v>
      </c>
      <c r="U18" s="70">
        <v>8</v>
      </c>
      <c r="V18" s="70">
        <v>2</v>
      </c>
      <c r="W18" s="70">
        <v>0</v>
      </c>
      <c r="X18" s="70">
        <v>8</v>
      </c>
      <c r="Y18" s="70">
        <v>2</v>
      </c>
      <c r="Z18" s="72">
        <f t="shared" si="1"/>
        <v>10</v>
      </c>
      <c r="AA18" s="70">
        <v>0</v>
      </c>
      <c r="AB18" s="70">
        <v>40</v>
      </c>
      <c r="AC18" s="70">
        <v>1</v>
      </c>
      <c r="AD18" s="70">
        <v>1</v>
      </c>
      <c r="AE18" s="70">
        <v>1</v>
      </c>
      <c r="AF18" s="70">
        <v>2</v>
      </c>
      <c r="AG18" s="70">
        <v>19</v>
      </c>
      <c r="AH18" s="70">
        <v>1</v>
      </c>
      <c r="AI18" s="70">
        <v>1</v>
      </c>
    </row>
    <row r="19" spans="1:35" customFormat="1" x14ac:dyDescent="0.35">
      <c r="A19" s="72">
        <v>222449</v>
      </c>
      <c r="B19" s="74" t="s">
        <v>62</v>
      </c>
      <c r="C19" s="75" t="s">
        <v>63</v>
      </c>
      <c r="D19" s="74" t="s">
        <v>64</v>
      </c>
      <c r="E19" s="70">
        <v>1</v>
      </c>
      <c r="F19" s="70">
        <v>1</v>
      </c>
      <c r="G19" s="70" t="s">
        <v>58</v>
      </c>
      <c r="H19" s="70" t="s">
        <v>58</v>
      </c>
      <c r="I19" s="70" t="s">
        <v>58</v>
      </c>
      <c r="J19" s="70" t="s">
        <v>58</v>
      </c>
      <c r="K19" s="70" t="s">
        <v>58</v>
      </c>
      <c r="L19" s="70" t="s">
        <v>58</v>
      </c>
      <c r="M19" s="70" t="s">
        <v>58</v>
      </c>
      <c r="N19" s="70" t="s">
        <v>58</v>
      </c>
      <c r="O19" s="70" t="s">
        <v>58</v>
      </c>
      <c r="P19" s="70" t="s">
        <v>58</v>
      </c>
      <c r="Q19" s="70">
        <v>0</v>
      </c>
      <c r="R19" s="70">
        <v>2</v>
      </c>
      <c r="S19" s="70">
        <v>0</v>
      </c>
      <c r="T19" s="70">
        <v>0</v>
      </c>
      <c r="U19" s="70">
        <v>3</v>
      </c>
      <c r="V19" s="70">
        <v>0</v>
      </c>
      <c r="W19" s="70">
        <v>0</v>
      </c>
      <c r="X19" s="70">
        <v>3</v>
      </c>
      <c r="Y19" s="70">
        <v>0</v>
      </c>
      <c r="Z19" s="72">
        <f t="shared" si="1"/>
        <v>3</v>
      </c>
      <c r="AA19" s="70">
        <v>0</v>
      </c>
      <c r="AB19" s="70">
        <v>20</v>
      </c>
      <c r="AC19" s="70">
        <v>1</v>
      </c>
      <c r="AD19" s="70">
        <v>1</v>
      </c>
      <c r="AE19" s="70">
        <v>1</v>
      </c>
      <c r="AF19" s="70">
        <v>2</v>
      </c>
      <c r="AG19" s="70">
        <v>19</v>
      </c>
      <c r="AH19" s="70">
        <v>1</v>
      </c>
      <c r="AI19" s="70">
        <v>1</v>
      </c>
    </row>
    <row r="20" spans="1:35" customFormat="1" x14ac:dyDescent="0.35">
      <c r="A20" s="72">
        <v>224807</v>
      </c>
      <c r="B20" s="74" t="s">
        <v>62</v>
      </c>
      <c r="C20" s="75" t="s">
        <v>63</v>
      </c>
      <c r="D20" s="74" t="s">
        <v>64</v>
      </c>
      <c r="E20" s="70">
        <v>1</v>
      </c>
      <c r="F20" s="70">
        <v>2</v>
      </c>
      <c r="G20" s="70" t="s">
        <v>58</v>
      </c>
      <c r="H20" s="70" t="s">
        <v>58</v>
      </c>
      <c r="I20" s="70" t="s">
        <v>58</v>
      </c>
      <c r="J20" s="70" t="s">
        <v>58</v>
      </c>
      <c r="K20" s="70" t="s">
        <v>58</v>
      </c>
      <c r="L20" s="70" t="s">
        <v>58</v>
      </c>
      <c r="M20" s="70" t="s">
        <v>58</v>
      </c>
      <c r="N20" s="70" t="s">
        <v>58</v>
      </c>
      <c r="O20" s="70" t="s">
        <v>58</v>
      </c>
      <c r="P20" s="70" t="s">
        <v>58</v>
      </c>
      <c r="Q20" s="70">
        <v>1</v>
      </c>
      <c r="R20" s="70">
        <v>7</v>
      </c>
      <c r="S20" s="70">
        <v>1</v>
      </c>
      <c r="T20" s="70">
        <v>1</v>
      </c>
      <c r="U20" s="70">
        <v>5</v>
      </c>
      <c r="V20" s="70">
        <v>2</v>
      </c>
      <c r="W20" s="70">
        <v>1</v>
      </c>
      <c r="X20" s="70">
        <v>7</v>
      </c>
      <c r="Y20" s="70">
        <v>1</v>
      </c>
      <c r="Z20" s="72">
        <f t="shared" si="1"/>
        <v>9</v>
      </c>
      <c r="AA20" s="70">
        <v>0</v>
      </c>
      <c r="AB20" s="70">
        <v>20</v>
      </c>
      <c r="AC20" s="70">
        <v>1</v>
      </c>
      <c r="AD20" s="70">
        <v>1</v>
      </c>
      <c r="AE20" s="70">
        <v>1</v>
      </c>
      <c r="AF20" s="70">
        <v>2</v>
      </c>
      <c r="AG20" s="70">
        <v>23</v>
      </c>
      <c r="AH20" s="70">
        <v>2</v>
      </c>
      <c r="AI20" s="70">
        <v>1</v>
      </c>
    </row>
    <row r="21" spans="1:35" customFormat="1" x14ac:dyDescent="0.35">
      <c r="A21" s="72">
        <v>243885</v>
      </c>
      <c r="B21" s="74" t="s">
        <v>62</v>
      </c>
      <c r="C21" s="75" t="s">
        <v>63</v>
      </c>
      <c r="D21" s="74" t="s">
        <v>64</v>
      </c>
      <c r="E21" s="70">
        <v>1</v>
      </c>
      <c r="F21" s="70">
        <v>3</v>
      </c>
      <c r="G21" s="70" t="s">
        <v>58</v>
      </c>
      <c r="H21" s="70" t="s">
        <v>58</v>
      </c>
      <c r="I21" s="70" t="s">
        <v>58</v>
      </c>
      <c r="J21" s="70" t="s">
        <v>58</v>
      </c>
      <c r="K21" s="70" t="s">
        <v>58</v>
      </c>
      <c r="L21" s="70" t="s">
        <v>58</v>
      </c>
      <c r="M21" s="70" t="s">
        <v>58</v>
      </c>
      <c r="N21" s="70" t="s">
        <v>58</v>
      </c>
      <c r="O21" s="70" t="s">
        <v>58</v>
      </c>
      <c r="P21" s="70" t="s">
        <v>58</v>
      </c>
      <c r="Q21" s="70">
        <v>0</v>
      </c>
      <c r="R21" s="70">
        <v>1</v>
      </c>
      <c r="S21" s="70">
        <v>0</v>
      </c>
      <c r="T21" s="70">
        <v>0</v>
      </c>
      <c r="U21" s="70">
        <v>1</v>
      </c>
      <c r="V21" s="70">
        <v>0</v>
      </c>
      <c r="W21" s="70">
        <v>0</v>
      </c>
      <c r="X21" s="70">
        <v>1</v>
      </c>
      <c r="Y21" s="70">
        <v>0</v>
      </c>
      <c r="Z21" s="72">
        <f>SUM(W21:Y21)</f>
        <v>1</v>
      </c>
      <c r="AA21" s="70">
        <v>90</v>
      </c>
      <c r="AB21" s="70">
        <v>100</v>
      </c>
      <c r="AC21" s="70">
        <v>1</v>
      </c>
      <c r="AD21" s="70">
        <v>1</v>
      </c>
      <c r="AE21" s="70">
        <v>1</v>
      </c>
      <c r="AF21" s="70">
        <v>2</v>
      </c>
      <c r="AG21" s="70">
        <v>19</v>
      </c>
      <c r="AH21" s="70">
        <v>1</v>
      </c>
      <c r="AI21" s="70">
        <v>1</v>
      </c>
    </row>
    <row r="22" spans="1:35" customFormat="1" x14ac:dyDescent="0.35">
      <c r="A22" s="72">
        <v>250971</v>
      </c>
      <c r="B22" s="74" t="s">
        <v>62</v>
      </c>
      <c r="C22" s="75" t="s">
        <v>63</v>
      </c>
      <c r="D22" s="74" t="s">
        <v>64</v>
      </c>
      <c r="E22" s="70">
        <v>1</v>
      </c>
      <c r="F22" s="70">
        <v>2</v>
      </c>
      <c r="G22" s="70" t="s">
        <v>58</v>
      </c>
      <c r="H22" s="70" t="s">
        <v>58</v>
      </c>
      <c r="I22" s="70" t="s">
        <v>58</v>
      </c>
      <c r="J22" s="70" t="s">
        <v>58</v>
      </c>
      <c r="K22" s="70" t="s">
        <v>58</v>
      </c>
      <c r="L22" s="70" t="s">
        <v>58</v>
      </c>
      <c r="M22" s="70" t="s">
        <v>58</v>
      </c>
      <c r="N22" s="70" t="s">
        <v>58</v>
      </c>
      <c r="O22" s="70" t="s">
        <v>58</v>
      </c>
      <c r="P22" s="70" t="s">
        <v>58</v>
      </c>
      <c r="Q22" s="70">
        <v>0</v>
      </c>
      <c r="R22" s="70">
        <v>2</v>
      </c>
      <c r="S22" s="70">
        <v>1</v>
      </c>
      <c r="T22" s="70">
        <v>0</v>
      </c>
      <c r="U22" s="70">
        <v>2</v>
      </c>
      <c r="V22" s="70">
        <v>3</v>
      </c>
      <c r="W22" s="70">
        <v>0</v>
      </c>
      <c r="X22" s="70">
        <v>2</v>
      </c>
      <c r="Y22" s="70">
        <v>3</v>
      </c>
      <c r="Z22" s="72">
        <f t="shared" si="1"/>
        <v>5</v>
      </c>
      <c r="AA22" s="70">
        <v>0</v>
      </c>
      <c r="AB22" s="70">
        <v>10</v>
      </c>
      <c r="AC22" s="70">
        <v>1</v>
      </c>
      <c r="AD22" s="70">
        <v>1</v>
      </c>
      <c r="AE22" s="70">
        <v>1</v>
      </c>
      <c r="AF22" s="70">
        <v>2</v>
      </c>
      <c r="AG22" s="70">
        <v>18</v>
      </c>
      <c r="AH22" s="70">
        <v>1</v>
      </c>
      <c r="AI22" s="70">
        <v>1</v>
      </c>
    </row>
    <row r="23" spans="1:35" customFormat="1" x14ac:dyDescent="0.35">
      <c r="A23" s="72">
        <v>256240</v>
      </c>
      <c r="B23" s="74" t="s">
        <v>62</v>
      </c>
      <c r="C23" s="75" t="s">
        <v>63</v>
      </c>
      <c r="D23" s="74" t="s">
        <v>64</v>
      </c>
      <c r="E23" s="70">
        <v>2</v>
      </c>
      <c r="F23" s="70">
        <v>3</v>
      </c>
      <c r="G23" s="70">
        <v>9</v>
      </c>
      <c r="H23" s="70">
        <v>25</v>
      </c>
      <c r="I23" s="70">
        <v>21</v>
      </c>
      <c r="J23" s="70">
        <v>7</v>
      </c>
      <c r="K23" s="70">
        <v>20</v>
      </c>
      <c r="L23" s="70">
        <v>23</v>
      </c>
      <c r="M23" s="70">
        <v>7</v>
      </c>
      <c r="N23" s="70">
        <v>20</v>
      </c>
      <c r="O23" s="70">
        <v>23</v>
      </c>
      <c r="P23" s="70">
        <f>SUM(M23:O23)</f>
        <v>50</v>
      </c>
      <c r="Q23" s="70" t="s">
        <v>58</v>
      </c>
      <c r="R23" s="70" t="s">
        <v>58</v>
      </c>
      <c r="S23" s="70" t="s">
        <v>58</v>
      </c>
      <c r="T23" s="70" t="s">
        <v>58</v>
      </c>
      <c r="U23" s="70" t="s">
        <v>58</v>
      </c>
      <c r="V23" s="70" t="s">
        <v>58</v>
      </c>
      <c r="W23" s="70" t="s">
        <v>58</v>
      </c>
      <c r="X23" s="70" t="s">
        <v>58</v>
      </c>
      <c r="Y23" s="70" t="s">
        <v>58</v>
      </c>
      <c r="Z23" s="70" t="s">
        <v>58</v>
      </c>
      <c r="AA23" s="70">
        <v>5</v>
      </c>
      <c r="AB23" s="70">
        <v>90</v>
      </c>
      <c r="AC23" s="70">
        <v>0</v>
      </c>
      <c r="AD23" s="70">
        <v>0</v>
      </c>
      <c r="AE23" s="70">
        <v>0</v>
      </c>
      <c r="AF23" s="70">
        <v>1</v>
      </c>
      <c r="AG23" s="70">
        <v>25</v>
      </c>
      <c r="AH23" s="70">
        <v>2</v>
      </c>
      <c r="AI23" s="70">
        <v>1</v>
      </c>
    </row>
    <row r="24" spans="1:35" customFormat="1" x14ac:dyDescent="0.35">
      <c r="A24" s="72">
        <v>262983</v>
      </c>
      <c r="B24" s="74" t="s">
        <v>62</v>
      </c>
      <c r="C24" s="75" t="s">
        <v>63</v>
      </c>
      <c r="D24" s="74" t="s">
        <v>64</v>
      </c>
      <c r="E24" s="70">
        <v>2</v>
      </c>
      <c r="F24" s="70">
        <v>2</v>
      </c>
      <c r="G24" s="70">
        <v>5</v>
      </c>
      <c r="H24" s="70">
        <v>2</v>
      </c>
      <c r="I24" s="70">
        <v>3</v>
      </c>
      <c r="J24" s="70">
        <v>3</v>
      </c>
      <c r="K24" s="70">
        <v>2</v>
      </c>
      <c r="L24" s="70">
        <v>3</v>
      </c>
      <c r="M24" s="70">
        <v>3</v>
      </c>
      <c r="N24" s="70">
        <v>2</v>
      </c>
      <c r="O24" s="70">
        <v>3</v>
      </c>
      <c r="P24" s="70">
        <f t="shared" ref="P24:P26" si="2">SUM(M24:O24)</f>
        <v>8</v>
      </c>
      <c r="Q24" s="70" t="s">
        <v>58</v>
      </c>
      <c r="R24" s="70" t="s">
        <v>58</v>
      </c>
      <c r="S24" s="70" t="s">
        <v>58</v>
      </c>
      <c r="T24" s="70" t="s">
        <v>58</v>
      </c>
      <c r="U24" s="70" t="s">
        <v>58</v>
      </c>
      <c r="V24" s="70" t="s">
        <v>58</v>
      </c>
      <c r="W24" s="70" t="s">
        <v>58</v>
      </c>
      <c r="X24" s="70" t="s">
        <v>58</v>
      </c>
      <c r="Y24" s="70" t="s">
        <v>58</v>
      </c>
      <c r="Z24" s="70" t="s">
        <v>58</v>
      </c>
      <c r="AA24" s="70">
        <v>0</v>
      </c>
      <c r="AB24" s="70">
        <v>40</v>
      </c>
      <c r="AC24" s="70">
        <v>0</v>
      </c>
      <c r="AD24" s="70">
        <v>0</v>
      </c>
      <c r="AE24" s="70">
        <v>0</v>
      </c>
      <c r="AF24" s="70">
        <v>1</v>
      </c>
      <c r="AG24" s="70">
        <v>19</v>
      </c>
      <c r="AH24" s="70">
        <v>1</v>
      </c>
      <c r="AI24" s="70">
        <v>1</v>
      </c>
    </row>
    <row r="25" spans="1:35" customFormat="1" x14ac:dyDescent="0.35">
      <c r="A25" s="72">
        <v>264413</v>
      </c>
      <c r="B25" s="74" t="s">
        <v>62</v>
      </c>
      <c r="C25" s="75" t="s">
        <v>63</v>
      </c>
      <c r="D25" s="74" t="s">
        <v>64</v>
      </c>
      <c r="E25" s="70">
        <v>2</v>
      </c>
      <c r="F25" s="70">
        <v>3</v>
      </c>
      <c r="G25" s="70">
        <v>25</v>
      </c>
      <c r="H25" s="70">
        <v>3</v>
      </c>
      <c r="I25" s="70">
        <v>15</v>
      </c>
      <c r="J25" s="70">
        <v>11</v>
      </c>
      <c r="K25" s="70">
        <v>5</v>
      </c>
      <c r="L25" s="70">
        <v>10</v>
      </c>
      <c r="M25" s="70">
        <v>25</v>
      </c>
      <c r="N25" s="70">
        <v>3</v>
      </c>
      <c r="O25" s="70">
        <v>15</v>
      </c>
      <c r="P25" s="70">
        <f t="shared" si="2"/>
        <v>43</v>
      </c>
      <c r="Q25" s="70" t="s">
        <v>58</v>
      </c>
      <c r="R25" s="70" t="s">
        <v>58</v>
      </c>
      <c r="S25" s="70" t="s">
        <v>58</v>
      </c>
      <c r="T25" s="70" t="s">
        <v>58</v>
      </c>
      <c r="U25" s="70" t="s">
        <v>58</v>
      </c>
      <c r="V25" s="70" t="s">
        <v>58</v>
      </c>
      <c r="W25" s="70" t="s">
        <v>58</v>
      </c>
      <c r="X25" s="70" t="s">
        <v>58</v>
      </c>
      <c r="Y25" s="70" t="s">
        <v>58</v>
      </c>
      <c r="Z25" s="70" t="s">
        <v>58</v>
      </c>
      <c r="AA25" s="70">
        <v>10</v>
      </c>
      <c r="AB25" s="70">
        <v>90</v>
      </c>
      <c r="AC25" s="70">
        <v>0</v>
      </c>
      <c r="AD25" s="70">
        <v>0</v>
      </c>
      <c r="AE25" s="70">
        <v>0</v>
      </c>
      <c r="AF25" s="70">
        <v>1</v>
      </c>
      <c r="AG25" s="70">
        <v>19</v>
      </c>
      <c r="AH25" s="70">
        <v>1</v>
      </c>
      <c r="AI25" s="70">
        <v>1</v>
      </c>
    </row>
    <row r="26" spans="1:35" customFormat="1" x14ac:dyDescent="0.35">
      <c r="A26" s="72">
        <v>265388</v>
      </c>
      <c r="B26" s="74" t="s">
        <v>62</v>
      </c>
      <c r="C26" s="75" t="s">
        <v>63</v>
      </c>
      <c r="D26" s="74" t="s">
        <v>64</v>
      </c>
      <c r="E26" s="70">
        <v>2</v>
      </c>
      <c r="F26" s="70">
        <v>3</v>
      </c>
      <c r="G26" s="70">
        <v>23</v>
      </c>
      <c r="H26" s="70">
        <v>0</v>
      </c>
      <c r="I26" s="70">
        <v>10</v>
      </c>
      <c r="J26" s="70">
        <v>28</v>
      </c>
      <c r="K26" s="70">
        <v>1</v>
      </c>
      <c r="L26" s="70">
        <v>8</v>
      </c>
      <c r="M26" s="70">
        <v>28</v>
      </c>
      <c r="N26" s="70">
        <v>1</v>
      </c>
      <c r="O26" s="70">
        <v>8</v>
      </c>
      <c r="P26" s="70">
        <f t="shared" si="2"/>
        <v>37</v>
      </c>
      <c r="Q26" s="70" t="s">
        <v>58</v>
      </c>
      <c r="R26" s="70" t="s">
        <v>58</v>
      </c>
      <c r="S26" s="70" t="s">
        <v>58</v>
      </c>
      <c r="T26" s="70" t="s">
        <v>58</v>
      </c>
      <c r="U26" s="70" t="s">
        <v>58</v>
      </c>
      <c r="V26" s="70" t="s">
        <v>58</v>
      </c>
      <c r="W26" s="70" t="s">
        <v>58</v>
      </c>
      <c r="X26" s="70" t="s">
        <v>58</v>
      </c>
      <c r="Y26" s="70" t="s">
        <v>58</v>
      </c>
      <c r="Z26" s="70" t="s">
        <v>58</v>
      </c>
      <c r="AA26" s="70">
        <v>0</v>
      </c>
      <c r="AB26" s="70">
        <v>100</v>
      </c>
      <c r="AC26" s="70">
        <v>0</v>
      </c>
      <c r="AD26" s="70">
        <v>0</v>
      </c>
      <c r="AE26" s="70">
        <v>0</v>
      </c>
      <c r="AF26" s="70">
        <v>1</v>
      </c>
      <c r="AG26" s="70">
        <v>21</v>
      </c>
      <c r="AH26" s="70">
        <v>1</v>
      </c>
      <c r="AI26" s="70">
        <v>1</v>
      </c>
    </row>
    <row r="27" spans="1:35" customFormat="1" x14ac:dyDescent="0.35">
      <c r="A27" s="72">
        <v>277194</v>
      </c>
      <c r="B27" s="74" t="s">
        <v>62</v>
      </c>
      <c r="C27" s="75" t="s">
        <v>63</v>
      </c>
      <c r="D27" s="74" t="s">
        <v>64</v>
      </c>
      <c r="E27" s="70">
        <v>1</v>
      </c>
      <c r="F27" s="70">
        <v>1</v>
      </c>
      <c r="G27" s="70" t="s">
        <v>58</v>
      </c>
      <c r="H27" s="70" t="s">
        <v>58</v>
      </c>
      <c r="I27" s="70" t="s">
        <v>58</v>
      </c>
      <c r="J27" s="70" t="s">
        <v>58</v>
      </c>
      <c r="K27" s="70" t="s">
        <v>58</v>
      </c>
      <c r="L27" s="70" t="s">
        <v>58</v>
      </c>
      <c r="M27" s="70" t="s">
        <v>58</v>
      </c>
      <c r="N27" s="70" t="s">
        <v>58</v>
      </c>
      <c r="O27" s="70" t="s">
        <v>58</v>
      </c>
      <c r="P27" s="70" t="s">
        <v>58</v>
      </c>
      <c r="Q27" s="70">
        <v>0</v>
      </c>
      <c r="R27" s="70">
        <v>5</v>
      </c>
      <c r="S27" s="70">
        <v>0</v>
      </c>
      <c r="T27" s="70">
        <v>0</v>
      </c>
      <c r="U27" s="70">
        <v>2</v>
      </c>
      <c r="V27" s="70">
        <v>0</v>
      </c>
      <c r="W27" s="70">
        <v>0</v>
      </c>
      <c r="X27" s="70">
        <v>5</v>
      </c>
      <c r="Y27" s="70">
        <v>0</v>
      </c>
      <c r="Z27" s="72">
        <f t="shared" ref="Z27" si="3">SUM(W27:Y27)</f>
        <v>5</v>
      </c>
      <c r="AA27" s="70">
        <v>0</v>
      </c>
      <c r="AB27" s="70">
        <v>20</v>
      </c>
      <c r="AC27" s="70">
        <v>1</v>
      </c>
      <c r="AD27" s="70">
        <v>1</v>
      </c>
      <c r="AE27" s="70">
        <v>1</v>
      </c>
      <c r="AF27" s="70">
        <v>2</v>
      </c>
      <c r="AG27" s="70">
        <v>21</v>
      </c>
      <c r="AH27" s="70">
        <v>1</v>
      </c>
      <c r="AI27" s="70">
        <v>1</v>
      </c>
    </row>
    <row r="28" spans="1:35" customFormat="1" x14ac:dyDescent="0.35">
      <c r="A28" s="72">
        <v>310918</v>
      </c>
      <c r="B28" s="74" t="s">
        <v>62</v>
      </c>
      <c r="C28" s="75" t="s">
        <v>63</v>
      </c>
      <c r="D28" s="74" t="s">
        <v>64</v>
      </c>
      <c r="E28" s="70">
        <v>2</v>
      </c>
      <c r="F28" s="70">
        <v>4</v>
      </c>
      <c r="G28" s="70">
        <v>25</v>
      </c>
      <c r="H28" s="70">
        <v>4</v>
      </c>
      <c r="I28" s="70">
        <v>6</v>
      </c>
      <c r="J28" s="70">
        <v>21</v>
      </c>
      <c r="K28" s="70">
        <v>6</v>
      </c>
      <c r="L28" s="70">
        <v>1</v>
      </c>
      <c r="M28" s="70">
        <v>25</v>
      </c>
      <c r="N28" s="70">
        <v>4</v>
      </c>
      <c r="O28" s="70">
        <v>6</v>
      </c>
      <c r="P28" s="70">
        <f>SUM(M28:O28)</f>
        <v>35</v>
      </c>
      <c r="Q28" s="70" t="s">
        <v>58</v>
      </c>
      <c r="R28" s="70" t="s">
        <v>58</v>
      </c>
      <c r="S28" s="70" t="s">
        <v>58</v>
      </c>
      <c r="T28" s="70" t="s">
        <v>58</v>
      </c>
      <c r="U28" s="70" t="s">
        <v>58</v>
      </c>
      <c r="V28" s="70" t="s">
        <v>58</v>
      </c>
      <c r="W28" s="70" t="s">
        <v>58</v>
      </c>
      <c r="X28" s="70" t="s">
        <v>58</v>
      </c>
      <c r="Y28" s="70" t="s">
        <v>58</v>
      </c>
      <c r="Z28" s="70" t="s">
        <v>58</v>
      </c>
      <c r="AA28" s="70">
        <v>0</v>
      </c>
      <c r="AB28" s="70">
        <v>70</v>
      </c>
      <c r="AC28" s="70">
        <v>0</v>
      </c>
      <c r="AD28" s="70">
        <v>0</v>
      </c>
      <c r="AE28" s="70">
        <v>0</v>
      </c>
      <c r="AF28" s="70">
        <v>1</v>
      </c>
      <c r="AG28" s="70">
        <v>22</v>
      </c>
      <c r="AH28" s="70">
        <v>2</v>
      </c>
      <c r="AI28" s="70">
        <v>1</v>
      </c>
    </row>
    <row r="29" spans="1:35" customFormat="1" x14ac:dyDescent="0.35">
      <c r="A29" s="72">
        <v>315045</v>
      </c>
      <c r="B29" s="74" t="s">
        <v>62</v>
      </c>
      <c r="C29" s="75" t="s">
        <v>63</v>
      </c>
      <c r="D29" s="74" t="s">
        <v>64</v>
      </c>
      <c r="E29" s="70">
        <v>1</v>
      </c>
      <c r="F29" s="70">
        <v>3</v>
      </c>
      <c r="G29" s="70" t="s">
        <v>58</v>
      </c>
      <c r="H29" s="70" t="s">
        <v>58</v>
      </c>
      <c r="I29" s="70" t="s">
        <v>58</v>
      </c>
      <c r="J29" s="70" t="s">
        <v>58</v>
      </c>
      <c r="K29" s="70" t="s">
        <v>58</v>
      </c>
      <c r="L29" s="70" t="s">
        <v>58</v>
      </c>
      <c r="M29" s="70" t="s">
        <v>58</v>
      </c>
      <c r="N29" s="70" t="s">
        <v>58</v>
      </c>
      <c r="O29" s="70" t="s">
        <v>58</v>
      </c>
      <c r="P29" s="70" t="s">
        <v>58</v>
      </c>
      <c r="Q29" s="70">
        <v>2</v>
      </c>
      <c r="R29" s="70">
        <v>2</v>
      </c>
      <c r="S29" s="70">
        <v>1</v>
      </c>
      <c r="T29" s="70">
        <v>1</v>
      </c>
      <c r="U29" s="70">
        <v>3</v>
      </c>
      <c r="V29" s="70">
        <v>1</v>
      </c>
      <c r="W29" s="70">
        <v>1</v>
      </c>
      <c r="X29" s="70">
        <v>3</v>
      </c>
      <c r="Y29" s="70">
        <v>1</v>
      </c>
      <c r="Z29" s="72">
        <f t="shared" ref="Z29:Z30" si="4">SUM(W29:Y29)</f>
        <v>5</v>
      </c>
      <c r="AA29" s="70">
        <v>10</v>
      </c>
      <c r="AB29" s="70">
        <v>20</v>
      </c>
      <c r="AC29" s="70">
        <v>0</v>
      </c>
      <c r="AD29" s="70">
        <v>0</v>
      </c>
      <c r="AE29" s="70">
        <v>0</v>
      </c>
      <c r="AF29" s="70">
        <v>2</v>
      </c>
      <c r="AG29" s="70">
        <v>21</v>
      </c>
      <c r="AH29" s="70">
        <v>1</v>
      </c>
      <c r="AI29" s="70">
        <v>1</v>
      </c>
    </row>
    <row r="30" spans="1:35" customFormat="1" x14ac:dyDescent="0.35">
      <c r="A30" s="72">
        <v>326586</v>
      </c>
      <c r="B30" s="74" t="s">
        <v>62</v>
      </c>
      <c r="C30" s="75" t="s">
        <v>63</v>
      </c>
      <c r="D30" s="74" t="s">
        <v>64</v>
      </c>
      <c r="E30" s="70">
        <v>1</v>
      </c>
      <c r="F30" s="70">
        <v>2</v>
      </c>
      <c r="G30" s="70" t="s">
        <v>58</v>
      </c>
      <c r="H30" s="70" t="s">
        <v>58</v>
      </c>
      <c r="I30" s="70" t="s">
        <v>58</v>
      </c>
      <c r="J30" s="70" t="s">
        <v>58</v>
      </c>
      <c r="K30" s="70" t="s">
        <v>58</v>
      </c>
      <c r="L30" s="70" t="s">
        <v>58</v>
      </c>
      <c r="M30" s="70" t="s">
        <v>58</v>
      </c>
      <c r="N30" s="70" t="s">
        <v>58</v>
      </c>
      <c r="O30" s="70" t="s">
        <v>58</v>
      </c>
      <c r="P30" s="70" t="s">
        <v>58</v>
      </c>
      <c r="Q30" s="70">
        <v>0</v>
      </c>
      <c r="R30" s="70">
        <v>2</v>
      </c>
      <c r="S30" s="70">
        <v>1</v>
      </c>
      <c r="T30" s="70">
        <v>0</v>
      </c>
      <c r="U30" s="70">
        <v>2</v>
      </c>
      <c r="V30" s="70">
        <v>1</v>
      </c>
      <c r="W30" s="70">
        <v>0</v>
      </c>
      <c r="X30" s="70">
        <v>2</v>
      </c>
      <c r="Y30" s="70">
        <v>1</v>
      </c>
      <c r="Z30" s="72">
        <f t="shared" si="4"/>
        <v>3</v>
      </c>
      <c r="AA30" s="70">
        <v>0</v>
      </c>
      <c r="AB30" s="70">
        <v>20</v>
      </c>
      <c r="AC30" s="70">
        <v>1</v>
      </c>
      <c r="AD30" s="70">
        <v>1</v>
      </c>
      <c r="AE30" s="70">
        <v>1</v>
      </c>
      <c r="AF30" s="70">
        <v>2</v>
      </c>
      <c r="AG30" s="70">
        <v>21</v>
      </c>
      <c r="AH30" s="70">
        <v>1</v>
      </c>
      <c r="AI30" s="70">
        <v>1</v>
      </c>
    </row>
    <row r="31" spans="1:35" customFormat="1" x14ac:dyDescent="0.35">
      <c r="A31" s="72">
        <v>330133</v>
      </c>
      <c r="B31" s="74" t="s">
        <v>62</v>
      </c>
      <c r="C31" s="75" t="s">
        <v>63</v>
      </c>
      <c r="D31" s="74" t="s">
        <v>64</v>
      </c>
      <c r="E31" s="70">
        <v>2</v>
      </c>
      <c r="F31" s="70">
        <v>3</v>
      </c>
      <c r="G31" s="70">
        <v>15</v>
      </c>
      <c r="H31" s="70">
        <v>7</v>
      </c>
      <c r="I31" s="70">
        <v>19</v>
      </c>
      <c r="J31" s="70">
        <v>25</v>
      </c>
      <c r="K31" s="70">
        <v>3</v>
      </c>
      <c r="L31" s="70">
        <v>9</v>
      </c>
      <c r="M31" s="70">
        <v>22</v>
      </c>
      <c r="N31" s="70">
        <v>5</v>
      </c>
      <c r="O31" s="70">
        <v>13</v>
      </c>
      <c r="P31" s="70">
        <f>SUM(M31:O31)</f>
        <v>40</v>
      </c>
      <c r="Q31" s="70" t="s">
        <v>58</v>
      </c>
      <c r="R31" s="70" t="s">
        <v>58</v>
      </c>
      <c r="S31" s="70" t="s">
        <v>58</v>
      </c>
      <c r="T31" s="70" t="s">
        <v>58</v>
      </c>
      <c r="U31" s="70" t="s">
        <v>58</v>
      </c>
      <c r="V31" s="70" t="s">
        <v>58</v>
      </c>
      <c r="W31" s="70" t="s">
        <v>58</v>
      </c>
      <c r="X31" s="70" t="s">
        <v>58</v>
      </c>
      <c r="Y31" s="70" t="s">
        <v>58</v>
      </c>
      <c r="Z31" s="70" t="s">
        <v>58</v>
      </c>
      <c r="AA31" s="70">
        <v>15</v>
      </c>
      <c r="AB31" s="70">
        <v>90</v>
      </c>
      <c r="AC31" s="70">
        <v>0</v>
      </c>
      <c r="AD31" s="70">
        <v>0</v>
      </c>
      <c r="AE31" s="70">
        <v>0</v>
      </c>
      <c r="AF31" s="70">
        <v>1</v>
      </c>
      <c r="AG31" s="70">
        <v>29</v>
      </c>
      <c r="AH31" s="70">
        <v>2</v>
      </c>
      <c r="AI31" s="70">
        <v>1</v>
      </c>
    </row>
    <row r="32" spans="1:35" customFormat="1" x14ac:dyDescent="0.35">
      <c r="A32" s="72">
        <v>341963</v>
      </c>
      <c r="B32" s="74" t="s">
        <v>62</v>
      </c>
      <c r="C32" s="75" t="s">
        <v>63</v>
      </c>
      <c r="D32" s="74" t="s">
        <v>64</v>
      </c>
      <c r="E32" s="70">
        <v>2</v>
      </c>
      <c r="F32" s="70">
        <v>4</v>
      </c>
      <c r="G32" s="70">
        <v>4</v>
      </c>
      <c r="H32" s="70">
        <v>1</v>
      </c>
      <c r="I32" s="70">
        <v>14</v>
      </c>
      <c r="J32" s="70">
        <v>5</v>
      </c>
      <c r="K32" s="70">
        <v>0</v>
      </c>
      <c r="L32" s="70">
        <v>12</v>
      </c>
      <c r="M32" s="70">
        <v>5</v>
      </c>
      <c r="N32" s="70">
        <v>0</v>
      </c>
      <c r="O32" s="70">
        <v>12</v>
      </c>
      <c r="P32" s="70">
        <f>SUM(M32:O32)</f>
        <v>17</v>
      </c>
      <c r="Q32" s="70" t="s">
        <v>58</v>
      </c>
      <c r="R32" s="70" t="s">
        <v>58</v>
      </c>
      <c r="S32" s="70" t="s">
        <v>58</v>
      </c>
      <c r="T32" s="70" t="s">
        <v>58</v>
      </c>
      <c r="U32" s="70" t="s">
        <v>58</v>
      </c>
      <c r="V32" s="70" t="s">
        <v>58</v>
      </c>
      <c r="W32" s="70" t="s">
        <v>58</v>
      </c>
      <c r="X32" s="70" t="s">
        <v>58</v>
      </c>
      <c r="Y32" s="70" t="s">
        <v>58</v>
      </c>
      <c r="Z32" s="70" t="s">
        <v>58</v>
      </c>
      <c r="AA32" s="70">
        <v>0</v>
      </c>
      <c r="AB32" s="70">
        <v>80</v>
      </c>
      <c r="AC32" s="70">
        <v>0</v>
      </c>
      <c r="AD32" s="70">
        <v>0</v>
      </c>
      <c r="AE32" s="70">
        <v>0</v>
      </c>
      <c r="AF32" s="70">
        <v>1</v>
      </c>
      <c r="AG32" s="70">
        <v>21</v>
      </c>
      <c r="AH32" s="70">
        <v>1</v>
      </c>
      <c r="AI32" s="70">
        <v>1</v>
      </c>
    </row>
    <row r="33" spans="1:35" customFormat="1" x14ac:dyDescent="0.35">
      <c r="A33" s="72">
        <v>352082</v>
      </c>
      <c r="B33" s="74" t="s">
        <v>62</v>
      </c>
      <c r="C33" s="75" t="s">
        <v>63</v>
      </c>
      <c r="D33" s="74" t="s">
        <v>64</v>
      </c>
      <c r="E33" s="70">
        <v>1</v>
      </c>
      <c r="F33" s="70">
        <v>1</v>
      </c>
      <c r="G33" s="70" t="s">
        <v>58</v>
      </c>
      <c r="H33" s="70" t="s">
        <v>58</v>
      </c>
      <c r="I33" s="70" t="s">
        <v>58</v>
      </c>
      <c r="J33" s="70" t="s">
        <v>58</v>
      </c>
      <c r="K33" s="70" t="s">
        <v>58</v>
      </c>
      <c r="L33" s="70" t="s">
        <v>58</v>
      </c>
      <c r="M33" s="70" t="s">
        <v>58</v>
      </c>
      <c r="N33" s="70" t="s">
        <v>58</v>
      </c>
      <c r="O33" s="70" t="s">
        <v>58</v>
      </c>
      <c r="P33" s="70" t="s">
        <v>58</v>
      </c>
      <c r="Q33" s="70">
        <v>0</v>
      </c>
      <c r="R33" s="70">
        <v>8</v>
      </c>
      <c r="S33" s="70">
        <v>8</v>
      </c>
      <c r="T33" s="70">
        <v>4</v>
      </c>
      <c r="U33" s="70">
        <v>3</v>
      </c>
      <c r="V33" s="70">
        <v>4</v>
      </c>
      <c r="W33" s="70">
        <v>4</v>
      </c>
      <c r="X33" s="70">
        <v>3</v>
      </c>
      <c r="Y33" s="70">
        <v>4</v>
      </c>
      <c r="Z33" s="72">
        <f t="shared" ref="Z33" si="5">SUM(W33:Y33)</f>
        <v>11</v>
      </c>
      <c r="AA33" s="70">
        <v>0</v>
      </c>
      <c r="AB33" s="70">
        <v>20</v>
      </c>
      <c r="AC33" s="70">
        <v>1</v>
      </c>
      <c r="AD33" s="70">
        <v>1</v>
      </c>
      <c r="AE33" s="70">
        <v>1</v>
      </c>
      <c r="AF33" s="70">
        <v>2</v>
      </c>
      <c r="AG33" s="70">
        <v>20</v>
      </c>
      <c r="AH33" s="70">
        <v>1</v>
      </c>
      <c r="AI33" s="70">
        <v>1</v>
      </c>
    </row>
    <row r="34" spans="1:35" customFormat="1" x14ac:dyDescent="0.35">
      <c r="A34" s="72">
        <v>354902</v>
      </c>
      <c r="B34" s="74" t="s">
        <v>62</v>
      </c>
      <c r="C34" s="75" t="s">
        <v>63</v>
      </c>
      <c r="D34" s="74" t="s">
        <v>64</v>
      </c>
      <c r="E34" s="70">
        <v>2</v>
      </c>
      <c r="F34" s="70">
        <v>2</v>
      </c>
      <c r="G34" s="70">
        <v>0</v>
      </c>
      <c r="H34" s="70">
        <v>8</v>
      </c>
      <c r="I34" s="70">
        <v>0</v>
      </c>
      <c r="J34" s="70">
        <v>0</v>
      </c>
      <c r="K34" s="70">
        <v>3</v>
      </c>
      <c r="L34" s="70">
        <v>1</v>
      </c>
      <c r="M34" s="70">
        <v>0</v>
      </c>
      <c r="N34" s="70">
        <v>3</v>
      </c>
      <c r="O34" s="70">
        <v>1</v>
      </c>
      <c r="P34" s="70">
        <f>SUM(M34:O34)</f>
        <v>4</v>
      </c>
      <c r="Q34" s="70" t="s">
        <v>58</v>
      </c>
      <c r="R34" s="70" t="s">
        <v>58</v>
      </c>
      <c r="S34" s="70" t="s">
        <v>58</v>
      </c>
      <c r="T34" s="70" t="s">
        <v>58</v>
      </c>
      <c r="U34" s="70" t="s">
        <v>58</v>
      </c>
      <c r="V34" s="70" t="s">
        <v>58</v>
      </c>
      <c r="W34" s="70" t="s">
        <v>58</v>
      </c>
      <c r="X34" s="70" t="s">
        <v>58</v>
      </c>
      <c r="Y34" s="70" t="s">
        <v>58</v>
      </c>
      <c r="Z34" s="70" t="s">
        <v>58</v>
      </c>
      <c r="AA34" s="70">
        <v>0</v>
      </c>
      <c r="AB34" s="70">
        <v>10</v>
      </c>
      <c r="AC34" s="70">
        <v>0</v>
      </c>
      <c r="AD34" s="70">
        <v>0</v>
      </c>
      <c r="AE34" s="70">
        <v>0</v>
      </c>
      <c r="AF34" s="70">
        <v>1</v>
      </c>
      <c r="AG34" s="70">
        <v>20</v>
      </c>
      <c r="AH34" s="70">
        <v>1</v>
      </c>
      <c r="AI34" s="70">
        <v>1</v>
      </c>
    </row>
    <row r="35" spans="1:35" customFormat="1" x14ac:dyDescent="0.35">
      <c r="A35" s="72">
        <v>367470</v>
      </c>
      <c r="B35" s="74" t="s">
        <v>62</v>
      </c>
      <c r="C35" s="75" t="s">
        <v>63</v>
      </c>
      <c r="D35" s="74" t="s">
        <v>64</v>
      </c>
      <c r="E35" s="70">
        <v>1</v>
      </c>
      <c r="F35" s="70">
        <v>1</v>
      </c>
      <c r="G35" s="70" t="s">
        <v>58</v>
      </c>
      <c r="H35" s="70" t="s">
        <v>58</v>
      </c>
      <c r="I35" s="70" t="s">
        <v>58</v>
      </c>
      <c r="J35" s="70" t="s">
        <v>58</v>
      </c>
      <c r="K35" s="70" t="s">
        <v>58</v>
      </c>
      <c r="L35" s="70" t="s">
        <v>58</v>
      </c>
      <c r="M35" s="70" t="s">
        <v>58</v>
      </c>
      <c r="N35" s="70" t="s">
        <v>58</v>
      </c>
      <c r="O35" s="70" t="s">
        <v>58</v>
      </c>
      <c r="P35" s="70" t="s">
        <v>58</v>
      </c>
      <c r="Q35" s="70">
        <v>0</v>
      </c>
      <c r="R35" s="70">
        <v>3</v>
      </c>
      <c r="S35" s="70">
        <v>2</v>
      </c>
      <c r="T35" s="70">
        <v>0</v>
      </c>
      <c r="U35" s="70">
        <v>0</v>
      </c>
      <c r="V35" s="70">
        <v>2</v>
      </c>
      <c r="W35" s="70">
        <v>0</v>
      </c>
      <c r="X35" s="70">
        <v>3</v>
      </c>
      <c r="Y35" s="70">
        <v>2</v>
      </c>
      <c r="Z35" s="72">
        <f t="shared" ref="Z35" si="6">SUM(W35:Y35)</f>
        <v>5</v>
      </c>
      <c r="AA35" s="70">
        <v>0</v>
      </c>
      <c r="AB35" s="70">
        <v>2</v>
      </c>
      <c r="AC35" s="70">
        <v>1</v>
      </c>
      <c r="AD35" s="70">
        <v>1</v>
      </c>
      <c r="AE35" s="70">
        <v>1</v>
      </c>
      <c r="AF35" s="70">
        <v>2</v>
      </c>
      <c r="AG35" s="70">
        <v>22</v>
      </c>
      <c r="AH35" s="70">
        <v>1</v>
      </c>
      <c r="AI35" s="70">
        <v>1</v>
      </c>
    </row>
    <row r="36" spans="1:35" customFormat="1" x14ac:dyDescent="0.35">
      <c r="A36" s="72">
        <v>377404</v>
      </c>
      <c r="B36" s="74" t="s">
        <v>62</v>
      </c>
      <c r="C36" s="75" t="s">
        <v>63</v>
      </c>
      <c r="D36" s="74" t="s">
        <v>64</v>
      </c>
      <c r="E36" s="70">
        <v>1</v>
      </c>
      <c r="F36" s="70">
        <v>2</v>
      </c>
      <c r="G36" s="70" t="s">
        <v>58</v>
      </c>
      <c r="H36" s="70" t="s">
        <v>58</v>
      </c>
      <c r="I36" s="70" t="s">
        <v>58</v>
      </c>
      <c r="J36" s="70" t="s">
        <v>58</v>
      </c>
      <c r="K36" s="70" t="s">
        <v>58</v>
      </c>
      <c r="L36" s="70" t="s">
        <v>58</v>
      </c>
      <c r="M36" s="70" t="s">
        <v>58</v>
      </c>
      <c r="N36" s="70" t="s">
        <v>58</v>
      </c>
      <c r="O36" s="70" t="s">
        <v>58</v>
      </c>
      <c r="P36" s="70" t="s">
        <v>58</v>
      </c>
      <c r="Q36" s="70">
        <v>0</v>
      </c>
      <c r="R36" s="70">
        <v>12</v>
      </c>
      <c r="S36" s="70">
        <v>2</v>
      </c>
      <c r="T36" s="70">
        <v>1</v>
      </c>
      <c r="U36" s="70">
        <v>12</v>
      </c>
      <c r="V36" s="70">
        <v>1</v>
      </c>
      <c r="W36" s="70">
        <v>0</v>
      </c>
      <c r="X36" s="70">
        <v>12</v>
      </c>
      <c r="Y36" s="70">
        <v>2</v>
      </c>
      <c r="Z36" s="70">
        <f>SUM(W36:Y36)</f>
        <v>14</v>
      </c>
      <c r="AA36" s="70">
        <v>0</v>
      </c>
      <c r="AB36" s="70">
        <v>60</v>
      </c>
      <c r="AC36" s="70">
        <v>1</v>
      </c>
      <c r="AD36" s="70">
        <v>1</v>
      </c>
      <c r="AE36" s="70">
        <v>1</v>
      </c>
      <c r="AF36" s="70">
        <v>2</v>
      </c>
      <c r="AG36" s="70">
        <v>23</v>
      </c>
      <c r="AH36" s="70">
        <v>1</v>
      </c>
      <c r="AI36" s="70">
        <v>1</v>
      </c>
    </row>
    <row r="37" spans="1:35" customFormat="1" x14ac:dyDescent="0.35">
      <c r="A37" s="72">
        <v>390736</v>
      </c>
      <c r="B37" s="74" t="s">
        <v>62</v>
      </c>
      <c r="C37" s="75" t="s">
        <v>63</v>
      </c>
      <c r="D37" s="74" t="s">
        <v>64</v>
      </c>
      <c r="E37" s="70">
        <v>2</v>
      </c>
      <c r="F37" s="70">
        <v>3</v>
      </c>
      <c r="G37" s="70">
        <v>0</v>
      </c>
      <c r="H37" s="70">
        <v>12</v>
      </c>
      <c r="I37" s="70">
        <v>38</v>
      </c>
      <c r="J37" s="70">
        <v>3</v>
      </c>
      <c r="K37" s="70">
        <v>8</v>
      </c>
      <c r="L37" s="70">
        <v>40</v>
      </c>
      <c r="M37" s="70">
        <v>3</v>
      </c>
      <c r="N37" s="70">
        <v>8</v>
      </c>
      <c r="O37" s="70">
        <v>40</v>
      </c>
      <c r="P37" s="70">
        <f>SUM(M37:O37)</f>
        <v>51</v>
      </c>
      <c r="Q37" s="70" t="s">
        <v>58</v>
      </c>
      <c r="R37" s="70" t="s">
        <v>58</v>
      </c>
      <c r="S37" s="70" t="s">
        <v>58</v>
      </c>
      <c r="T37" s="70" t="s">
        <v>58</v>
      </c>
      <c r="U37" s="70" t="s">
        <v>58</v>
      </c>
      <c r="V37" s="70" t="s">
        <v>58</v>
      </c>
      <c r="W37" s="70" t="s">
        <v>58</v>
      </c>
      <c r="X37" s="70" t="s">
        <v>58</v>
      </c>
      <c r="Y37" s="70" t="s">
        <v>58</v>
      </c>
      <c r="Z37" s="70" t="s">
        <v>58</v>
      </c>
      <c r="AA37" s="70">
        <v>10</v>
      </c>
      <c r="AB37" s="70">
        <v>95</v>
      </c>
      <c r="AC37" s="70">
        <v>0</v>
      </c>
      <c r="AD37" s="70">
        <v>0</v>
      </c>
      <c r="AE37" s="70">
        <v>0</v>
      </c>
      <c r="AF37" s="70">
        <v>1</v>
      </c>
      <c r="AG37" s="70">
        <v>21</v>
      </c>
      <c r="AH37" s="70">
        <v>1</v>
      </c>
      <c r="AI37" s="70">
        <v>1</v>
      </c>
    </row>
    <row r="38" spans="1:35" customFormat="1" x14ac:dyDescent="0.35">
      <c r="A38" s="72">
        <v>409475</v>
      </c>
      <c r="B38" s="74" t="s">
        <v>62</v>
      </c>
      <c r="C38" s="75" t="s">
        <v>63</v>
      </c>
      <c r="D38" s="74" t="s">
        <v>64</v>
      </c>
      <c r="E38" s="70">
        <v>1</v>
      </c>
      <c r="F38" s="70">
        <v>4</v>
      </c>
      <c r="G38" s="70" t="s">
        <v>58</v>
      </c>
      <c r="H38" s="70" t="s">
        <v>58</v>
      </c>
      <c r="I38" s="70" t="s">
        <v>58</v>
      </c>
      <c r="J38" s="70" t="s">
        <v>58</v>
      </c>
      <c r="K38" s="70" t="s">
        <v>58</v>
      </c>
      <c r="L38" s="70" t="s">
        <v>58</v>
      </c>
      <c r="M38" s="70" t="s">
        <v>58</v>
      </c>
      <c r="N38" s="70" t="s">
        <v>58</v>
      </c>
      <c r="O38" s="70" t="s">
        <v>58</v>
      </c>
      <c r="P38" s="70" t="s">
        <v>58</v>
      </c>
      <c r="Q38" s="70">
        <v>0</v>
      </c>
      <c r="R38" s="70">
        <v>2</v>
      </c>
      <c r="S38" s="70">
        <v>0</v>
      </c>
      <c r="T38" s="70">
        <v>0</v>
      </c>
      <c r="U38" s="70">
        <v>2</v>
      </c>
      <c r="V38" s="70">
        <v>0</v>
      </c>
      <c r="W38" s="70">
        <v>0</v>
      </c>
      <c r="X38" s="70">
        <v>2</v>
      </c>
      <c r="Y38" s="70">
        <v>0</v>
      </c>
      <c r="Z38" s="72">
        <f t="shared" ref="Z38:Z40" si="7">SUM(W38:Y38)</f>
        <v>2</v>
      </c>
      <c r="AA38" s="70">
        <v>0</v>
      </c>
      <c r="AB38" s="70">
        <v>5</v>
      </c>
      <c r="AC38" s="70">
        <v>1</v>
      </c>
      <c r="AD38" s="70">
        <v>1</v>
      </c>
      <c r="AE38" s="70">
        <v>1</v>
      </c>
      <c r="AF38" s="70">
        <v>2</v>
      </c>
      <c r="AG38" s="70">
        <v>22</v>
      </c>
      <c r="AH38" s="70">
        <v>1</v>
      </c>
      <c r="AI38" s="70">
        <v>1</v>
      </c>
    </row>
    <row r="39" spans="1:35" customFormat="1" x14ac:dyDescent="0.35">
      <c r="A39" s="72">
        <v>413817</v>
      </c>
      <c r="B39" s="74" t="s">
        <v>62</v>
      </c>
      <c r="C39" s="75" t="s">
        <v>63</v>
      </c>
      <c r="D39" s="74" t="s">
        <v>64</v>
      </c>
      <c r="E39" s="70">
        <v>1</v>
      </c>
      <c r="F39" s="70">
        <v>2</v>
      </c>
      <c r="G39" s="70" t="s">
        <v>58</v>
      </c>
      <c r="H39" s="70" t="s">
        <v>58</v>
      </c>
      <c r="I39" s="70" t="s">
        <v>58</v>
      </c>
      <c r="J39" s="70" t="s">
        <v>58</v>
      </c>
      <c r="K39" s="70" t="s">
        <v>58</v>
      </c>
      <c r="L39" s="70" t="s">
        <v>58</v>
      </c>
      <c r="M39" s="70" t="s">
        <v>58</v>
      </c>
      <c r="N39" s="70" t="s">
        <v>58</v>
      </c>
      <c r="O39" s="70" t="s">
        <v>58</v>
      </c>
      <c r="P39" s="70" t="s">
        <v>58</v>
      </c>
      <c r="Q39" s="70">
        <v>1</v>
      </c>
      <c r="R39" s="70">
        <v>6</v>
      </c>
      <c r="S39" s="70">
        <v>0</v>
      </c>
      <c r="T39" s="70">
        <v>0</v>
      </c>
      <c r="U39" s="70">
        <v>3</v>
      </c>
      <c r="V39" s="70">
        <v>1</v>
      </c>
      <c r="W39" s="70">
        <v>1</v>
      </c>
      <c r="X39" s="70">
        <v>6</v>
      </c>
      <c r="Y39" s="70">
        <v>0</v>
      </c>
      <c r="Z39" s="72">
        <f t="shared" si="7"/>
        <v>7</v>
      </c>
      <c r="AA39" s="70">
        <v>0</v>
      </c>
      <c r="AB39" s="70">
        <v>46</v>
      </c>
      <c r="AC39" s="70">
        <v>1</v>
      </c>
      <c r="AD39" s="70">
        <v>1</v>
      </c>
      <c r="AE39" s="70">
        <v>1</v>
      </c>
      <c r="AF39" s="70">
        <v>2</v>
      </c>
      <c r="AG39" s="70">
        <v>22</v>
      </c>
      <c r="AH39" s="70">
        <v>1</v>
      </c>
      <c r="AI39" s="70">
        <v>1</v>
      </c>
    </row>
    <row r="40" spans="1:35" customFormat="1" x14ac:dyDescent="0.35">
      <c r="A40" s="72">
        <v>416519</v>
      </c>
      <c r="B40" s="74" t="s">
        <v>62</v>
      </c>
      <c r="C40" s="75" t="s">
        <v>63</v>
      </c>
      <c r="D40" s="74" t="s">
        <v>64</v>
      </c>
      <c r="E40" s="70">
        <v>1</v>
      </c>
      <c r="F40" s="70">
        <v>4</v>
      </c>
      <c r="G40" s="70" t="s">
        <v>58</v>
      </c>
      <c r="H40" s="70" t="s">
        <v>58</v>
      </c>
      <c r="I40" s="70" t="s">
        <v>58</v>
      </c>
      <c r="J40" s="70" t="s">
        <v>58</v>
      </c>
      <c r="K40" s="70" t="s">
        <v>58</v>
      </c>
      <c r="L40" s="70" t="s">
        <v>58</v>
      </c>
      <c r="M40" s="70" t="s">
        <v>58</v>
      </c>
      <c r="N40" s="70" t="s">
        <v>58</v>
      </c>
      <c r="O40" s="70" t="s">
        <v>58</v>
      </c>
      <c r="P40" s="70" t="s">
        <v>58</v>
      </c>
      <c r="Q40" s="70">
        <v>0</v>
      </c>
      <c r="R40" s="70">
        <v>3</v>
      </c>
      <c r="S40" s="70">
        <v>5</v>
      </c>
      <c r="T40" s="70">
        <v>1</v>
      </c>
      <c r="U40" s="70">
        <v>3</v>
      </c>
      <c r="V40" s="70">
        <v>4</v>
      </c>
      <c r="W40" s="70">
        <v>1</v>
      </c>
      <c r="X40" s="70">
        <v>3</v>
      </c>
      <c r="Y40" s="70">
        <v>4</v>
      </c>
      <c r="Z40" s="72">
        <f t="shared" si="7"/>
        <v>8</v>
      </c>
      <c r="AA40" s="70">
        <v>0</v>
      </c>
      <c r="AB40" s="70">
        <v>13</v>
      </c>
      <c r="AC40" s="70">
        <v>1</v>
      </c>
      <c r="AD40" s="70">
        <v>1</v>
      </c>
      <c r="AE40" s="70">
        <v>1</v>
      </c>
      <c r="AF40" s="70">
        <v>2</v>
      </c>
      <c r="AG40" s="70">
        <v>19</v>
      </c>
      <c r="AH40" s="70">
        <v>1</v>
      </c>
      <c r="AI40" s="70">
        <v>1</v>
      </c>
    </row>
    <row r="41" spans="1:35" customFormat="1" x14ac:dyDescent="0.35">
      <c r="A41" s="72">
        <v>418447</v>
      </c>
      <c r="B41" s="74" t="s">
        <v>62</v>
      </c>
      <c r="C41" s="75" t="s">
        <v>63</v>
      </c>
      <c r="D41" s="74" t="s">
        <v>64</v>
      </c>
      <c r="E41" s="70">
        <v>2</v>
      </c>
      <c r="F41" s="70">
        <v>2</v>
      </c>
      <c r="G41" s="70">
        <v>8</v>
      </c>
      <c r="H41" s="70">
        <v>9</v>
      </c>
      <c r="I41" s="70">
        <v>3</v>
      </c>
      <c r="J41" s="70">
        <v>10</v>
      </c>
      <c r="K41" s="70">
        <v>5</v>
      </c>
      <c r="L41" s="70">
        <v>4</v>
      </c>
      <c r="M41" s="70">
        <v>8</v>
      </c>
      <c r="N41" s="70">
        <v>9</v>
      </c>
      <c r="O41" s="70">
        <v>3</v>
      </c>
      <c r="P41" s="70">
        <f>SUM(M41:O41)</f>
        <v>20</v>
      </c>
      <c r="Q41" s="70" t="s">
        <v>58</v>
      </c>
      <c r="R41" s="70" t="s">
        <v>58</v>
      </c>
      <c r="S41" s="70" t="s">
        <v>58</v>
      </c>
      <c r="T41" s="70" t="s">
        <v>58</v>
      </c>
      <c r="U41" s="70" t="s">
        <v>58</v>
      </c>
      <c r="V41" s="70" t="s">
        <v>58</v>
      </c>
      <c r="W41" s="70" t="s">
        <v>58</v>
      </c>
      <c r="X41" s="70" t="s">
        <v>58</v>
      </c>
      <c r="Y41" s="70" t="s">
        <v>58</v>
      </c>
      <c r="Z41" s="70" t="s">
        <v>58</v>
      </c>
      <c r="AA41" s="70">
        <v>0</v>
      </c>
      <c r="AB41" s="70">
        <v>65</v>
      </c>
      <c r="AC41" s="70">
        <v>0</v>
      </c>
      <c r="AD41" s="70">
        <v>0</v>
      </c>
      <c r="AE41" s="70">
        <v>0</v>
      </c>
      <c r="AF41" s="70">
        <v>2</v>
      </c>
      <c r="AG41" s="70">
        <v>18</v>
      </c>
      <c r="AH41" s="70">
        <v>1</v>
      </c>
      <c r="AI41" s="70">
        <v>1</v>
      </c>
    </row>
    <row r="42" spans="1:35" customFormat="1" x14ac:dyDescent="0.35">
      <c r="A42" s="72">
        <v>428071</v>
      </c>
      <c r="B42" s="74" t="s">
        <v>62</v>
      </c>
      <c r="C42" s="75" t="s">
        <v>63</v>
      </c>
      <c r="D42" s="74" t="s">
        <v>64</v>
      </c>
      <c r="E42" s="70">
        <v>1</v>
      </c>
      <c r="F42" s="70">
        <v>2</v>
      </c>
      <c r="G42" s="70" t="s">
        <v>58</v>
      </c>
      <c r="H42" s="70" t="s">
        <v>58</v>
      </c>
      <c r="I42" s="70" t="s">
        <v>58</v>
      </c>
      <c r="J42" s="70" t="s">
        <v>58</v>
      </c>
      <c r="K42" s="70" t="s">
        <v>58</v>
      </c>
      <c r="L42" s="70" t="s">
        <v>58</v>
      </c>
      <c r="M42" s="70" t="s">
        <v>58</v>
      </c>
      <c r="N42" s="70" t="s">
        <v>58</v>
      </c>
      <c r="O42" s="70" t="s">
        <v>58</v>
      </c>
      <c r="P42" s="70" t="s">
        <v>58</v>
      </c>
      <c r="Q42" s="70">
        <v>0</v>
      </c>
      <c r="R42" s="70">
        <v>0</v>
      </c>
      <c r="S42" s="70">
        <v>2</v>
      </c>
      <c r="T42" s="70">
        <v>0</v>
      </c>
      <c r="U42" s="70">
        <v>1</v>
      </c>
      <c r="V42" s="70">
        <v>2</v>
      </c>
      <c r="W42" s="70">
        <v>0</v>
      </c>
      <c r="X42" s="70">
        <v>1</v>
      </c>
      <c r="Y42" s="70">
        <v>2</v>
      </c>
      <c r="Z42" s="72">
        <f t="shared" ref="Z42" si="8">SUM(W42:Y42)</f>
        <v>3</v>
      </c>
      <c r="AA42" s="70">
        <v>0</v>
      </c>
      <c r="AB42" s="70">
        <v>15</v>
      </c>
      <c r="AC42" s="70">
        <v>1</v>
      </c>
      <c r="AD42" s="70">
        <v>1</v>
      </c>
      <c r="AE42" s="70">
        <v>1</v>
      </c>
      <c r="AF42" s="70">
        <v>2</v>
      </c>
      <c r="AG42" s="70">
        <v>18</v>
      </c>
      <c r="AH42" s="70">
        <v>1</v>
      </c>
      <c r="AI42" s="70">
        <v>1</v>
      </c>
    </row>
    <row r="43" spans="1:35" customFormat="1" x14ac:dyDescent="0.35">
      <c r="A43" s="72">
        <v>435253</v>
      </c>
      <c r="B43" s="74" t="s">
        <v>62</v>
      </c>
      <c r="C43" s="75" t="s">
        <v>63</v>
      </c>
      <c r="D43" s="74" t="s">
        <v>64</v>
      </c>
      <c r="E43" s="70">
        <v>2</v>
      </c>
      <c r="F43" s="70">
        <v>4</v>
      </c>
      <c r="G43" s="70">
        <v>4</v>
      </c>
      <c r="H43" s="70">
        <v>1</v>
      </c>
      <c r="I43" s="70">
        <v>7</v>
      </c>
      <c r="J43" s="70">
        <v>6</v>
      </c>
      <c r="K43" s="70">
        <v>0</v>
      </c>
      <c r="L43" s="70">
        <v>6</v>
      </c>
      <c r="M43" s="70">
        <v>6</v>
      </c>
      <c r="N43" s="70">
        <v>0</v>
      </c>
      <c r="O43" s="70">
        <v>6</v>
      </c>
      <c r="P43" s="70">
        <f>SUM(L43:N43)</f>
        <v>12</v>
      </c>
      <c r="Q43" s="70" t="s">
        <v>58</v>
      </c>
      <c r="R43" s="70" t="s">
        <v>58</v>
      </c>
      <c r="S43" s="70" t="s">
        <v>58</v>
      </c>
      <c r="T43" s="70" t="s">
        <v>58</v>
      </c>
      <c r="U43" s="70" t="s">
        <v>58</v>
      </c>
      <c r="V43" s="70" t="s">
        <v>58</v>
      </c>
      <c r="W43" s="70" t="s">
        <v>58</v>
      </c>
      <c r="X43" s="70" t="s">
        <v>58</v>
      </c>
      <c r="Y43" s="70" t="s">
        <v>58</v>
      </c>
      <c r="Z43" s="70" t="s">
        <v>58</v>
      </c>
      <c r="AA43" s="70">
        <v>0</v>
      </c>
      <c r="AB43" s="70">
        <v>100</v>
      </c>
      <c r="AC43" s="70">
        <v>0</v>
      </c>
      <c r="AD43" s="70">
        <v>0</v>
      </c>
      <c r="AE43" s="70">
        <v>0</v>
      </c>
      <c r="AF43" s="70">
        <v>1</v>
      </c>
      <c r="AG43" s="70">
        <v>21</v>
      </c>
      <c r="AH43" s="70">
        <v>1</v>
      </c>
      <c r="AI43" s="70">
        <v>1</v>
      </c>
    </row>
    <row r="44" spans="1:35" customFormat="1" x14ac:dyDescent="0.35">
      <c r="A44" s="72">
        <v>441477</v>
      </c>
      <c r="B44" s="74" t="s">
        <v>62</v>
      </c>
      <c r="C44" s="75" t="s">
        <v>63</v>
      </c>
      <c r="D44" s="74" t="s">
        <v>64</v>
      </c>
      <c r="E44" s="70">
        <v>1</v>
      </c>
      <c r="F44" s="70">
        <v>2</v>
      </c>
      <c r="G44" s="70" t="s">
        <v>58</v>
      </c>
      <c r="H44" s="70" t="s">
        <v>58</v>
      </c>
      <c r="I44" s="70" t="s">
        <v>58</v>
      </c>
      <c r="J44" s="70" t="s">
        <v>58</v>
      </c>
      <c r="K44" s="70" t="s">
        <v>58</v>
      </c>
      <c r="L44" s="70" t="s">
        <v>58</v>
      </c>
      <c r="M44" s="70" t="s">
        <v>58</v>
      </c>
      <c r="N44" s="70" t="s">
        <v>58</v>
      </c>
      <c r="O44" s="70" t="s">
        <v>58</v>
      </c>
      <c r="P44" s="70" t="s">
        <v>58</v>
      </c>
      <c r="Q44" s="70">
        <v>0</v>
      </c>
      <c r="R44" s="70">
        <v>6</v>
      </c>
      <c r="S44" s="70">
        <v>0</v>
      </c>
      <c r="T44" s="70">
        <v>0</v>
      </c>
      <c r="U44" s="70">
        <v>5</v>
      </c>
      <c r="V44" s="70">
        <v>0</v>
      </c>
      <c r="W44" s="70">
        <v>0</v>
      </c>
      <c r="X44" s="70">
        <v>6</v>
      </c>
      <c r="Y44" s="70">
        <v>0</v>
      </c>
      <c r="Z44" s="72">
        <f t="shared" ref="Z44:Z45" si="9">SUM(W44:Y44)</f>
        <v>6</v>
      </c>
      <c r="AA44" s="70">
        <v>0</v>
      </c>
      <c r="AB44" s="70">
        <v>5</v>
      </c>
      <c r="AC44" s="70">
        <v>1</v>
      </c>
      <c r="AD44" s="70">
        <v>1</v>
      </c>
      <c r="AE44" s="70">
        <v>1</v>
      </c>
      <c r="AF44" s="70">
        <v>2</v>
      </c>
      <c r="AG44" s="70">
        <v>25</v>
      </c>
      <c r="AH44" s="70">
        <v>2</v>
      </c>
      <c r="AI44" s="70">
        <v>1</v>
      </c>
    </row>
    <row r="45" spans="1:35" customFormat="1" x14ac:dyDescent="0.35">
      <c r="A45" s="72">
        <v>445369</v>
      </c>
      <c r="B45" s="74" t="s">
        <v>62</v>
      </c>
      <c r="C45" s="75" t="s">
        <v>63</v>
      </c>
      <c r="D45" s="74" t="s">
        <v>64</v>
      </c>
      <c r="E45" s="70">
        <v>1</v>
      </c>
      <c r="F45" s="70">
        <v>3</v>
      </c>
      <c r="G45" s="70" t="s">
        <v>58</v>
      </c>
      <c r="H45" s="70" t="s">
        <v>58</v>
      </c>
      <c r="I45" s="70" t="s">
        <v>58</v>
      </c>
      <c r="J45" s="70" t="s">
        <v>58</v>
      </c>
      <c r="K45" s="70" t="s">
        <v>58</v>
      </c>
      <c r="L45" s="70" t="s">
        <v>58</v>
      </c>
      <c r="M45" s="70" t="s">
        <v>58</v>
      </c>
      <c r="N45" s="70" t="s">
        <v>58</v>
      </c>
      <c r="O45" s="70" t="s">
        <v>58</v>
      </c>
      <c r="P45" s="70" t="s">
        <v>58</v>
      </c>
      <c r="Q45" s="70">
        <v>5</v>
      </c>
      <c r="R45" s="70">
        <v>1</v>
      </c>
      <c r="S45" s="70">
        <v>2</v>
      </c>
      <c r="T45" s="70">
        <v>3</v>
      </c>
      <c r="U45" s="70">
        <v>3</v>
      </c>
      <c r="V45" s="70">
        <v>0</v>
      </c>
      <c r="W45" s="70">
        <v>5</v>
      </c>
      <c r="X45" s="70">
        <v>1</v>
      </c>
      <c r="Y45" s="70">
        <v>2</v>
      </c>
      <c r="Z45" s="72">
        <f t="shared" si="9"/>
        <v>8</v>
      </c>
      <c r="AA45" s="70">
        <v>0</v>
      </c>
      <c r="AB45" s="70">
        <v>20</v>
      </c>
      <c r="AC45" s="70">
        <v>1</v>
      </c>
      <c r="AD45" s="70">
        <v>1</v>
      </c>
      <c r="AE45" s="70">
        <v>1</v>
      </c>
      <c r="AF45" s="70">
        <v>2</v>
      </c>
      <c r="AG45" s="70">
        <v>22</v>
      </c>
      <c r="AH45" s="70">
        <v>1</v>
      </c>
      <c r="AI45" s="70">
        <v>1</v>
      </c>
    </row>
    <row r="46" spans="1:35" customFormat="1" x14ac:dyDescent="0.35">
      <c r="A46" s="72">
        <v>452604</v>
      </c>
      <c r="B46" s="74" t="s">
        <v>62</v>
      </c>
      <c r="C46" s="75" t="s">
        <v>63</v>
      </c>
      <c r="D46" s="74" t="s">
        <v>64</v>
      </c>
      <c r="E46" s="70">
        <v>2</v>
      </c>
      <c r="F46" s="70">
        <v>2</v>
      </c>
      <c r="G46" s="70">
        <v>4</v>
      </c>
      <c r="H46" s="70">
        <v>7</v>
      </c>
      <c r="I46" s="70">
        <v>13</v>
      </c>
      <c r="J46" s="70">
        <v>6</v>
      </c>
      <c r="K46" s="70">
        <v>3</v>
      </c>
      <c r="L46" s="70">
        <v>8</v>
      </c>
      <c r="M46" s="70">
        <v>6</v>
      </c>
      <c r="N46" s="70">
        <v>3</v>
      </c>
      <c r="O46" s="70">
        <v>8</v>
      </c>
      <c r="P46" s="70">
        <f>SUM(M46:O46)</f>
        <v>17</v>
      </c>
      <c r="Q46" s="70" t="s">
        <v>58</v>
      </c>
      <c r="R46" s="70" t="s">
        <v>58</v>
      </c>
      <c r="S46" s="70" t="s">
        <v>58</v>
      </c>
      <c r="T46" s="70" t="s">
        <v>58</v>
      </c>
      <c r="U46" s="70" t="s">
        <v>58</v>
      </c>
      <c r="V46" s="70" t="s">
        <v>58</v>
      </c>
      <c r="W46" s="70" t="s">
        <v>58</v>
      </c>
      <c r="X46" s="70" t="s">
        <v>58</v>
      </c>
      <c r="Y46" s="70" t="s">
        <v>58</v>
      </c>
      <c r="Z46" s="70" t="s">
        <v>58</v>
      </c>
      <c r="AA46" s="70">
        <v>0</v>
      </c>
      <c r="AB46" s="70">
        <v>100</v>
      </c>
      <c r="AC46" s="70">
        <v>0</v>
      </c>
      <c r="AD46" s="70">
        <v>0</v>
      </c>
      <c r="AE46" s="70">
        <v>0</v>
      </c>
      <c r="AF46" s="70">
        <v>1</v>
      </c>
      <c r="AG46" s="70">
        <v>20</v>
      </c>
      <c r="AH46" s="70">
        <v>1</v>
      </c>
      <c r="AI46" s="70">
        <v>1</v>
      </c>
    </row>
    <row r="47" spans="1:35" customFormat="1" x14ac:dyDescent="0.35">
      <c r="A47" s="72">
        <v>469557</v>
      </c>
      <c r="B47" s="74" t="s">
        <v>62</v>
      </c>
      <c r="C47" s="75" t="s">
        <v>63</v>
      </c>
      <c r="D47" s="74" t="s">
        <v>64</v>
      </c>
      <c r="E47" s="70">
        <v>1</v>
      </c>
      <c r="F47" s="70">
        <v>4</v>
      </c>
      <c r="G47" s="70" t="s">
        <v>58</v>
      </c>
      <c r="H47" s="70" t="s">
        <v>58</v>
      </c>
      <c r="I47" s="70" t="s">
        <v>58</v>
      </c>
      <c r="J47" s="70" t="s">
        <v>58</v>
      </c>
      <c r="K47" s="70" t="s">
        <v>58</v>
      </c>
      <c r="L47" s="70" t="s">
        <v>58</v>
      </c>
      <c r="M47" s="70" t="s">
        <v>58</v>
      </c>
      <c r="N47" s="70" t="s">
        <v>58</v>
      </c>
      <c r="O47" s="70" t="s">
        <v>58</v>
      </c>
      <c r="P47" s="70" t="s">
        <v>58</v>
      </c>
      <c r="Q47" s="70">
        <v>0</v>
      </c>
      <c r="R47" s="70">
        <v>3</v>
      </c>
      <c r="S47" s="70">
        <v>4</v>
      </c>
      <c r="T47" s="70">
        <v>1</v>
      </c>
      <c r="U47" s="70">
        <v>2</v>
      </c>
      <c r="V47" s="70">
        <v>3</v>
      </c>
      <c r="W47" s="70">
        <v>1</v>
      </c>
      <c r="X47" s="70">
        <v>2</v>
      </c>
      <c r="Y47" s="70">
        <v>3</v>
      </c>
      <c r="Z47" s="72">
        <f t="shared" ref="Z47:Z48" si="10">SUM(W47:Y47)</f>
        <v>6</v>
      </c>
      <c r="AA47" s="70">
        <v>0</v>
      </c>
      <c r="AB47" s="70">
        <v>70</v>
      </c>
      <c r="AC47" s="70">
        <v>1</v>
      </c>
      <c r="AD47" s="70">
        <v>1</v>
      </c>
      <c r="AE47" s="70">
        <v>1</v>
      </c>
      <c r="AF47" s="70">
        <v>2</v>
      </c>
      <c r="AG47" s="70">
        <v>21</v>
      </c>
      <c r="AH47" s="70">
        <v>1</v>
      </c>
      <c r="AI47" s="70">
        <v>1</v>
      </c>
    </row>
    <row r="48" spans="1:35" customFormat="1" x14ac:dyDescent="0.35">
      <c r="A48" s="72">
        <v>476484</v>
      </c>
      <c r="B48" s="74" t="s">
        <v>62</v>
      </c>
      <c r="C48" s="75" t="s">
        <v>63</v>
      </c>
      <c r="D48" s="74" t="s">
        <v>64</v>
      </c>
      <c r="E48" s="70">
        <v>1</v>
      </c>
      <c r="F48" s="70">
        <v>2</v>
      </c>
      <c r="G48" s="70" t="s">
        <v>58</v>
      </c>
      <c r="H48" s="70" t="s">
        <v>58</v>
      </c>
      <c r="I48" s="70" t="s">
        <v>58</v>
      </c>
      <c r="J48" s="70" t="s">
        <v>58</v>
      </c>
      <c r="K48" s="70" t="s">
        <v>58</v>
      </c>
      <c r="L48" s="70" t="s">
        <v>58</v>
      </c>
      <c r="M48" s="70" t="s">
        <v>58</v>
      </c>
      <c r="N48" s="70" t="s">
        <v>58</v>
      </c>
      <c r="O48" s="70" t="s">
        <v>58</v>
      </c>
      <c r="P48" s="70" t="s">
        <v>58</v>
      </c>
      <c r="Q48" s="70">
        <v>0</v>
      </c>
      <c r="R48" s="70">
        <v>4</v>
      </c>
      <c r="S48" s="70">
        <v>0</v>
      </c>
      <c r="T48" s="70">
        <v>0</v>
      </c>
      <c r="U48" s="70">
        <v>3</v>
      </c>
      <c r="V48" s="70">
        <v>0</v>
      </c>
      <c r="W48" s="70">
        <v>0</v>
      </c>
      <c r="X48" s="70">
        <v>3</v>
      </c>
      <c r="Y48" s="70">
        <v>0</v>
      </c>
      <c r="Z48" s="72">
        <f t="shared" si="10"/>
        <v>3</v>
      </c>
      <c r="AA48" s="70">
        <v>0</v>
      </c>
      <c r="AB48" s="70">
        <v>15</v>
      </c>
      <c r="AC48" s="70">
        <v>1</v>
      </c>
      <c r="AD48" s="70">
        <v>1</v>
      </c>
      <c r="AE48" s="70">
        <v>1</v>
      </c>
      <c r="AF48" s="70">
        <v>2</v>
      </c>
      <c r="AG48" s="70">
        <v>22</v>
      </c>
      <c r="AH48" s="70">
        <v>2</v>
      </c>
      <c r="AI48" s="70">
        <v>1</v>
      </c>
    </row>
    <row r="49" spans="1:35" customFormat="1" x14ac:dyDescent="0.35">
      <c r="A49" s="72">
        <v>481252</v>
      </c>
      <c r="B49" s="74" t="s">
        <v>62</v>
      </c>
      <c r="C49" s="75" t="s">
        <v>63</v>
      </c>
      <c r="D49" s="74" t="s">
        <v>64</v>
      </c>
      <c r="E49" s="70">
        <v>2</v>
      </c>
      <c r="F49" s="70">
        <v>4</v>
      </c>
      <c r="G49" s="70">
        <v>7</v>
      </c>
      <c r="H49" s="70">
        <v>5</v>
      </c>
      <c r="I49" s="70">
        <v>17</v>
      </c>
      <c r="J49" s="70">
        <v>5</v>
      </c>
      <c r="K49" s="70">
        <v>1</v>
      </c>
      <c r="L49" s="70">
        <v>16</v>
      </c>
      <c r="M49" s="70">
        <v>5</v>
      </c>
      <c r="N49" s="70">
        <v>1</v>
      </c>
      <c r="O49" s="70">
        <v>16</v>
      </c>
      <c r="P49" s="70">
        <f>SUM(M49:O49)</f>
        <v>22</v>
      </c>
      <c r="Q49" s="70" t="s">
        <v>58</v>
      </c>
      <c r="R49" s="70" t="s">
        <v>58</v>
      </c>
      <c r="S49" s="70" t="s">
        <v>58</v>
      </c>
      <c r="T49" s="70" t="s">
        <v>58</v>
      </c>
      <c r="U49" s="70" t="s">
        <v>58</v>
      </c>
      <c r="V49" s="70" t="s">
        <v>58</v>
      </c>
      <c r="W49" s="70" t="s">
        <v>58</v>
      </c>
      <c r="X49" s="70" t="s">
        <v>58</v>
      </c>
      <c r="Y49" s="70" t="s">
        <v>58</v>
      </c>
      <c r="Z49" s="70" t="s">
        <v>58</v>
      </c>
      <c r="AA49" s="70">
        <v>0</v>
      </c>
      <c r="AB49" s="70">
        <v>98</v>
      </c>
      <c r="AC49" s="70">
        <v>0</v>
      </c>
      <c r="AD49" s="70">
        <v>0</v>
      </c>
      <c r="AE49" s="70">
        <v>0</v>
      </c>
      <c r="AF49" s="70">
        <v>1</v>
      </c>
      <c r="AG49" s="70">
        <v>21</v>
      </c>
      <c r="AH49" s="70">
        <v>1</v>
      </c>
      <c r="AI49" s="70">
        <v>1</v>
      </c>
    </row>
    <row r="50" spans="1:35" customFormat="1" x14ac:dyDescent="0.35">
      <c r="A50" s="72">
        <v>489998</v>
      </c>
      <c r="B50" s="74" t="s">
        <v>62</v>
      </c>
      <c r="C50" s="75" t="s">
        <v>63</v>
      </c>
      <c r="D50" s="74" t="s">
        <v>64</v>
      </c>
      <c r="E50" s="70">
        <v>1</v>
      </c>
      <c r="F50" s="70">
        <v>3</v>
      </c>
      <c r="G50" s="70" t="s">
        <v>58</v>
      </c>
      <c r="H50" s="70" t="s">
        <v>58</v>
      </c>
      <c r="I50" s="70" t="s">
        <v>58</v>
      </c>
      <c r="J50" s="70" t="s">
        <v>58</v>
      </c>
      <c r="K50" s="70" t="s">
        <v>58</v>
      </c>
      <c r="L50" s="70" t="s">
        <v>58</v>
      </c>
      <c r="M50" s="70" t="s">
        <v>58</v>
      </c>
      <c r="N50" s="70" t="s">
        <v>58</v>
      </c>
      <c r="O50" s="70" t="s">
        <v>58</v>
      </c>
      <c r="P50" s="70" t="s">
        <v>58</v>
      </c>
      <c r="Q50" s="70">
        <v>2</v>
      </c>
      <c r="R50" s="70">
        <v>7</v>
      </c>
      <c r="S50" s="70">
        <v>3</v>
      </c>
      <c r="T50" s="70">
        <v>4</v>
      </c>
      <c r="U50" s="70">
        <v>2</v>
      </c>
      <c r="V50" s="70">
        <v>4</v>
      </c>
      <c r="W50" s="70">
        <v>4</v>
      </c>
      <c r="X50" s="70">
        <v>2</v>
      </c>
      <c r="Y50" s="70">
        <v>4</v>
      </c>
      <c r="Z50" s="72">
        <f t="shared" ref="Z50:Z52" si="11">SUM(W50:Y50)</f>
        <v>10</v>
      </c>
      <c r="AA50" s="70">
        <v>10</v>
      </c>
      <c r="AB50" s="70">
        <v>50</v>
      </c>
      <c r="AC50" s="70">
        <v>1</v>
      </c>
      <c r="AD50" s="70">
        <v>1</v>
      </c>
      <c r="AE50" s="70">
        <v>1</v>
      </c>
      <c r="AF50" s="70">
        <v>2</v>
      </c>
      <c r="AG50" s="70">
        <v>22</v>
      </c>
      <c r="AH50" s="70">
        <v>2</v>
      </c>
      <c r="AI50" s="70">
        <v>1</v>
      </c>
    </row>
    <row r="51" spans="1:35" customFormat="1" x14ac:dyDescent="0.35">
      <c r="A51" s="72">
        <v>490339</v>
      </c>
      <c r="B51" s="74" t="s">
        <v>62</v>
      </c>
      <c r="C51" s="75" t="s">
        <v>63</v>
      </c>
      <c r="D51" s="74" t="s">
        <v>64</v>
      </c>
      <c r="E51" s="70">
        <v>1</v>
      </c>
      <c r="F51" s="70">
        <v>3</v>
      </c>
      <c r="G51" s="70" t="s">
        <v>58</v>
      </c>
      <c r="H51" s="70" t="s">
        <v>58</v>
      </c>
      <c r="I51" s="70" t="s">
        <v>58</v>
      </c>
      <c r="J51" s="70" t="s">
        <v>58</v>
      </c>
      <c r="K51" s="70" t="s">
        <v>58</v>
      </c>
      <c r="L51" s="70" t="s">
        <v>58</v>
      </c>
      <c r="M51" s="70" t="s">
        <v>58</v>
      </c>
      <c r="N51" s="70" t="s">
        <v>58</v>
      </c>
      <c r="O51" s="70" t="s">
        <v>58</v>
      </c>
      <c r="P51" s="70" t="s">
        <v>58</v>
      </c>
      <c r="Q51" s="70">
        <v>2</v>
      </c>
      <c r="R51" s="70">
        <v>2</v>
      </c>
      <c r="S51" s="70">
        <v>2</v>
      </c>
      <c r="T51" s="70">
        <v>3</v>
      </c>
      <c r="U51" s="70">
        <v>3</v>
      </c>
      <c r="V51" s="70">
        <v>0</v>
      </c>
      <c r="W51" s="70">
        <v>2</v>
      </c>
      <c r="X51" s="70">
        <v>2</v>
      </c>
      <c r="Y51" s="70">
        <v>2</v>
      </c>
      <c r="Z51" s="72">
        <f t="shared" si="11"/>
        <v>6</v>
      </c>
      <c r="AA51" s="70">
        <v>0</v>
      </c>
      <c r="AB51" s="70">
        <v>20</v>
      </c>
      <c r="AC51" s="70">
        <v>1</v>
      </c>
      <c r="AD51" s="70">
        <v>1</v>
      </c>
      <c r="AE51" s="70">
        <v>1</v>
      </c>
      <c r="AF51" s="70">
        <v>2</v>
      </c>
      <c r="AG51" s="70">
        <v>22</v>
      </c>
      <c r="AH51" s="70">
        <v>2</v>
      </c>
      <c r="AI51" s="70">
        <v>1</v>
      </c>
    </row>
    <row r="52" spans="1:35" customFormat="1" x14ac:dyDescent="0.35">
      <c r="A52" s="72">
        <v>491278</v>
      </c>
      <c r="B52" s="74" t="s">
        <v>62</v>
      </c>
      <c r="C52" s="75" t="s">
        <v>63</v>
      </c>
      <c r="D52" s="74" t="s">
        <v>64</v>
      </c>
      <c r="E52" s="70">
        <v>1</v>
      </c>
      <c r="F52" s="70">
        <v>3</v>
      </c>
      <c r="G52" s="70" t="s">
        <v>58</v>
      </c>
      <c r="H52" s="70" t="s">
        <v>58</v>
      </c>
      <c r="I52" s="70" t="s">
        <v>58</v>
      </c>
      <c r="J52" s="70" t="s">
        <v>58</v>
      </c>
      <c r="K52" s="70" t="s">
        <v>58</v>
      </c>
      <c r="L52" s="70" t="s">
        <v>58</v>
      </c>
      <c r="M52" s="70" t="s">
        <v>58</v>
      </c>
      <c r="N52" s="70" t="s">
        <v>58</v>
      </c>
      <c r="O52" s="70" t="s">
        <v>58</v>
      </c>
      <c r="P52" s="70" t="s">
        <v>58</v>
      </c>
      <c r="Q52" s="70">
        <v>2</v>
      </c>
      <c r="R52" s="70">
        <v>0</v>
      </c>
      <c r="S52" s="70">
        <v>1</v>
      </c>
      <c r="T52" s="70">
        <v>0</v>
      </c>
      <c r="U52" s="70">
        <v>0</v>
      </c>
      <c r="V52" s="70">
        <v>1</v>
      </c>
      <c r="W52" s="70">
        <v>2</v>
      </c>
      <c r="X52" s="70">
        <v>0</v>
      </c>
      <c r="Y52" s="70">
        <v>1</v>
      </c>
      <c r="Z52" s="72">
        <f t="shared" si="11"/>
        <v>3</v>
      </c>
      <c r="AA52" s="70">
        <v>30</v>
      </c>
      <c r="AB52" s="70">
        <v>40</v>
      </c>
      <c r="AC52" s="70">
        <v>1</v>
      </c>
      <c r="AD52" s="70">
        <v>1</v>
      </c>
      <c r="AE52" s="70">
        <v>1</v>
      </c>
      <c r="AF52" s="70">
        <v>2</v>
      </c>
      <c r="AG52" s="70">
        <v>21</v>
      </c>
      <c r="AH52" s="70">
        <v>1</v>
      </c>
      <c r="AI52" s="70">
        <v>1</v>
      </c>
    </row>
    <row r="53" spans="1:35" customFormat="1" x14ac:dyDescent="0.35">
      <c r="A53" s="72">
        <v>494867</v>
      </c>
      <c r="B53" s="74" t="s">
        <v>62</v>
      </c>
      <c r="C53" s="75" t="s">
        <v>63</v>
      </c>
      <c r="D53" s="74" t="s">
        <v>64</v>
      </c>
      <c r="E53" s="70">
        <v>1</v>
      </c>
      <c r="F53" s="70">
        <v>1</v>
      </c>
      <c r="G53" s="70" t="s">
        <v>58</v>
      </c>
      <c r="H53" s="70" t="s">
        <v>58</v>
      </c>
      <c r="I53" s="70" t="s">
        <v>58</v>
      </c>
      <c r="J53" s="70" t="s">
        <v>58</v>
      </c>
      <c r="K53" s="70" t="s">
        <v>58</v>
      </c>
      <c r="L53" s="70" t="s">
        <v>58</v>
      </c>
      <c r="M53" s="70" t="s">
        <v>58</v>
      </c>
      <c r="N53" s="70" t="s">
        <v>58</v>
      </c>
      <c r="O53" s="70" t="s">
        <v>58</v>
      </c>
      <c r="P53" s="70" t="s">
        <v>58</v>
      </c>
      <c r="Q53" s="70">
        <v>0</v>
      </c>
      <c r="R53" s="70">
        <v>40</v>
      </c>
      <c r="S53" s="70">
        <v>0</v>
      </c>
      <c r="T53" s="70">
        <v>0</v>
      </c>
      <c r="U53" s="70">
        <v>35</v>
      </c>
      <c r="V53" s="70">
        <v>0</v>
      </c>
      <c r="W53" s="70">
        <v>0</v>
      </c>
      <c r="X53" s="70">
        <v>40</v>
      </c>
      <c r="Y53" s="70">
        <v>0</v>
      </c>
      <c r="Z53" s="70">
        <f>SUM(W53:Y53)</f>
        <v>40</v>
      </c>
      <c r="AA53" s="70">
        <v>0</v>
      </c>
      <c r="AB53" s="70">
        <v>100</v>
      </c>
      <c r="AC53" s="70">
        <v>1</v>
      </c>
      <c r="AD53" s="70">
        <v>1</v>
      </c>
      <c r="AE53" s="70">
        <v>1</v>
      </c>
      <c r="AF53" s="70">
        <v>2</v>
      </c>
      <c r="AG53" s="70">
        <v>20</v>
      </c>
      <c r="AH53" s="70">
        <v>1</v>
      </c>
      <c r="AI53" s="70">
        <v>1</v>
      </c>
    </row>
    <row r="54" spans="1:35" customFormat="1" x14ac:dyDescent="0.35">
      <c r="A54" s="72">
        <v>495372</v>
      </c>
      <c r="B54" s="74" t="s">
        <v>62</v>
      </c>
      <c r="C54" s="75" t="s">
        <v>63</v>
      </c>
      <c r="D54" s="74" t="s">
        <v>64</v>
      </c>
      <c r="E54" s="70">
        <v>1</v>
      </c>
      <c r="F54" s="70">
        <v>1</v>
      </c>
      <c r="G54" s="70" t="s">
        <v>58</v>
      </c>
      <c r="H54" s="70" t="s">
        <v>58</v>
      </c>
      <c r="I54" s="70" t="s">
        <v>58</v>
      </c>
      <c r="J54" s="70" t="s">
        <v>58</v>
      </c>
      <c r="K54" s="70" t="s">
        <v>58</v>
      </c>
      <c r="L54" s="70" t="s">
        <v>58</v>
      </c>
      <c r="M54" s="70" t="s">
        <v>58</v>
      </c>
      <c r="N54" s="70" t="s">
        <v>58</v>
      </c>
      <c r="O54" s="70" t="s">
        <v>58</v>
      </c>
      <c r="P54" s="70" t="s">
        <v>58</v>
      </c>
      <c r="Q54" s="70">
        <v>2</v>
      </c>
      <c r="R54" s="70">
        <v>1</v>
      </c>
      <c r="S54" s="70">
        <v>1</v>
      </c>
      <c r="T54" s="70">
        <v>2</v>
      </c>
      <c r="U54" s="70">
        <v>3</v>
      </c>
      <c r="V54" s="70">
        <v>0</v>
      </c>
      <c r="W54" s="70">
        <v>2</v>
      </c>
      <c r="X54" s="70">
        <v>3</v>
      </c>
      <c r="Y54" s="70">
        <v>0</v>
      </c>
      <c r="Z54" s="72">
        <f t="shared" ref="Z54" si="12">SUM(W54:Y54)</f>
        <v>5</v>
      </c>
      <c r="AA54" s="70">
        <v>0</v>
      </c>
      <c r="AB54" s="70">
        <v>60</v>
      </c>
      <c r="AC54" s="70">
        <v>1</v>
      </c>
      <c r="AD54" s="70">
        <v>1</v>
      </c>
      <c r="AE54" s="70">
        <v>1</v>
      </c>
      <c r="AF54" s="70">
        <v>2</v>
      </c>
      <c r="AG54" s="70">
        <v>20</v>
      </c>
      <c r="AH54" s="70">
        <v>1</v>
      </c>
      <c r="AI54" s="70">
        <v>1</v>
      </c>
    </row>
    <row r="55" spans="1:35" customFormat="1" x14ac:dyDescent="0.35">
      <c r="A55" s="72">
        <v>496998</v>
      </c>
      <c r="B55" s="74" t="s">
        <v>62</v>
      </c>
      <c r="C55" s="75" t="s">
        <v>63</v>
      </c>
      <c r="D55" s="74" t="s">
        <v>64</v>
      </c>
      <c r="E55" s="70">
        <v>2</v>
      </c>
      <c r="F55" s="70">
        <v>3</v>
      </c>
      <c r="G55" s="70">
        <v>10</v>
      </c>
      <c r="H55" s="70">
        <v>0</v>
      </c>
      <c r="I55" s="70">
        <v>85</v>
      </c>
      <c r="J55" s="70">
        <v>6</v>
      </c>
      <c r="K55" s="70">
        <v>0</v>
      </c>
      <c r="L55" s="70">
        <v>80</v>
      </c>
      <c r="M55" s="70">
        <v>10</v>
      </c>
      <c r="N55" s="70">
        <v>0</v>
      </c>
      <c r="O55" s="70">
        <v>85</v>
      </c>
      <c r="P55" s="70">
        <f>SUM(M55:O55)</f>
        <v>95</v>
      </c>
      <c r="Q55" s="70" t="s">
        <v>58</v>
      </c>
      <c r="R55" s="70" t="s">
        <v>58</v>
      </c>
      <c r="S55" s="70" t="s">
        <v>58</v>
      </c>
      <c r="T55" s="70" t="s">
        <v>58</v>
      </c>
      <c r="U55" s="70" t="s">
        <v>58</v>
      </c>
      <c r="V55" s="70" t="s">
        <v>58</v>
      </c>
      <c r="W55" s="70" t="s">
        <v>58</v>
      </c>
      <c r="X55" s="70" t="s">
        <v>58</v>
      </c>
      <c r="Y55" s="70" t="s">
        <v>58</v>
      </c>
      <c r="Z55" s="70" t="s">
        <v>58</v>
      </c>
      <c r="AA55" s="70">
        <v>10</v>
      </c>
      <c r="AB55" s="70">
        <v>95</v>
      </c>
      <c r="AC55" s="70">
        <v>0</v>
      </c>
      <c r="AD55" s="70">
        <v>0</v>
      </c>
      <c r="AE55" s="70">
        <v>0</v>
      </c>
      <c r="AF55" s="70">
        <v>1</v>
      </c>
      <c r="AG55" s="70">
        <v>23</v>
      </c>
      <c r="AH55" s="70">
        <v>2</v>
      </c>
      <c r="AI55" s="70">
        <v>1</v>
      </c>
    </row>
    <row r="56" spans="1:35" customFormat="1" x14ac:dyDescent="0.35">
      <c r="A56" s="72">
        <v>526851</v>
      </c>
      <c r="B56" s="74" t="s">
        <v>62</v>
      </c>
      <c r="C56" s="75" t="s">
        <v>63</v>
      </c>
      <c r="D56" s="74" t="s">
        <v>64</v>
      </c>
      <c r="E56" s="70">
        <v>2</v>
      </c>
      <c r="F56" s="70">
        <v>1</v>
      </c>
      <c r="G56" s="70">
        <v>0</v>
      </c>
      <c r="H56" s="70">
        <v>9</v>
      </c>
      <c r="I56" s="70">
        <v>2</v>
      </c>
      <c r="J56" s="70">
        <v>0</v>
      </c>
      <c r="K56" s="70">
        <v>9</v>
      </c>
      <c r="L56" s="70">
        <v>1</v>
      </c>
      <c r="M56" s="70">
        <v>0</v>
      </c>
      <c r="N56" s="70">
        <v>9</v>
      </c>
      <c r="O56" s="70">
        <v>1</v>
      </c>
      <c r="P56" s="70">
        <f>SUM(M56:O56)</f>
        <v>10</v>
      </c>
      <c r="Q56" s="70" t="s">
        <v>58</v>
      </c>
      <c r="R56" s="70" t="s">
        <v>58</v>
      </c>
      <c r="S56" s="70" t="s">
        <v>58</v>
      </c>
      <c r="T56" s="70" t="s">
        <v>58</v>
      </c>
      <c r="U56" s="70" t="s">
        <v>58</v>
      </c>
      <c r="V56" s="70" t="s">
        <v>58</v>
      </c>
      <c r="W56" s="70" t="s">
        <v>58</v>
      </c>
      <c r="X56" s="70" t="s">
        <v>58</v>
      </c>
      <c r="Y56" s="70" t="s">
        <v>58</v>
      </c>
      <c r="Z56" s="70" t="s">
        <v>58</v>
      </c>
      <c r="AA56" s="70">
        <v>0</v>
      </c>
      <c r="AB56" s="70">
        <v>60</v>
      </c>
      <c r="AC56" s="70">
        <v>0</v>
      </c>
      <c r="AD56" s="70">
        <v>0</v>
      </c>
      <c r="AE56" s="70">
        <v>0</v>
      </c>
      <c r="AF56" s="70">
        <v>1</v>
      </c>
      <c r="AG56" s="70">
        <v>20</v>
      </c>
      <c r="AH56" s="70">
        <v>1</v>
      </c>
      <c r="AI56" s="70">
        <v>1</v>
      </c>
    </row>
    <row r="57" spans="1:35" customFormat="1" x14ac:dyDescent="0.35">
      <c r="A57" s="72">
        <v>532805</v>
      </c>
      <c r="B57" s="74" t="s">
        <v>62</v>
      </c>
      <c r="C57" s="75" t="s">
        <v>63</v>
      </c>
      <c r="D57" s="74" t="s">
        <v>64</v>
      </c>
      <c r="E57" s="70">
        <v>1</v>
      </c>
      <c r="F57" s="70">
        <v>3</v>
      </c>
      <c r="G57" s="70" t="s">
        <v>58</v>
      </c>
      <c r="H57" s="70" t="s">
        <v>58</v>
      </c>
      <c r="I57" s="70" t="s">
        <v>58</v>
      </c>
      <c r="J57" s="70" t="s">
        <v>58</v>
      </c>
      <c r="K57" s="70" t="s">
        <v>58</v>
      </c>
      <c r="L57" s="70" t="s">
        <v>58</v>
      </c>
      <c r="M57" s="70" t="s">
        <v>58</v>
      </c>
      <c r="N57" s="70" t="s">
        <v>58</v>
      </c>
      <c r="O57" s="70" t="s">
        <v>58</v>
      </c>
      <c r="P57" s="70" t="s">
        <v>58</v>
      </c>
      <c r="Q57" s="70">
        <v>0</v>
      </c>
      <c r="R57" s="70">
        <v>8</v>
      </c>
      <c r="S57" s="70">
        <v>1</v>
      </c>
      <c r="T57" s="70">
        <v>0</v>
      </c>
      <c r="U57" s="70">
        <v>6</v>
      </c>
      <c r="V57" s="70">
        <v>0</v>
      </c>
      <c r="W57" s="70">
        <v>0</v>
      </c>
      <c r="X57" s="70">
        <v>6</v>
      </c>
      <c r="Y57" s="70">
        <v>0</v>
      </c>
      <c r="Z57" s="72">
        <f t="shared" ref="Z57" si="13">SUM(W57:Y57)</f>
        <v>6</v>
      </c>
      <c r="AA57" s="70">
        <v>10</v>
      </c>
      <c r="AB57" s="70">
        <v>5</v>
      </c>
      <c r="AC57" s="70">
        <v>1</v>
      </c>
      <c r="AD57" s="70">
        <v>1</v>
      </c>
      <c r="AE57" s="70">
        <v>1</v>
      </c>
      <c r="AF57" s="70">
        <v>2</v>
      </c>
      <c r="AG57" s="70">
        <v>21</v>
      </c>
      <c r="AH57" s="70">
        <v>2</v>
      </c>
      <c r="AI57" s="70">
        <v>1</v>
      </c>
    </row>
    <row r="58" spans="1:35" customFormat="1" x14ac:dyDescent="0.35">
      <c r="A58" s="72">
        <v>535423</v>
      </c>
      <c r="B58" s="74" t="s">
        <v>62</v>
      </c>
      <c r="C58" s="75" t="s">
        <v>63</v>
      </c>
      <c r="D58" s="74" t="s">
        <v>64</v>
      </c>
      <c r="E58" s="70">
        <v>1</v>
      </c>
      <c r="F58" s="70">
        <v>4</v>
      </c>
      <c r="G58" s="70" t="s">
        <v>58</v>
      </c>
      <c r="H58" s="70" t="s">
        <v>58</v>
      </c>
      <c r="I58" s="70" t="s">
        <v>58</v>
      </c>
      <c r="J58" s="70" t="s">
        <v>58</v>
      </c>
      <c r="K58" s="70" t="s">
        <v>58</v>
      </c>
      <c r="L58" s="70" t="s">
        <v>58</v>
      </c>
      <c r="M58" s="70" t="s">
        <v>58</v>
      </c>
      <c r="N58" s="70" t="s">
        <v>58</v>
      </c>
      <c r="O58" s="70" t="s">
        <v>58</v>
      </c>
      <c r="P58" s="70" t="s">
        <v>58</v>
      </c>
      <c r="Q58" s="70">
        <v>0</v>
      </c>
      <c r="R58" s="70">
        <v>4</v>
      </c>
      <c r="S58" s="70">
        <v>0</v>
      </c>
      <c r="T58" s="70">
        <v>0</v>
      </c>
      <c r="U58" s="70">
        <v>3</v>
      </c>
      <c r="V58" s="70">
        <v>0</v>
      </c>
      <c r="W58" s="70">
        <v>0</v>
      </c>
      <c r="X58" s="70">
        <v>4</v>
      </c>
      <c r="Y58" s="70">
        <v>0</v>
      </c>
      <c r="Z58" s="70">
        <f>SUM(W58:Y58)</f>
        <v>4</v>
      </c>
      <c r="AA58" s="70">
        <v>0</v>
      </c>
      <c r="AB58" s="70">
        <v>5</v>
      </c>
      <c r="AC58" s="70">
        <v>1</v>
      </c>
      <c r="AD58" s="70">
        <v>1</v>
      </c>
      <c r="AE58" s="70">
        <v>1</v>
      </c>
      <c r="AF58" s="70">
        <v>2</v>
      </c>
      <c r="AG58" s="70">
        <v>25</v>
      </c>
      <c r="AH58" s="70">
        <v>2</v>
      </c>
      <c r="AI58" s="70">
        <v>1</v>
      </c>
    </row>
    <row r="59" spans="1:35" customFormat="1" x14ac:dyDescent="0.35">
      <c r="A59" s="72">
        <v>541177</v>
      </c>
      <c r="B59" s="74" t="s">
        <v>62</v>
      </c>
      <c r="C59" s="75" t="s">
        <v>63</v>
      </c>
      <c r="D59" s="74" t="s">
        <v>64</v>
      </c>
      <c r="E59" s="70">
        <v>2</v>
      </c>
      <c r="F59" s="70">
        <v>2</v>
      </c>
      <c r="G59" s="70">
        <v>4</v>
      </c>
      <c r="H59" s="70">
        <v>10</v>
      </c>
      <c r="I59" s="70">
        <v>20</v>
      </c>
      <c r="J59" s="70">
        <v>6</v>
      </c>
      <c r="K59" s="70">
        <v>5</v>
      </c>
      <c r="L59" s="70">
        <v>15</v>
      </c>
      <c r="M59" s="70">
        <v>4</v>
      </c>
      <c r="N59" s="70">
        <v>10</v>
      </c>
      <c r="O59" s="70">
        <v>20</v>
      </c>
      <c r="P59" s="70">
        <f>SUM(M59:O59)</f>
        <v>34</v>
      </c>
      <c r="Q59" s="70" t="s">
        <v>58</v>
      </c>
      <c r="R59" s="70" t="s">
        <v>58</v>
      </c>
      <c r="S59" s="70" t="s">
        <v>58</v>
      </c>
      <c r="T59" s="70" t="s">
        <v>58</v>
      </c>
      <c r="U59" s="70" t="s">
        <v>58</v>
      </c>
      <c r="V59" s="70" t="s">
        <v>58</v>
      </c>
      <c r="W59" s="70" t="s">
        <v>58</v>
      </c>
      <c r="X59" s="70" t="s">
        <v>58</v>
      </c>
      <c r="Y59" s="70" t="s">
        <v>58</v>
      </c>
      <c r="Z59" s="70" t="s">
        <v>58</v>
      </c>
      <c r="AA59" s="70">
        <v>0</v>
      </c>
      <c r="AB59" s="70">
        <v>70</v>
      </c>
      <c r="AC59" s="70">
        <v>0</v>
      </c>
      <c r="AD59" s="70">
        <v>0</v>
      </c>
      <c r="AE59" s="70">
        <v>0</v>
      </c>
      <c r="AF59" s="70">
        <v>2</v>
      </c>
      <c r="AG59" s="70">
        <v>21</v>
      </c>
      <c r="AH59" s="70">
        <v>2</v>
      </c>
      <c r="AI59" s="70">
        <v>1</v>
      </c>
    </row>
    <row r="60" spans="1:35" customFormat="1" x14ac:dyDescent="0.35">
      <c r="A60" s="72">
        <v>542791</v>
      </c>
      <c r="B60" s="74" t="s">
        <v>62</v>
      </c>
      <c r="C60" s="75" t="s">
        <v>63</v>
      </c>
      <c r="D60" s="74" t="s">
        <v>64</v>
      </c>
      <c r="E60" s="70">
        <v>2</v>
      </c>
      <c r="F60" s="70">
        <v>4</v>
      </c>
      <c r="G60" s="70">
        <v>1</v>
      </c>
      <c r="H60" s="70">
        <v>2</v>
      </c>
      <c r="I60" s="70">
        <v>1</v>
      </c>
      <c r="J60" s="70">
        <v>1</v>
      </c>
      <c r="K60" s="70">
        <v>6</v>
      </c>
      <c r="L60" s="70">
        <v>1</v>
      </c>
      <c r="M60" s="70">
        <v>1</v>
      </c>
      <c r="N60" s="70">
        <v>6</v>
      </c>
      <c r="O60" s="70">
        <v>1</v>
      </c>
      <c r="P60" s="70">
        <f>SUM(M60:O60)</f>
        <v>8</v>
      </c>
      <c r="Q60" s="70" t="s">
        <v>58</v>
      </c>
      <c r="R60" s="70" t="s">
        <v>58</v>
      </c>
      <c r="S60" s="70" t="s">
        <v>58</v>
      </c>
      <c r="T60" s="70" t="s">
        <v>58</v>
      </c>
      <c r="U60" s="70" t="s">
        <v>58</v>
      </c>
      <c r="V60" s="70" t="s">
        <v>58</v>
      </c>
      <c r="W60" s="70" t="s">
        <v>58</v>
      </c>
      <c r="X60" s="70" t="s">
        <v>58</v>
      </c>
      <c r="Y60" s="70" t="s">
        <v>58</v>
      </c>
      <c r="Z60" s="70" t="s">
        <v>58</v>
      </c>
      <c r="AA60" s="70">
        <v>0</v>
      </c>
      <c r="AB60" s="70">
        <v>5</v>
      </c>
      <c r="AC60" s="70">
        <v>0</v>
      </c>
      <c r="AD60" s="70">
        <v>0</v>
      </c>
      <c r="AE60" s="70">
        <v>0</v>
      </c>
      <c r="AF60" s="70">
        <v>1</v>
      </c>
      <c r="AG60" s="70">
        <v>20</v>
      </c>
      <c r="AH60" s="70">
        <v>1</v>
      </c>
      <c r="AI60" s="70">
        <v>1</v>
      </c>
    </row>
    <row r="61" spans="1:35" customFormat="1" x14ac:dyDescent="0.35">
      <c r="A61" s="72">
        <v>543100</v>
      </c>
      <c r="B61" s="74" t="s">
        <v>62</v>
      </c>
      <c r="C61" s="75" t="s">
        <v>63</v>
      </c>
      <c r="D61" s="74" t="s">
        <v>64</v>
      </c>
      <c r="E61" s="70">
        <v>1</v>
      </c>
      <c r="F61" s="70">
        <v>2</v>
      </c>
      <c r="G61" s="70" t="s">
        <v>58</v>
      </c>
      <c r="H61" s="70" t="s">
        <v>58</v>
      </c>
      <c r="I61" s="70" t="s">
        <v>58</v>
      </c>
      <c r="J61" s="70" t="s">
        <v>58</v>
      </c>
      <c r="K61" s="70" t="s">
        <v>58</v>
      </c>
      <c r="L61" s="70" t="s">
        <v>58</v>
      </c>
      <c r="M61" s="70" t="s">
        <v>58</v>
      </c>
      <c r="N61" s="70" t="s">
        <v>58</v>
      </c>
      <c r="O61" s="70" t="s">
        <v>58</v>
      </c>
      <c r="P61" s="70" t="s">
        <v>58</v>
      </c>
      <c r="Q61" s="70">
        <v>0</v>
      </c>
      <c r="R61" s="70">
        <v>4</v>
      </c>
      <c r="S61" s="70">
        <v>0</v>
      </c>
      <c r="T61" s="70">
        <v>0</v>
      </c>
      <c r="U61" s="70">
        <v>5</v>
      </c>
      <c r="V61" s="70">
        <v>0</v>
      </c>
      <c r="W61" s="70">
        <v>0</v>
      </c>
      <c r="X61" s="70">
        <v>5</v>
      </c>
      <c r="Y61" s="70">
        <v>0</v>
      </c>
      <c r="Z61" s="72">
        <f t="shared" ref="Z61" si="14">SUM(W61:Y61)</f>
        <v>5</v>
      </c>
      <c r="AA61" s="70">
        <v>0</v>
      </c>
      <c r="AB61" s="70">
        <v>20</v>
      </c>
      <c r="AC61" s="70">
        <v>1</v>
      </c>
      <c r="AD61" s="70">
        <v>1</v>
      </c>
      <c r="AE61" s="70">
        <v>1</v>
      </c>
      <c r="AF61" s="70">
        <v>2</v>
      </c>
      <c r="AG61" s="70">
        <v>22</v>
      </c>
      <c r="AH61" s="70">
        <v>2</v>
      </c>
      <c r="AI61" s="70">
        <v>1</v>
      </c>
    </row>
    <row r="62" spans="1:35" customFormat="1" x14ac:dyDescent="0.35">
      <c r="A62" s="72">
        <v>547114</v>
      </c>
      <c r="B62" s="74" t="s">
        <v>62</v>
      </c>
      <c r="C62" s="75" t="s">
        <v>63</v>
      </c>
      <c r="D62" s="74" t="s">
        <v>64</v>
      </c>
      <c r="E62" s="70">
        <v>2</v>
      </c>
      <c r="F62" s="70">
        <v>3</v>
      </c>
      <c r="G62" s="70">
        <v>14</v>
      </c>
      <c r="H62" s="70">
        <v>0</v>
      </c>
      <c r="I62" s="70">
        <v>16</v>
      </c>
      <c r="J62" s="70">
        <v>12</v>
      </c>
      <c r="K62" s="70">
        <v>2</v>
      </c>
      <c r="L62" s="70">
        <v>12</v>
      </c>
      <c r="M62" s="70">
        <v>14</v>
      </c>
      <c r="N62" s="70">
        <v>0</v>
      </c>
      <c r="O62" s="70">
        <v>16</v>
      </c>
      <c r="P62" s="70">
        <f>SUM(M62:O62)</f>
        <v>30</v>
      </c>
      <c r="Q62" s="70" t="s">
        <v>58</v>
      </c>
      <c r="R62" s="70" t="s">
        <v>58</v>
      </c>
      <c r="S62" s="70" t="s">
        <v>58</v>
      </c>
      <c r="T62" s="70" t="s">
        <v>58</v>
      </c>
      <c r="U62" s="70" t="s">
        <v>58</v>
      </c>
      <c r="V62" s="70" t="s">
        <v>58</v>
      </c>
      <c r="W62" s="70" t="s">
        <v>58</v>
      </c>
      <c r="X62" s="70" t="s">
        <v>58</v>
      </c>
      <c r="Y62" s="70" t="s">
        <v>58</v>
      </c>
      <c r="Z62" s="70" t="s">
        <v>58</v>
      </c>
      <c r="AA62" s="70">
        <v>20</v>
      </c>
      <c r="AB62" s="70">
        <v>90</v>
      </c>
      <c r="AC62" s="70">
        <v>0</v>
      </c>
      <c r="AD62" s="70">
        <v>0</v>
      </c>
      <c r="AE62" s="70">
        <v>0</v>
      </c>
      <c r="AF62" s="70">
        <v>1</v>
      </c>
      <c r="AG62" s="70">
        <v>21</v>
      </c>
      <c r="AH62" s="70">
        <v>1</v>
      </c>
      <c r="AI62" s="70">
        <v>1</v>
      </c>
    </row>
    <row r="63" spans="1:35" customFormat="1" x14ac:dyDescent="0.35">
      <c r="A63" s="72">
        <v>557171</v>
      </c>
      <c r="B63" s="74" t="s">
        <v>62</v>
      </c>
      <c r="C63" s="75" t="s">
        <v>63</v>
      </c>
      <c r="D63" s="74" t="s">
        <v>64</v>
      </c>
      <c r="E63" s="70">
        <v>2</v>
      </c>
      <c r="F63" s="70">
        <v>4</v>
      </c>
      <c r="G63" s="70">
        <v>7</v>
      </c>
      <c r="H63" s="70">
        <v>30</v>
      </c>
      <c r="I63" s="70">
        <v>15</v>
      </c>
      <c r="J63" s="70">
        <v>10</v>
      </c>
      <c r="K63" s="70">
        <v>28</v>
      </c>
      <c r="L63" s="70">
        <v>12</v>
      </c>
      <c r="M63" s="70">
        <v>7</v>
      </c>
      <c r="N63" s="70">
        <v>30</v>
      </c>
      <c r="O63" s="70">
        <v>15</v>
      </c>
      <c r="P63" s="70">
        <f>SUM(M63:O63)</f>
        <v>52</v>
      </c>
      <c r="Q63" s="70" t="s">
        <v>58</v>
      </c>
      <c r="R63" s="70" t="s">
        <v>58</v>
      </c>
      <c r="S63" s="70" t="s">
        <v>58</v>
      </c>
      <c r="T63" s="70" t="s">
        <v>58</v>
      </c>
      <c r="U63" s="70" t="s">
        <v>58</v>
      </c>
      <c r="V63" s="70" t="s">
        <v>58</v>
      </c>
      <c r="W63" s="70" t="s">
        <v>58</v>
      </c>
      <c r="X63" s="70" t="s">
        <v>58</v>
      </c>
      <c r="Y63" s="70" t="s">
        <v>58</v>
      </c>
      <c r="Z63" s="70" t="s">
        <v>58</v>
      </c>
      <c r="AA63" s="70">
        <v>0</v>
      </c>
      <c r="AB63" s="70">
        <v>80</v>
      </c>
      <c r="AC63" s="70">
        <v>0</v>
      </c>
      <c r="AD63" s="70">
        <v>0</v>
      </c>
      <c r="AE63" s="70">
        <v>0</v>
      </c>
      <c r="AF63" s="70">
        <v>1</v>
      </c>
      <c r="AG63" s="70">
        <v>22</v>
      </c>
      <c r="AH63" s="70">
        <v>1</v>
      </c>
      <c r="AI63" s="70">
        <v>1</v>
      </c>
    </row>
    <row r="64" spans="1:35" customFormat="1" x14ac:dyDescent="0.35">
      <c r="A64" s="72">
        <v>557703</v>
      </c>
      <c r="B64" s="74" t="s">
        <v>62</v>
      </c>
      <c r="C64" s="75" t="s">
        <v>63</v>
      </c>
      <c r="D64" s="74" t="s">
        <v>64</v>
      </c>
      <c r="E64" s="70">
        <v>1</v>
      </c>
      <c r="F64" s="70">
        <v>3</v>
      </c>
      <c r="G64" s="70" t="s">
        <v>58</v>
      </c>
      <c r="H64" s="70" t="s">
        <v>58</v>
      </c>
      <c r="I64" s="70" t="s">
        <v>58</v>
      </c>
      <c r="J64" s="70" t="s">
        <v>58</v>
      </c>
      <c r="K64" s="70" t="s">
        <v>58</v>
      </c>
      <c r="L64" s="70" t="s">
        <v>58</v>
      </c>
      <c r="M64" s="70" t="s">
        <v>58</v>
      </c>
      <c r="N64" s="70" t="s">
        <v>58</v>
      </c>
      <c r="O64" s="70" t="s">
        <v>58</v>
      </c>
      <c r="P64" s="70" t="s">
        <v>58</v>
      </c>
      <c r="Q64" s="70">
        <v>0</v>
      </c>
      <c r="R64" s="70">
        <v>2</v>
      </c>
      <c r="S64" s="70">
        <v>0</v>
      </c>
      <c r="T64" s="70">
        <v>0</v>
      </c>
      <c r="U64" s="70">
        <v>2</v>
      </c>
      <c r="V64" s="70">
        <v>0</v>
      </c>
      <c r="W64" s="70">
        <v>0</v>
      </c>
      <c r="X64" s="70">
        <v>2</v>
      </c>
      <c r="Y64" s="70">
        <v>0</v>
      </c>
      <c r="Z64" s="70">
        <f>SUM(W64:Y64)</f>
        <v>2</v>
      </c>
      <c r="AA64" s="70">
        <v>25</v>
      </c>
      <c r="AB64" s="70">
        <v>0</v>
      </c>
      <c r="AC64" s="70">
        <v>1</v>
      </c>
      <c r="AD64" s="70">
        <v>0</v>
      </c>
      <c r="AE64" s="70">
        <v>0</v>
      </c>
      <c r="AF64" s="70">
        <v>2</v>
      </c>
      <c r="AG64" s="70">
        <v>18</v>
      </c>
      <c r="AH64" s="70">
        <v>1</v>
      </c>
      <c r="AI64" s="70">
        <v>1</v>
      </c>
    </row>
    <row r="65" spans="1:35" customFormat="1" x14ac:dyDescent="0.35">
      <c r="A65" s="72">
        <v>587625</v>
      </c>
      <c r="B65" s="74" t="s">
        <v>62</v>
      </c>
      <c r="C65" s="75" t="s">
        <v>63</v>
      </c>
      <c r="D65" s="74" t="s">
        <v>64</v>
      </c>
      <c r="E65" s="70">
        <v>2</v>
      </c>
      <c r="F65" s="70">
        <v>4</v>
      </c>
      <c r="G65" s="70">
        <v>5</v>
      </c>
      <c r="H65" s="70">
        <v>1</v>
      </c>
      <c r="I65" s="70">
        <v>12</v>
      </c>
      <c r="J65" s="70">
        <v>8</v>
      </c>
      <c r="K65" s="70">
        <v>5</v>
      </c>
      <c r="L65" s="70">
        <v>7</v>
      </c>
      <c r="M65" s="70">
        <v>5</v>
      </c>
      <c r="N65" s="70">
        <v>1</v>
      </c>
      <c r="O65" s="70">
        <v>12</v>
      </c>
      <c r="P65" s="70">
        <f>SUM(M65:O65)</f>
        <v>18</v>
      </c>
      <c r="Q65" s="70" t="s">
        <v>58</v>
      </c>
      <c r="R65" s="70" t="s">
        <v>58</v>
      </c>
      <c r="S65" s="70" t="s">
        <v>58</v>
      </c>
      <c r="T65" s="70" t="s">
        <v>58</v>
      </c>
      <c r="U65" s="70" t="s">
        <v>58</v>
      </c>
      <c r="V65" s="70" t="s">
        <v>58</v>
      </c>
      <c r="W65" s="70" t="s">
        <v>58</v>
      </c>
      <c r="X65" s="70" t="s">
        <v>58</v>
      </c>
      <c r="Y65" s="70" t="s">
        <v>58</v>
      </c>
      <c r="Z65" s="70" t="s">
        <v>58</v>
      </c>
      <c r="AA65" s="70">
        <v>0</v>
      </c>
      <c r="AB65" s="70">
        <v>65</v>
      </c>
      <c r="AC65" s="70">
        <v>0</v>
      </c>
      <c r="AD65" s="70">
        <v>0</v>
      </c>
      <c r="AE65" s="70">
        <v>0</v>
      </c>
      <c r="AF65" s="70">
        <v>1</v>
      </c>
      <c r="AG65" s="70">
        <v>20</v>
      </c>
      <c r="AH65" s="70">
        <v>1</v>
      </c>
      <c r="AI65" s="70">
        <v>1</v>
      </c>
    </row>
    <row r="66" spans="1:35" customFormat="1" x14ac:dyDescent="0.35">
      <c r="A66" s="72">
        <v>594345</v>
      </c>
      <c r="B66" s="74" t="s">
        <v>62</v>
      </c>
      <c r="C66" s="75" t="s">
        <v>63</v>
      </c>
      <c r="D66" s="74" t="s">
        <v>64</v>
      </c>
      <c r="E66" s="70">
        <v>2</v>
      </c>
      <c r="F66" s="70">
        <v>1</v>
      </c>
      <c r="G66" s="70">
        <v>0</v>
      </c>
      <c r="H66" s="70">
        <v>12</v>
      </c>
      <c r="I66" s="70">
        <v>0</v>
      </c>
      <c r="J66" s="70">
        <v>0</v>
      </c>
      <c r="K66" s="70">
        <v>8</v>
      </c>
      <c r="L66" s="70">
        <v>0</v>
      </c>
      <c r="M66" s="70">
        <v>0</v>
      </c>
      <c r="N66" s="70">
        <v>8</v>
      </c>
      <c r="O66" s="70">
        <v>0</v>
      </c>
      <c r="P66" s="70">
        <f>SUM(M66:O66)</f>
        <v>8</v>
      </c>
      <c r="Q66" s="70" t="s">
        <v>58</v>
      </c>
      <c r="R66" s="70" t="s">
        <v>58</v>
      </c>
      <c r="S66" s="70" t="s">
        <v>58</v>
      </c>
      <c r="T66" s="70" t="s">
        <v>58</v>
      </c>
      <c r="U66" s="70" t="s">
        <v>58</v>
      </c>
      <c r="V66" s="70" t="s">
        <v>58</v>
      </c>
      <c r="W66" s="70" t="s">
        <v>58</v>
      </c>
      <c r="X66" s="70" t="s">
        <v>58</v>
      </c>
      <c r="Y66" s="70" t="s">
        <v>58</v>
      </c>
      <c r="Z66" s="70" t="s">
        <v>58</v>
      </c>
      <c r="AA66" s="70">
        <v>0</v>
      </c>
      <c r="AB66" s="70">
        <v>40</v>
      </c>
      <c r="AC66" s="70">
        <v>0</v>
      </c>
      <c r="AD66" s="70">
        <v>0</v>
      </c>
      <c r="AE66" s="70">
        <v>0</v>
      </c>
      <c r="AF66" s="70">
        <v>2</v>
      </c>
      <c r="AG66" s="70">
        <v>20</v>
      </c>
      <c r="AH66" s="70">
        <v>1</v>
      </c>
      <c r="AI66" s="70">
        <v>1</v>
      </c>
    </row>
    <row r="67" spans="1:35" customFormat="1" x14ac:dyDescent="0.35">
      <c r="A67" s="72">
        <v>599127</v>
      </c>
      <c r="B67" s="74" t="s">
        <v>62</v>
      </c>
      <c r="C67" s="75" t="s">
        <v>63</v>
      </c>
      <c r="D67" s="74" t="s">
        <v>64</v>
      </c>
      <c r="E67" s="70">
        <v>1</v>
      </c>
      <c r="F67" s="70">
        <v>4</v>
      </c>
      <c r="G67" s="70" t="s">
        <v>58</v>
      </c>
      <c r="H67" s="70" t="s">
        <v>58</v>
      </c>
      <c r="I67" s="70" t="s">
        <v>58</v>
      </c>
      <c r="J67" s="70" t="s">
        <v>58</v>
      </c>
      <c r="K67" s="70" t="s">
        <v>58</v>
      </c>
      <c r="L67" s="70" t="s">
        <v>58</v>
      </c>
      <c r="M67" s="70" t="s">
        <v>58</v>
      </c>
      <c r="N67" s="70" t="s">
        <v>58</v>
      </c>
      <c r="O67" s="70" t="s">
        <v>58</v>
      </c>
      <c r="P67" s="70" t="s">
        <v>58</v>
      </c>
      <c r="Q67" s="70">
        <v>0</v>
      </c>
      <c r="R67" s="70">
        <v>3</v>
      </c>
      <c r="S67" s="70">
        <v>2</v>
      </c>
      <c r="T67" s="70">
        <v>1</v>
      </c>
      <c r="U67" s="70">
        <v>3</v>
      </c>
      <c r="V67" s="70">
        <v>1</v>
      </c>
      <c r="W67" s="70">
        <v>1</v>
      </c>
      <c r="X67" s="70">
        <v>3</v>
      </c>
      <c r="Y67" s="70">
        <v>1</v>
      </c>
      <c r="Z67" s="72">
        <f t="shared" ref="Z67" si="15">SUM(W67:Y67)</f>
        <v>5</v>
      </c>
      <c r="AA67" s="70">
        <v>0</v>
      </c>
      <c r="AB67" s="70">
        <v>15</v>
      </c>
      <c r="AC67" s="70">
        <v>1</v>
      </c>
      <c r="AD67" s="70">
        <v>1</v>
      </c>
      <c r="AE67" s="70">
        <v>1</v>
      </c>
      <c r="AF67" s="70">
        <v>2</v>
      </c>
      <c r="AG67" s="70">
        <v>24</v>
      </c>
      <c r="AH67" s="70">
        <v>2</v>
      </c>
      <c r="AI67" s="70">
        <v>1</v>
      </c>
    </row>
    <row r="68" spans="1:35" customFormat="1" x14ac:dyDescent="0.35">
      <c r="A68" s="72">
        <v>605412</v>
      </c>
      <c r="B68" s="74" t="s">
        <v>62</v>
      </c>
      <c r="C68" s="75" t="s">
        <v>63</v>
      </c>
      <c r="D68" s="74" t="s">
        <v>64</v>
      </c>
      <c r="E68" s="70">
        <v>2</v>
      </c>
      <c r="F68" s="70">
        <v>1</v>
      </c>
      <c r="G68" s="70">
        <v>6</v>
      </c>
      <c r="H68" s="70">
        <v>0</v>
      </c>
      <c r="I68" s="70">
        <v>2</v>
      </c>
      <c r="J68" s="70">
        <v>8</v>
      </c>
      <c r="K68" s="70">
        <v>0</v>
      </c>
      <c r="L68" s="70">
        <v>0</v>
      </c>
      <c r="M68" s="70">
        <v>6</v>
      </c>
      <c r="N68" s="70">
        <v>0</v>
      </c>
      <c r="O68" s="70">
        <v>2</v>
      </c>
      <c r="P68" s="70">
        <f>SUM(M68:O68)</f>
        <v>8</v>
      </c>
      <c r="Q68" s="70" t="s">
        <v>58</v>
      </c>
      <c r="R68" s="70" t="s">
        <v>58</v>
      </c>
      <c r="S68" s="70" t="s">
        <v>58</v>
      </c>
      <c r="T68" s="70" t="s">
        <v>58</v>
      </c>
      <c r="U68" s="70" t="s">
        <v>58</v>
      </c>
      <c r="V68" s="70" t="s">
        <v>58</v>
      </c>
      <c r="W68" s="70" t="s">
        <v>58</v>
      </c>
      <c r="X68" s="70" t="s">
        <v>58</v>
      </c>
      <c r="Y68" s="70" t="s">
        <v>58</v>
      </c>
      <c r="Z68" s="70" t="s">
        <v>58</v>
      </c>
      <c r="AA68" s="70">
        <v>0</v>
      </c>
      <c r="AB68" s="70">
        <v>60</v>
      </c>
      <c r="AC68" s="70">
        <v>0</v>
      </c>
      <c r="AD68" s="70">
        <v>0</v>
      </c>
      <c r="AE68" s="70">
        <v>0</v>
      </c>
      <c r="AF68" s="70">
        <v>1</v>
      </c>
      <c r="AG68" s="70">
        <v>22</v>
      </c>
      <c r="AH68" s="70">
        <v>1</v>
      </c>
      <c r="AI68" s="70">
        <v>1</v>
      </c>
    </row>
    <row r="69" spans="1:35" customFormat="1" x14ac:dyDescent="0.35">
      <c r="A69" s="72">
        <v>608930</v>
      </c>
      <c r="B69" s="74" t="s">
        <v>62</v>
      </c>
      <c r="C69" s="75" t="s">
        <v>63</v>
      </c>
      <c r="D69" s="74" t="s">
        <v>64</v>
      </c>
      <c r="E69" s="70">
        <v>1</v>
      </c>
      <c r="F69" s="70">
        <v>1</v>
      </c>
      <c r="G69" s="70" t="s">
        <v>58</v>
      </c>
      <c r="H69" s="70" t="s">
        <v>58</v>
      </c>
      <c r="I69" s="70" t="s">
        <v>58</v>
      </c>
      <c r="J69" s="70" t="s">
        <v>58</v>
      </c>
      <c r="K69" s="70" t="s">
        <v>58</v>
      </c>
      <c r="L69" s="70" t="s">
        <v>58</v>
      </c>
      <c r="M69" s="70" t="s">
        <v>58</v>
      </c>
      <c r="N69" s="70" t="s">
        <v>58</v>
      </c>
      <c r="O69" s="70" t="s">
        <v>58</v>
      </c>
      <c r="P69" s="70" t="s">
        <v>58</v>
      </c>
      <c r="Q69" s="70">
        <v>0</v>
      </c>
      <c r="R69" s="70">
        <v>7</v>
      </c>
      <c r="S69" s="70">
        <v>1</v>
      </c>
      <c r="T69" s="70">
        <v>1</v>
      </c>
      <c r="U69" s="70">
        <v>3</v>
      </c>
      <c r="V69" s="70">
        <v>0</v>
      </c>
      <c r="W69" s="70">
        <v>0</v>
      </c>
      <c r="X69" s="70">
        <v>7</v>
      </c>
      <c r="Y69" s="70">
        <v>1</v>
      </c>
      <c r="Z69" s="72">
        <f t="shared" ref="Z69:Z70" si="16">SUM(W69:Y69)</f>
        <v>8</v>
      </c>
      <c r="AA69" s="70">
        <v>0</v>
      </c>
      <c r="AB69" s="70">
        <v>15</v>
      </c>
      <c r="AC69" s="70">
        <v>1</v>
      </c>
      <c r="AD69" s="70">
        <v>1</v>
      </c>
      <c r="AE69" s="70">
        <v>1</v>
      </c>
      <c r="AF69" s="70">
        <v>2</v>
      </c>
      <c r="AG69" s="70">
        <v>22</v>
      </c>
      <c r="AH69" s="70">
        <v>2</v>
      </c>
      <c r="AI69" s="70">
        <v>1</v>
      </c>
    </row>
    <row r="70" spans="1:35" customFormat="1" x14ac:dyDescent="0.35">
      <c r="A70" s="72">
        <v>609217</v>
      </c>
      <c r="B70" s="74" t="s">
        <v>62</v>
      </c>
      <c r="C70" s="75" t="s">
        <v>63</v>
      </c>
      <c r="D70" s="74" t="s">
        <v>64</v>
      </c>
      <c r="E70" s="70">
        <v>1</v>
      </c>
      <c r="F70" s="70">
        <v>1</v>
      </c>
      <c r="G70" s="70" t="s">
        <v>58</v>
      </c>
      <c r="H70" s="70" t="s">
        <v>58</v>
      </c>
      <c r="I70" s="70" t="s">
        <v>58</v>
      </c>
      <c r="J70" s="70" t="s">
        <v>58</v>
      </c>
      <c r="K70" s="70" t="s">
        <v>58</v>
      </c>
      <c r="L70" s="70" t="s">
        <v>58</v>
      </c>
      <c r="M70" s="70" t="s">
        <v>58</v>
      </c>
      <c r="N70" s="70" t="s">
        <v>58</v>
      </c>
      <c r="O70" s="70" t="s">
        <v>58</v>
      </c>
      <c r="P70" s="70" t="s">
        <v>58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2">
        <f t="shared" si="16"/>
        <v>0</v>
      </c>
      <c r="AA70" s="70">
        <v>0</v>
      </c>
      <c r="AB70" s="70">
        <v>8</v>
      </c>
      <c r="AC70" s="70">
        <v>0</v>
      </c>
      <c r="AD70" s="70">
        <v>0</v>
      </c>
      <c r="AE70" s="70">
        <v>0</v>
      </c>
      <c r="AF70" s="70">
        <v>2</v>
      </c>
      <c r="AG70" s="70">
        <v>21</v>
      </c>
      <c r="AH70" s="70">
        <v>2</v>
      </c>
      <c r="AI70" s="70">
        <v>1</v>
      </c>
    </row>
    <row r="71" spans="1:35" customFormat="1" x14ac:dyDescent="0.35">
      <c r="A71" s="72">
        <v>610784</v>
      </c>
      <c r="B71" s="74" t="s">
        <v>62</v>
      </c>
      <c r="C71" s="75" t="s">
        <v>63</v>
      </c>
      <c r="D71" s="74" t="s">
        <v>64</v>
      </c>
      <c r="E71" s="70">
        <v>2</v>
      </c>
      <c r="F71" s="70">
        <v>3</v>
      </c>
      <c r="G71" s="70">
        <v>15</v>
      </c>
      <c r="H71" s="70">
        <v>14</v>
      </c>
      <c r="I71" s="70">
        <v>12</v>
      </c>
      <c r="J71" s="70">
        <v>10</v>
      </c>
      <c r="K71" s="70">
        <v>17</v>
      </c>
      <c r="L71" s="70">
        <v>7</v>
      </c>
      <c r="M71" s="70">
        <v>15</v>
      </c>
      <c r="N71" s="70">
        <v>14</v>
      </c>
      <c r="O71" s="70">
        <v>12</v>
      </c>
      <c r="P71" s="70">
        <f>SUM(M71:O71)</f>
        <v>41</v>
      </c>
      <c r="Q71" s="70" t="s">
        <v>58</v>
      </c>
      <c r="R71" s="70" t="s">
        <v>58</v>
      </c>
      <c r="S71" s="70" t="s">
        <v>58</v>
      </c>
      <c r="T71" s="70" t="s">
        <v>58</v>
      </c>
      <c r="U71" s="70" t="s">
        <v>58</v>
      </c>
      <c r="V71" s="70" t="s">
        <v>58</v>
      </c>
      <c r="W71" s="70" t="s">
        <v>58</v>
      </c>
      <c r="X71" s="70" t="s">
        <v>58</v>
      </c>
      <c r="Y71" s="70" t="s">
        <v>58</v>
      </c>
      <c r="Z71" s="70" t="s">
        <v>58</v>
      </c>
      <c r="AA71" s="70">
        <v>0</v>
      </c>
      <c r="AB71" s="70">
        <v>80</v>
      </c>
      <c r="AC71" s="70">
        <v>0</v>
      </c>
      <c r="AD71" s="70">
        <v>0</v>
      </c>
      <c r="AE71" s="70">
        <v>0</v>
      </c>
      <c r="AF71" s="70">
        <v>1</v>
      </c>
      <c r="AG71" s="70">
        <v>20</v>
      </c>
      <c r="AH71" s="70">
        <v>2</v>
      </c>
      <c r="AI71" s="70">
        <v>1</v>
      </c>
    </row>
    <row r="72" spans="1:35" customFormat="1" x14ac:dyDescent="0.35">
      <c r="A72" s="72">
        <v>623053</v>
      </c>
      <c r="B72" s="74" t="s">
        <v>62</v>
      </c>
      <c r="C72" s="75" t="s">
        <v>63</v>
      </c>
      <c r="D72" s="74" t="s">
        <v>64</v>
      </c>
      <c r="E72" s="70">
        <v>1</v>
      </c>
      <c r="F72" s="70">
        <v>3</v>
      </c>
      <c r="G72" s="70" t="s">
        <v>58</v>
      </c>
      <c r="H72" s="70" t="s">
        <v>58</v>
      </c>
      <c r="I72" s="70" t="s">
        <v>58</v>
      </c>
      <c r="J72" s="70" t="s">
        <v>58</v>
      </c>
      <c r="K72" s="70" t="s">
        <v>58</v>
      </c>
      <c r="L72" s="70" t="s">
        <v>58</v>
      </c>
      <c r="M72" s="70" t="s">
        <v>58</v>
      </c>
      <c r="N72" s="70" t="s">
        <v>58</v>
      </c>
      <c r="O72" s="70" t="s">
        <v>58</v>
      </c>
      <c r="P72" s="70" t="s">
        <v>58</v>
      </c>
      <c r="Q72" s="70">
        <v>1</v>
      </c>
      <c r="R72" s="70">
        <v>2</v>
      </c>
      <c r="S72" s="70">
        <v>1</v>
      </c>
      <c r="T72" s="70">
        <v>2</v>
      </c>
      <c r="U72" s="70">
        <v>1</v>
      </c>
      <c r="V72" s="70">
        <v>0</v>
      </c>
      <c r="W72" s="70">
        <v>1</v>
      </c>
      <c r="X72" s="70">
        <v>2</v>
      </c>
      <c r="Y72" s="70">
        <v>1</v>
      </c>
      <c r="Z72" s="72">
        <f t="shared" ref="Z72" si="17">SUM(W72:Y72)</f>
        <v>4</v>
      </c>
      <c r="AA72" s="70">
        <v>0</v>
      </c>
      <c r="AB72" s="70">
        <v>20</v>
      </c>
      <c r="AC72" s="70">
        <v>1</v>
      </c>
      <c r="AD72" s="70">
        <v>1</v>
      </c>
      <c r="AE72" s="70">
        <v>1</v>
      </c>
      <c r="AF72" s="70">
        <v>2</v>
      </c>
      <c r="AG72" s="70">
        <v>20</v>
      </c>
      <c r="AH72" s="70">
        <v>1</v>
      </c>
      <c r="AI72" s="70">
        <v>1</v>
      </c>
    </row>
    <row r="73" spans="1:35" customFormat="1" x14ac:dyDescent="0.35">
      <c r="A73" s="72">
        <v>633302</v>
      </c>
      <c r="B73" s="74" t="s">
        <v>62</v>
      </c>
      <c r="C73" s="75" t="s">
        <v>63</v>
      </c>
      <c r="D73" s="74" t="s">
        <v>64</v>
      </c>
      <c r="E73" s="70">
        <v>2</v>
      </c>
      <c r="F73" s="70">
        <v>1</v>
      </c>
      <c r="G73" s="70">
        <v>0</v>
      </c>
      <c r="H73" s="70">
        <v>9</v>
      </c>
      <c r="I73" s="70">
        <v>0</v>
      </c>
      <c r="J73" s="70">
        <v>0</v>
      </c>
      <c r="K73" s="70">
        <v>6</v>
      </c>
      <c r="L73" s="70">
        <v>0</v>
      </c>
      <c r="M73" s="70">
        <v>0</v>
      </c>
      <c r="N73" s="70">
        <v>6</v>
      </c>
      <c r="O73" s="70">
        <v>0</v>
      </c>
      <c r="P73" s="70">
        <f>SUM(M73:O73)</f>
        <v>6</v>
      </c>
      <c r="Q73" s="70" t="s">
        <v>58</v>
      </c>
      <c r="R73" s="70" t="s">
        <v>58</v>
      </c>
      <c r="S73" s="70" t="s">
        <v>58</v>
      </c>
      <c r="T73" s="70" t="s">
        <v>58</v>
      </c>
      <c r="U73" s="70" t="s">
        <v>58</v>
      </c>
      <c r="V73" s="70" t="s">
        <v>58</v>
      </c>
      <c r="W73" s="70" t="s">
        <v>58</v>
      </c>
      <c r="X73" s="70" t="s">
        <v>58</v>
      </c>
      <c r="Y73" s="70" t="s">
        <v>58</v>
      </c>
      <c r="Z73" s="70" t="s">
        <v>58</v>
      </c>
      <c r="AA73" s="70">
        <v>0</v>
      </c>
      <c r="AB73" s="70">
        <v>30</v>
      </c>
      <c r="AC73" s="70">
        <v>1</v>
      </c>
      <c r="AD73" s="70">
        <v>1</v>
      </c>
      <c r="AE73" s="70">
        <v>1</v>
      </c>
      <c r="AF73" s="70">
        <v>1</v>
      </c>
      <c r="AG73" s="70">
        <v>19</v>
      </c>
      <c r="AH73" s="70">
        <v>1</v>
      </c>
      <c r="AI73" s="70">
        <v>1</v>
      </c>
    </row>
    <row r="74" spans="1:35" customFormat="1" x14ac:dyDescent="0.35">
      <c r="A74" s="72">
        <v>639735</v>
      </c>
      <c r="B74" s="74" t="s">
        <v>62</v>
      </c>
      <c r="C74" s="75" t="s">
        <v>63</v>
      </c>
      <c r="D74" s="74" t="s">
        <v>64</v>
      </c>
      <c r="E74" s="70">
        <v>2</v>
      </c>
      <c r="F74" s="70">
        <v>3</v>
      </c>
      <c r="G74" s="70">
        <v>18</v>
      </c>
      <c r="H74" s="70">
        <v>7</v>
      </c>
      <c r="I74" s="70">
        <v>10</v>
      </c>
      <c r="J74" s="70">
        <v>16</v>
      </c>
      <c r="K74" s="70">
        <v>8</v>
      </c>
      <c r="L74" s="70">
        <v>10</v>
      </c>
      <c r="M74" s="70">
        <v>18</v>
      </c>
      <c r="N74" s="70">
        <v>7</v>
      </c>
      <c r="O74" s="70">
        <v>10</v>
      </c>
      <c r="P74" s="70">
        <f>SUM(M74:O74)</f>
        <v>35</v>
      </c>
      <c r="Q74" s="70" t="s">
        <v>58</v>
      </c>
      <c r="R74" s="70" t="s">
        <v>58</v>
      </c>
      <c r="S74" s="70" t="s">
        <v>58</v>
      </c>
      <c r="T74" s="70" t="s">
        <v>58</v>
      </c>
      <c r="U74" s="70" t="s">
        <v>58</v>
      </c>
      <c r="V74" s="70" t="s">
        <v>58</v>
      </c>
      <c r="W74" s="70" t="s">
        <v>58</v>
      </c>
      <c r="X74" s="70" t="s">
        <v>58</v>
      </c>
      <c r="Y74" s="70" t="s">
        <v>58</v>
      </c>
      <c r="Z74" s="70" t="s">
        <v>58</v>
      </c>
      <c r="AA74" s="70">
        <v>0</v>
      </c>
      <c r="AB74" s="70">
        <v>85</v>
      </c>
      <c r="AC74" s="70">
        <v>0</v>
      </c>
      <c r="AD74" s="70">
        <v>0</v>
      </c>
      <c r="AE74" s="70">
        <v>0</v>
      </c>
      <c r="AF74" s="70">
        <v>1</v>
      </c>
      <c r="AG74" s="70">
        <v>19</v>
      </c>
      <c r="AH74" s="70">
        <v>1</v>
      </c>
      <c r="AI74" s="70">
        <v>1</v>
      </c>
    </row>
    <row r="75" spans="1:35" customFormat="1" x14ac:dyDescent="0.35">
      <c r="A75" s="72">
        <v>645442</v>
      </c>
      <c r="B75" s="74" t="s">
        <v>62</v>
      </c>
      <c r="C75" s="75" t="s">
        <v>63</v>
      </c>
      <c r="D75" s="74" t="s">
        <v>64</v>
      </c>
      <c r="E75" s="70">
        <v>1</v>
      </c>
      <c r="F75" s="70">
        <v>2</v>
      </c>
      <c r="G75" s="70" t="s">
        <v>58</v>
      </c>
      <c r="H75" s="70" t="s">
        <v>58</v>
      </c>
      <c r="I75" s="70" t="s">
        <v>58</v>
      </c>
      <c r="J75" s="70" t="s">
        <v>58</v>
      </c>
      <c r="K75" s="70" t="s">
        <v>58</v>
      </c>
      <c r="L75" s="70" t="s">
        <v>58</v>
      </c>
      <c r="M75" s="70" t="s">
        <v>58</v>
      </c>
      <c r="N75" s="70" t="s">
        <v>58</v>
      </c>
      <c r="O75" s="70" t="s">
        <v>58</v>
      </c>
      <c r="P75" s="70" t="s">
        <v>58</v>
      </c>
      <c r="Q75" s="70">
        <v>1</v>
      </c>
      <c r="R75" s="70">
        <v>0</v>
      </c>
      <c r="S75" s="70">
        <v>2</v>
      </c>
      <c r="T75" s="70">
        <v>1</v>
      </c>
      <c r="U75" s="70">
        <v>0</v>
      </c>
      <c r="V75" s="70">
        <v>2</v>
      </c>
      <c r="W75" s="70">
        <v>1</v>
      </c>
      <c r="X75" s="70">
        <v>0</v>
      </c>
      <c r="Y75" s="70">
        <v>2</v>
      </c>
      <c r="Z75" s="70">
        <f>SUM(W75:Y75)</f>
        <v>3</v>
      </c>
      <c r="AA75" s="70">
        <v>0</v>
      </c>
      <c r="AB75" s="70">
        <v>20</v>
      </c>
      <c r="AC75" s="70">
        <v>1</v>
      </c>
      <c r="AD75" s="70">
        <v>1</v>
      </c>
      <c r="AE75" s="70">
        <v>0</v>
      </c>
      <c r="AF75" s="70">
        <v>2</v>
      </c>
      <c r="AG75" s="70">
        <v>23</v>
      </c>
      <c r="AH75" s="70">
        <v>2</v>
      </c>
      <c r="AI75" s="70">
        <v>1</v>
      </c>
    </row>
    <row r="76" spans="1:35" customFormat="1" x14ac:dyDescent="0.35">
      <c r="A76" s="72">
        <v>653675</v>
      </c>
      <c r="B76" s="74" t="s">
        <v>62</v>
      </c>
      <c r="C76" s="75" t="s">
        <v>63</v>
      </c>
      <c r="D76" s="74" t="s">
        <v>64</v>
      </c>
      <c r="E76" s="70">
        <v>1</v>
      </c>
      <c r="F76" s="70">
        <v>2</v>
      </c>
      <c r="G76" s="70" t="s">
        <v>58</v>
      </c>
      <c r="H76" s="70" t="s">
        <v>58</v>
      </c>
      <c r="I76" s="70" t="s">
        <v>58</v>
      </c>
      <c r="J76" s="70" t="s">
        <v>58</v>
      </c>
      <c r="K76" s="70" t="s">
        <v>58</v>
      </c>
      <c r="L76" s="70" t="s">
        <v>58</v>
      </c>
      <c r="M76" s="70" t="s">
        <v>58</v>
      </c>
      <c r="N76" s="70" t="s">
        <v>58</v>
      </c>
      <c r="O76" s="70" t="s">
        <v>58</v>
      </c>
      <c r="P76" s="70" t="s">
        <v>58</v>
      </c>
      <c r="Q76" s="70">
        <v>1</v>
      </c>
      <c r="R76" s="70">
        <v>2</v>
      </c>
      <c r="S76" s="70">
        <v>2</v>
      </c>
      <c r="T76" s="70">
        <v>2</v>
      </c>
      <c r="U76" s="70">
        <v>0</v>
      </c>
      <c r="V76" s="70">
        <v>1</v>
      </c>
      <c r="W76" s="70">
        <v>2</v>
      </c>
      <c r="X76" s="70">
        <v>0</v>
      </c>
      <c r="Y76" s="70">
        <v>1</v>
      </c>
      <c r="Z76" s="72">
        <f t="shared" ref="Z76" si="18">SUM(W76:Y76)</f>
        <v>3</v>
      </c>
      <c r="AA76" s="70">
        <v>0</v>
      </c>
      <c r="AB76" s="70">
        <v>30</v>
      </c>
      <c r="AC76" s="70">
        <v>1</v>
      </c>
      <c r="AD76" s="70">
        <v>1</v>
      </c>
      <c r="AE76" s="70">
        <v>1</v>
      </c>
      <c r="AF76" s="70">
        <v>2</v>
      </c>
      <c r="AG76" s="70">
        <v>20</v>
      </c>
      <c r="AH76" s="70">
        <v>1</v>
      </c>
      <c r="AI76" s="70">
        <v>1</v>
      </c>
    </row>
    <row r="77" spans="1:35" customFormat="1" x14ac:dyDescent="0.35">
      <c r="A77" s="72">
        <v>665958</v>
      </c>
      <c r="B77" s="74" t="s">
        <v>62</v>
      </c>
      <c r="C77" s="75" t="s">
        <v>63</v>
      </c>
      <c r="D77" s="74" t="s">
        <v>64</v>
      </c>
      <c r="E77" s="70">
        <v>2</v>
      </c>
      <c r="F77" s="70">
        <v>1</v>
      </c>
      <c r="G77" s="70">
        <v>10</v>
      </c>
      <c r="H77" s="70">
        <v>2</v>
      </c>
      <c r="I77" s="70">
        <v>8</v>
      </c>
      <c r="J77" s="70">
        <v>11</v>
      </c>
      <c r="K77" s="70">
        <v>0</v>
      </c>
      <c r="L77" s="70">
        <v>3</v>
      </c>
      <c r="M77" s="70">
        <v>10</v>
      </c>
      <c r="N77" s="70">
        <v>2</v>
      </c>
      <c r="O77" s="70">
        <v>8</v>
      </c>
      <c r="P77" s="70">
        <f>SUM(M77:O77)</f>
        <v>20</v>
      </c>
      <c r="Q77" s="70" t="s">
        <v>58</v>
      </c>
      <c r="R77" s="70" t="s">
        <v>58</v>
      </c>
      <c r="S77" s="70" t="s">
        <v>58</v>
      </c>
      <c r="T77" s="70" t="s">
        <v>58</v>
      </c>
      <c r="U77" s="70" t="s">
        <v>58</v>
      </c>
      <c r="V77" s="70" t="s">
        <v>58</v>
      </c>
      <c r="W77" s="70" t="s">
        <v>58</v>
      </c>
      <c r="X77" s="70" t="s">
        <v>58</v>
      </c>
      <c r="Y77" s="70" t="s">
        <v>58</v>
      </c>
      <c r="Z77" s="70" t="s">
        <v>58</v>
      </c>
      <c r="AA77" s="70">
        <v>0</v>
      </c>
      <c r="AB77" s="70">
        <v>80</v>
      </c>
      <c r="AC77" s="70">
        <v>0</v>
      </c>
      <c r="AD77" s="70">
        <v>0</v>
      </c>
      <c r="AE77" s="70">
        <v>0</v>
      </c>
      <c r="AF77" s="70">
        <v>1</v>
      </c>
      <c r="AG77" s="70">
        <v>18</v>
      </c>
      <c r="AH77" s="70">
        <v>3</v>
      </c>
      <c r="AI77" s="70">
        <v>1</v>
      </c>
    </row>
    <row r="78" spans="1:35" customFormat="1" x14ac:dyDescent="0.35">
      <c r="A78" s="72">
        <v>670992</v>
      </c>
      <c r="B78" s="74" t="s">
        <v>62</v>
      </c>
      <c r="C78" s="75" t="s">
        <v>63</v>
      </c>
      <c r="D78" s="74" t="s">
        <v>64</v>
      </c>
      <c r="E78" s="70">
        <v>1</v>
      </c>
      <c r="F78" s="70">
        <v>1</v>
      </c>
      <c r="G78" s="70" t="s">
        <v>58</v>
      </c>
      <c r="H78" s="70" t="s">
        <v>58</v>
      </c>
      <c r="I78" s="70" t="s">
        <v>58</v>
      </c>
      <c r="J78" s="70" t="s">
        <v>58</v>
      </c>
      <c r="K78" s="70" t="s">
        <v>58</v>
      </c>
      <c r="L78" s="70" t="s">
        <v>58</v>
      </c>
      <c r="M78" s="70" t="s">
        <v>58</v>
      </c>
      <c r="N78" s="70" t="s">
        <v>58</v>
      </c>
      <c r="O78" s="70" t="s">
        <v>58</v>
      </c>
      <c r="P78" s="70" t="s">
        <v>58</v>
      </c>
      <c r="Q78" s="70">
        <v>1</v>
      </c>
      <c r="R78" s="70">
        <v>6</v>
      </c>
      <c r="S78" s="70">
        <v>2</v>
      </c>
      <c r="T78" s="70">
        <v>2</v>
      </c>
      <c r="U78" s="70">
        <v>1</v>
      </c>
      <c r="V78" s="70">
        <v>0</v>
      </c>
      <c r="W78" s="70">
        <v>1</v>
      </c>
      <c r="X78" s="70">
        <v>6</v>
      </c>
      <c r="Y78" s="70">
        <v>2</v>
      </c>
      <c r="Z78" s="72">
        <f t="shared" ref="Z78" si="19">SUM(W78:Y78)</f>
        <v>9</v>
      </c>
      <c r="AA78" s="70">
        <v>0</v>
      </c>
      <c r="AB78" s="70">
        <v>10</v>
      </c>
      <c r="AC78" s="70">
        <v>1</v>
      </c>
      <c r="AD78" s="70">
        <v>1</v>
      </c>
      <c r="AE78" s="70">
        <v>1</v>
      </c>
      <c r="AF78" s="70">
        <v>2</v>
      </c>
      <c r="AG78" s="70">
        <v>19</v>
      </c>
      <c r="AH78" s="70">
        <v>1</v>
      </c>
      <c r="AI78" s="70">
        <v>1</v>
      </c>
    </row>
    <row r="79" spans="1:35" customFormat="1" x14ac:dyDescent="0.35">
      <c r="A79" s="72">
        <v>702138</v>
      </c>
      <c r="B79" s="74" t="s">
        <v>62</v>
      </c>
      <c r="C79" s="75" t="s">
        <v>63</v>
      </c>
      <c r="D79" s="74" t="s">
        <v>64</v>
      </c>
      <c r="E79" s="70">
        <v>2</v>
      </c>
      <c r="F79" s="70">
        <v>1</v>
      </c>
      <c r="G79" s="70">
        <v>6</v>
      </c>
      <c r="H79" s="70">
        <v>6</v>
      </c>
      <c r="I79" s="70">
        <v>6</v>
      </c>
      <c r="J79" s="70">
        <v>6</v>
      </c>
      <c r="K79" s="70">
        <v>1</v>
      </c>
      <c r="L79" s="70">
        <v>6</v>
      </c>
      <c r="M79" s="70">
        <v>6</v>
      </c>
      <c r="N79" s="70">
        <v>1</v>
      </c>
      <c r="O79" s="70">
        <v>6</v>
      </c>
      <c r="P79" s="70">
        <f>SUM(M79:O79)</f>
        <v>13</v>
      </c>
      <c r="Q79" s="70" t="s">
        <v>58</v>
      </c>
      <c r="R79" s="70" t="s">
        <v>58</v>
      </c>
      <c r="S79" s="70" t="s">
        <v>58</v>
      </c>
      <c r="T79" s="70" t="s">
        <v>58</v>
      </c>
      <c r="U79" s="70" t="s">
        <v>58</v>
      </c>
      <c r="V79" s="70" t="s">
        <v>58</v>
      </c>
      <c r="W79" s="70" t="s">
        <v>58</v>
      </c>
      <c r="X79" s="70" t="s">
        <v>58</v>
      </c>
      <c r="Y79" s="70" t="s">
        <v>58</v>
      </c>
      <c r="Z79" s="70" t="s">
        <v>58</v>
      </c>
      <c r="AA79" s="70">
        <v>0</v>
      </c>
      <c r="AB79" s="70">
        <v>40</v>
      </c>
      <c r="AC79" s="70">
        <v>0</v>
      </c>
      <c r="AD79" s="70">
        <v>0</v>
      </c>
      <c r="AE79" s="70">
        <v>0</v>
      </c>
      <c r="AF79" s="70">
        <v>1</v>
      </c>
      <c r="AG79" s="70">
        <v>20</v>
      </c>
      <c r="AH79" s="70">
        <v>1</v>
      </c>
      <c r="AI79" s="70">
        <v>1</v>
      </c>
    </row>
    <row r="80" spans="1:35" customFormat="1" x14ac:dyDescent="0.35">
      <c r="A80" s="72">
        <v>720290</v>
      </c>
      <c r="B80" s="74" t="s">
        <v>62</v>
      </c>
      <c r="C80" s="75" t="s">
        <v>63</v>
      </c>
      <c r="D80" s="74" t="s">
        <v>64</v>
      </c>
      <c r="E80" s="70">
        <v>2</v>
      </c>
      <c r="F80" s="70">
        <v>4</v>
      </c>
      <c r="G80" s="70">
        <v>5</v>
      </c>
      <c r="H80" s="70">
        <v>1</v>
      </c>
      <c r="I80" s="70">
        <v>27</v>
      </c>
      <c r="J80" s="70">
        <v>3</v>
      </c>
      <c r="K80" s="70">
        <v>1</v>
      </c>
      <c r="L80" s="70">
        <v>28</v>
      </c>
      <c r="M80" s="70">
        <v>5</v>
      </c>
      <c r="N80" s="70">
        <v>1</v>
      </c>
      <c r="O80" s="70">
        <v>27</v>
      </c>
      <c r="P80" s="70">
        <f>SUM(M80:O80)</f>
        <v>33</v>
      </c>
      <c r="Q80" s="70" t="s">
        <v>58</v>
      </c>
      <c r="R80" s="70" t="s">
        <v>58</v>
      </c>
      <c r="S80" s="70" t="s">
        <v>58</v>
      </c>
      <c r="T80" s="70" t="s">
        <v>58</v>
      </c>
      <c r="U80" s="70" t="s">
        <v>58</v>
      </c>
      <c r="V80" s="70" t="s">
        <v>58</v>
      </c>
      <c r="W80" s="70" t="s">
        <v>58</v>
      </c>
      <c r="X80" s="70" t="s">
        <v>58</v>
      </c>
      <c r="Y80" s="70" t="s">
        <v>58</v>
      </c>
      <c r="Z80" s="70" t="s">
        <v>58</v>
      </c>
      <c r="AA80" s="70">
        <v>0</v>
      </c>
      <c r="AB80" s="70">
        <v>100</v>
      </c>
      <c r="AC80" s="70">
        <v>0</v>
      </c>
      <c r="AD80" s="70">
        <v>0</v>
      </c>
      <c r="AE80" s="70">
        <v>0</v>
      </c>
      <c r="AF80" s="70">
        <v>1</v>
      </c>
      <c r="AG80" s="70">
        <v>20</v>
      </c>
      <c r="AH80" s="70">
        <v>1</v>
      </c>
      <c r="AI80" s="70">
        <v>1</v>
      </c>
    </row>
    <row r="81" spans="1:35" customFormat="1" x14ac:dyDescent="0.35">
      <c r="A81" s="72">
        <v>726223</v>
      </c>
      <c r="B81" s="74" t="s">
        <v>62</v>
      </c>
      <c r="C81" s="75" t="s">
        <v>63</v>
      </c>
      <c r="D81" s="74" t="s">
        <v>64</v>
      </c>
      <c r="E81" s="70">
        <v>1</v>
      </c>
      <c r="F81" s="70">
        <v>2</v>
      </c>
      <c r="G81" s="70" t="s">
        <v>58</v>
      </c>
      <c r="H81" s="70" t="s">
        <v>58</v>
      </c>
      <c r="I81" s="70" t="s">
        <v>58</v>
      </c>
      <c r="J81" s="70" t="s">
        <v>58</v>
      </c>
      <c r="K81" s="70" t="s">
        <v>58</v>
      </c>
      <c r="L81" s="70" t="s">
        <v>58</v>
      </c>
      <c r="M81" s="70" t="s">
        <v>58</v>
      </c>
      <c r="N81" s="70" t="s">
        <v>58</v>
      </c>
      <c r="O81" s="70" t="s">
        <v>58</v>
      </c>
      <c r="P81" s="70" t="s">
        <v>58</v>
      </c>
      <c r="Q81" s="70">
        <v>0</v>
      </c>
      <c r="R81" s="70">
        <v>4</v>
      </c>
      <c r="S81" s="70">
        <v>0</v>
      </c>
      <c r="T81" s="70">
        <v>0</v>
      </c>
      <c r="U81" s="70">
        <v>2</v>
      </c>
      <c r="V81" s="70">
        <v>0</v>
      </c>
      <c r="W81" s="70">
        <v>0</v>
      </c>
      <c r="X81" s="70">
        <v>2</v>
      </c>
      <c r="Y81" s="70">
        <v>0</v>
      </c>
      <c r="Z81" s="72">
        <f t="shared" ref="Z81" si="20">SUM(W81:Y81)</f>
        <v>2</v>
      </c>
      <c r="AA81" s="70">
        <v>0</v>
      </c>
      <c r="AB81" s="70">
        <v>30</v>
      </c>
      <c r="AC81" s="70">
        <v>1</v>
      </c>
      <c r="AD81" s="70">
        <v>1</v>
      </c>
      <c r="AE81" s="70">
        <v>1</v>
      </c>
      <c r="AF81" s="70">
        <v>2</v>
      </c>
      <c r="AG81" s="70">
        <v>22</v>
      </c>
      <c r="AH81" s="70">
        <v>2</v>
      </c>
      <c r="AI81" s="70">
        <v>1</v>
      </c>
    </row>
    <row r="82" spans="1:35" customFormat="1" x14ac:dyDescent="0.35">
      <c r="A82" s="72">
        <v>736700</v>
      </c>
      <c r="B82" s="74" t="s">
        <v>62</v>
      </c>
      <c r="C82" s="75" t="s">
        <v>63</v>
      </c>
      <c r="D82" s="74" t="s">
        <v>64</v>
      </c>
      <c r="E82" s="70">
        <v>2</v>
      </c>
      <c r="F82" s="70">
        <v>2</v>
      </c>
      <c r="G82" s="70">
        <v>11</v>
      </c>
      <c r="H82" s="70">
        <v>7</v>
      </c>
      <c r="I82" s="70">
        <v>17</v>
      </c>
      <c r="J82" s="70">
        <v>11</v>
      </c>
      <c r="K82" s="70">
        <v>6</v>
      </c>
      <c r="L82" s="70">
        <v>17</v>
      </c>
      <c r="M82" s="70">
        <v>11</v>
      </c>
      <c r="N82" s="70">
        <v>7</v>
      </c>
      <c r="O82" s="70">
        <v>17</v>
      </c>
      <c r="P82" s="70">
        <f>SUM(M82:O82)</f>
        <v>35</v>
      </c>
      <c r="Q82" s="70" t="s">
        <v>58</v>
      </c>
      <c r="R82" s="70" t="s">
        <v>58</v>
      </c>
      <c r="S82" s="70" t="s">
        <v>58</v>
      </c>
      <c r="T82" s="70" t="s">
        <v>58</v>
      </c>
      <c r="U82" s="70" t="s">
        <v>58</v>
      </c>
      <c r="V82" s="70" t="s">
        <v>58</v>
      </c>
      <c r="W82" s="70" t="s">
        <v>58</v>
      </c>
      <c r="X82" s="70" t="s">
        <v>58</v>
      </c>
      <c r="Y82" s="70" t="s">
        <v>58</v>
      </c>
      <c r="Z82" s="70" t="s">
        <v>58</v>
      </c>
      <c r="AA82" s="70">
        <v>0</v>
      </c>
      <c r="AB82" s="70">
        <v>85</v>
      </c>
      <c r="AC82" s="70">
        <v>0</v>
      </c>
      <c r="AD82" s="70">
        <v>0</v>
      </c>
      <c r="AE82" s="70">
        <v>0</v>
      </c>
      <c r="AF82" s="70">
        <v>1</v>
      </c>
      <c r="AG82" s="70">
        <v>23</v>
      </c>
      <c r="AH82" s="70">
        <v>2</v>
      </c>
      <c r="AI82" s="70">
        <v>1</v>
      </c>
    </row>
    <row r="83" spans="1:35" customFormat="1" x14ac:dyDescent="0.35">
      <c r="A83" s="72">
        <v>741394</v>
      </c>
      <c r="B83" s="74" t="s">
        <v>62</v>
      </c>
      <c r="C83" s="75" t="s">
        <v>63</v>
      </c>
      <c r="D83" s="74" t="s">
        <v>64</v>
      </c>
      <c r="E83" s="70">
        <v>1</v>
      </c>
      <c r="F83" s="70">
        <v>3</v>
      </c>
      <c r="G83" s="70" t="s">
        <v>58</v>
      </c>
      <c r="H83" s="70" t="s">
        <v>58</v>
      </c>
      <c r="I83" s="70" t="s">
        <v>58</v>
      </c>
      <c r="J83" s="70" t="s">
        <v>58</v>
      </c>
      <c r="K83" s="70" t="s">
        <v>58</v>
      </c>
      <c r="L83" s="70" t="s">
        <v>58</v>
      </c>
      <c r="M83" s="70" t="s">
        <v>58</v>
      </c>
      <c r="N83" s="70" t="s">
        <v>58</v>
      </c>
      <c r="O83" s="70" t="s">
        <v>58</v>
      </c>
      <c r="P83" s="70" t="s">
        <v>58</v>
      </c>
      <c r="Q83" s="70">
        <v>0</v>
      </c>
      <c r="R83" s="70">
        <v>5</v>
      </c>
      <c r="S83" s="70">
        <v>2</v>
      </c>
      <c r="T83" s="70">
        <v>2</v>
      </c>
      <c r="U83" s="70">
        <v>2</v>
      </c>
      <c r="V83" s="70">
        <v>0</v>
      </c>
      <c r="W83" s="70">
        <v>2</v>
      </c>
      <c r="X83" s="70">
        <v>2</v>
      </c>
      <c r="Y83" s="70">
        <v>0</v>
      </c>
      <c r="Z83" s="72">
        <f t="shared" ref="Z83:Z84" si="21">SUM(W83:Y83)</f>
        <v>4</v>
      </c>
      <c r="AA83" s="70">
        <v>18</v>
      </c>
      <c r="AB83" s="70">
        <v>80</v>
      </c>
      <c r="AC83" s="70">
        <v>1</v>
      </c>
      <c r="AD83" s="70">
        <v>1</v>
      </c>
      <c r="AE83" s="70">
        <v>1</v>
      </c>
      <c r="AF83" s="70">
        <v>2</v>
      </c>
      <c r="AG83" s="70">
        <v>21</v>
      </c>
      <c r="AH83" s="70">
        <v>1</v>
      </c>
      <c r="AI83" s="70">
        <v>1</v>
      </c>
    </row>
    <row r="84" spans="1:35" customFormat="1" x14ac:dyDescent="0.35">
      <c r="A84" s="72">
        <v>741553</v>
      </c>
      <c r="B84" s="74" t="s">
        <v>62</v>
      </c>
      <c r="C84" s="75" t="s">
        <v>63</v>
      </c>
      <c r="D84" s="74" t="s">
        <v>64</v>
      </c>
      <c r="E84" s="70">
        <v>1</v>
      </c>
      <c r="F84" s="70">
        <v>3</v>
      </c>
      <c r="G84" s="70" t="s">
        <v>58</v>
      </c>
      <c r="H84" s="70" t="s">
        <v>58</v>
      </c>
      <c r="I84" s="70" t="s">
        <v>58</v>
      </c>
      <c r="J84" s="70" t="s">
        <v>58</v>
      </c>
      <c r="K84" s="70" t="s">
        <v>58</v>
      </c>
      <c r="L84" s="70" t="s">
        <v>58</v>
      </c>
      <c r="M84" s="70" t="s">
        <v>58</v>
      </c>
      <c r="N84" s="70" t="s">
        <v>58</v>
      </c>
      <c r="O84" s="70" t="s">
        <v>58</v>
      </c>
      <c r="P84" s="70" t="s">
        <v>58</v>
      </c>
      <c r="Q84" s="70">
        <v>0</v>
      </c>
      <c r="R84" s="70">
        <v>5</v>
      </c>
      <c r="S84" s="70">
        <v>4</v>
      </c>
      <c r="T84" s="70">
        <v>1</v>
      </c>
      <c r="U84" s="70">
        <v>5</v>
      </c>
      <c r="V84" s="70">
        <v>4</v>
      </c>
      <c r="W84" s="70">
        <v>1</v>
      </c>
      <c r="X84" s="70">
        <v>5</v>
      </c>
      <c r="Y84" s="70">
        <v>4</v>
      </c>
      <c r="Z84" s="72">
        <f t="shared" si="21"/>
        <v>10</v>
      </c>
      <c r="AA84" s="70">
        <v>0</v>
      </c>
      <c r="AB84" s="70">
        <v>60</v>
      </c>
      <c r="AC84" s="70">
        <v>1</v>
      </c>
      <c r="AD84" s="70">
        <v>1</v>
      </c>
      <c r="AE84" s="70">
        <v>1</v>
      </c>
      <c r="AF84" s="70">
        <v>2</v>
      </c>
      <c r="AG84" s="70">
        <v>21</v>
      </c>
      <c r="AH84" s="70">
        <v>1</v>
      </c>
      <c r="AI84" s="70">
        <v>1</v>
      </c>
    </row>
    <row r="85" spans="1:35" customFormat="1" x14ac:dyDescent="0.35">
      <c r="A85" s="72">
        <v>747659</v>
      </c>
      <c r="B85" s="74" t="s">
        <v>62</v>
      </c>
      <c r="C85" s="75" t="s">
        <v>63</v>
      </c>
      <c r="D85" s="74" t="s">
        <v>64</v>
      </c>
      <c r="E85" s="70">
        <v>2</v>
      </c>
      <c r="F85" s="70">
        <v>2</v>
      </c>
      <c r="G85" s="70">
        <v>0</v>
      </c>
      <c r="H85" s="70">
        <v>3</v>
      </c>
      <c r="I85" s="70">
        <v>9</v>
      </c>
      <c r="J85" s="70">
        <v>2</v>
      </c>
      <c r="K85" s="70">
        <v>4</v>
      </c>
      <c r="L85" s="70">
        <v>8</v>
      </c>
      <c r="M85" s="70">
        <v>2</v>
      </c>
      <c r="N85" s="70">
        <v>4</v>
      </c>
      <c r="O85" s="70">
        <v>8</v>
      </c>
      <c r="P85" s="70">
        <f>SUM(M85:O85)</f>
        <v>14</v>
      </c>
      <c r="Q85" s="70" t="s">
        <v>58</v>
      </c>
      <c r="R85" s="70" t="s">
        <v>58</v>
      </c>
      <c r="S85" s="70" t="s">
        <v>58</v>
      </c>
      <c r="T85" s="70" t="s">
        <v>58</v>
      </c>
      <c r="U85" s="70" t="s">
        <v>58</v>
      </c>
      <c r="V85" s="70" t="s">
        <v>58</v>
      </c>
      <c r="W85" s="70" t="s">
        <v>58</v>
      </c>
      <c r="X85" s="70" t="s">
        <v>58</v>
      </c>
      <c r="Y85" s="70" t="s">
        <v>58</v>
      </c>
      <c r="Z85" s="70" t="s">
        <v>58</v>
      </c>
      <c r="AA85" s="70">
        <v>0</v>
      </c>
      <c r="AB85" s="70">
        <v>35</v>
      </c>
      <c r="AC85" s="70">
        <v>0</v>
      </c>
      <c r="AD85" s="70">
        <v>0</v>
      </c>
      <c r="AE85" s="70">
        <v>0</v>
      </c>
      <c r="AF85" s="70">
        <v>1</v>
      </c>
      <c r="AG85" s="70">
        <v>21</v>
      </c>
      <c r="AH85" s="70">
        <v>1</v>
      </c>
      <c r="AI85" s="70">
        <v>1</v>
      </c>
    </row>
    <row r="86" spans="1:35" customFormat="1" x14ac:dyDescent="0.35">
      <c r="A86" s="72">
        <v>748197</v>
      </c>
      <c r="B86" s="74" t="s">
        <v>62</v>
      </c>
      <c r="C86" s="75" t="s">
        <v>63</v>
      </c>
      <c r="D86" s="74" t="s">
        <v>64</v>
      </c>
      <c r="E86" s="70">
        <v>1</v>
      </c>
      <c r="F86" s="70">
        <v>4</v>
      </c>
      <c r="G86" s="70" t="s">
        <v>58</v>
      </c>
      <c r="H86" s="70" t="s">
        <v>58</v>
      </c>
      <c r="I86" s="70" t="s">
        <v>58</v>
      </c>
      <c r="J86" s="70" t="s">
        <v>58</v>
      </c>
      <c r="K86" s="70" t="s">
        <v>58</v>
      </c>
      <c r="L86" s="70" t="s">
        <v>58</v>
      </c>
      <c r="M86" s="70" t="s">
        <v>58</v>
      </c>
      <c r="N86" s="70" t="s">
        <v>58</v>
      </c>
      <c r="O86" s="70" t="s">
        <v>58</v>
      </c>
      <c r="P86" s="70" t="s">
        <v>58</v>
      </c>
      <c r="Q86" s="70">
        <v>0</v>
      </c>
      <c r="R86" s="70">
        <v>6</v>
      </c>
      <c r="S86" s="70">
        <v>1</v>
      </c>
      <c r="T86" s="70">
        <v>0</v>
      </c>
      <c r="U86" s="70">
        <v>6</v>
      </c>
      <c r="V86" s="70">
        <v>1</v>
      </c>
      <c r="W86" s="70">
        <v>0</v>
      </c>
      <c r="X86" s="70">
        <v>6</v>
      </c>
      <c r="Y86" s="70">
        <v>1</v>
      </c>
      <c r="Z86" s="72">
        <f t="shared" ref="Z86:Z87" si="22">SUM(W86:Y86)</f>
        <v>7</v>
      </c>
      <c r="AA86" s="70">
        <v>5</v>
      </c>
      <c r="AB86" s="70">
        <v>70</v>
      </c>
      <c r="AC86" s="70">
        <v>1</v>
      </c>
      <c r="AD86" s="70">
        <v>1</v>
      </c>
      <c r="AE86" s="70">
        <v>1</v>
      </c>
      <c r="AF86" s="70">
        <v>2</v>
      </c>
      <c r="AG86" s="70">
        <v>21</v>
      </c>
      <c r="AH86" s="70">
        <v>1</v>
      </c>
      <c r="AI86" s="70">
        <v>1</v>
      </c>
    </row>
    <row r="87" spans="1:35" customFormat="1" x14ac:dyDescent="0.35">
      <c r="A87" s="72">
        <v>760106</v>
      </c>
      <c r="B87" s="74" t="s">
        <v>62</v>
      </c>
      <c r="C87" s="75" t="s">
        <v>63</v>
      </c>
      <c r="D87" s="74" t="s">
        <v>64</v>
      </c>
      <c r="E87" s="70">
        <v>1</v>
      </c>
      <c r="F87" s="70">
        <v>1</v>
      </c>
      <c r="G87" s="70" t="s">
        <v>58</v>
      </c>
      <c r="H87" s="70" t="s">
        <v>58</v>
      </c>
      <c r="I87" s="70" t="s">
        <v>58</v>
      </c>
      <c r="J87" s="70" t="s">
        <v>58</v>
      </c>
      <c r="K87" s="70" t="s">
        <v>58</v>
      </c>
      <c r="L87" s="70" t="s">
        <v>58</v>
      </c>
      <c r="M87" s="70" t="s">
        <v>58</v>
      </c>
      <c r="N87" s="70" t="s">
        <v>58</v>
      </c>
      <c r="O87" s="70" t="s">
        <v>58</v>
      </c>
      <c r="P87" s="70" t="s">
        <v>58</v>
      </c>
      <c r="Q87" s="70">
        <v>0</v>
      </c>
      <c r="R87" s="70">
        <v>1</v>
      </c>
      <c r="S87" s="70">
        <v>1</v>
      </c>
      <c r="T87" s="70">
        <v>0</v>
      </c>
      <c r="U87" s="70">
        <v>1</v>
      </c>
      <c r="V87" s="70">
        <v>1</v>
      </c>
      <c r="W87" s="70">
        <v>0</v>
      </c>
      <c r="X87" s="70">
        <v>1</v>
      </c>
      <c r="Y87" s="70">
        <v>1</v>
      </c>
      <c r="Z87" s="72">
        <f t="shared" si="22"/>
        <v>2</v>
      </c>
      <c r="AA87" s="70">
        <v>0</v>
      </c>
      <c r="AB87" s="70">
        <v>5</v>
      </c>
      <c r="AC87" s="70">
        <v>1</v>
      </c>
      <c r="AD87" s="70">
        <v>1</v>
      </c>
      <c r="AE87" s="70">
        <v>1</v>
      </c>
      <c r="AF87" s="70">
        <v>2</v>
      </c>
      <c r="AG87" s="70">
        <v>19</v>
      </c>
      <c r="AH87" s="70">
        <v>1</v>
      </c>
      <c r="AI87" s="70">
        <v>1</v>
      </c>
    </row>
    <row r="88" spans="1:35" customFormat="1" x14ac:dyDescent="0.35">
      <c r="A88" s="72">
        <v>768110</v>
      </c>
      <c r="B88" s="74" t="s">
        <v>62</v>
      </c>
      <c r="C88" s="75" t="s">
        <v>63</v>
      </c>
      <c r="D88" s="74" t="s">
        <v>64</v>
      </c>
      <c r="E88" s="70">
        <v>2</v>
      </c>
      <c r="F88" s="70">
        <v>1</v>
      </c>
      <c r="G88" s="70">
        <v>1</v>
      </c>
      <c r="H88" s="70">
        <v>16</v>
      </c>
      <c r="I88" s="70">
        <v>18</v>
      </c>
      <c r="J88" s="70">
        <v>1</v>
      </c>
      <c r="K88" s="70">
        <v>13</v>
      </c>
      <c r="L88" s="70">
        <v>20</v>
      </c>
      <c r="M88" s="70">
        <v>1</v>
      </c>
      <c r="N88" s="70">
        <v>16</v>
      </c>
      <c r="O88" s="70">
        <v>18</v>
      </c>
      <c r="P88" s="70">
        <f>SUM(M88:O88)</f>
        <v>35</v>
      </c>
      <c r="Q88" s="70" t="s">
        <v>58</v>
      </c>
      <c r="R88" s="70" t="s">
        <v>58</v>
      </c>
      <c r="S88" s="70" t="s">
        <v>58</v>
      </c>
      <c r="T88" s="70" t="s">
        <v>58</v>
      </c>
      <c r="U88" s="70" t="s">
        <v>58</v>
      </c>
      <c r="V88" s="70" t="s">
        <v>58</v>
      </c>
      <c r="W88" s="70" t="s">
        <v>58</v>
      </c>
      <c r="X88" s="70" t="s">
        <v>58</v>
      </c>
      <c r="Y88" s="70" t="s">
        <v>58</v>
      </c>
      <c r="Z88" s="70" t="s">
        <v>58</v>
      </c>
      <c r="AA88" s="70">
        <v>0</v>
      </c>
      <c r="AB88" s="70">
        <v>65</v>
      </c>
      <c r="AC88" s="70">
        <v>0</v>
      </c>
      <c r="AD88" s="70">
        <v>0</v>
      </c>
      <c r="AE88" s="70">
        <v>0</v>
      </c>
      <c r="AF88" s="70">
        <v>1</v>
      </c>
      <c r="AG88" s="70">
        <v>20</v>
      </c>
      <c r="AH88" s="70">
        <v>1</v>
      </c>
      <c r="AI88" s="70">
        <v>1</v>
      </c>
    </row>
    <row r="89" spans="1:35" customFormat="1" x14ac:dyDescent="0.35">
      <c r="A89" s="72">
        <v>771088</v>
      </c>
      <c r="B89" s="74" t="s">
        <v>62</v>
      </c>
      <c r="C89" s="75" t="s">
        <v>63</v>
      </c>
      <c r="D89" s="74" t="s">
        <v>64</v>
      </c>
      <c r="E89" s="70">
        <v>1</v>
      </c>
      <c r="F89" s="70">
        <v>2</v>
      </c>
      <c r="G89" s="70" t="s">
        <v>58</v>
      </c>
      <c r="H89" s="70" t="s">
        <v>58</v>
      </c>
      <c r="I89" s="70" t="s">
        <v>58</v>
      </c>
      <c r="J89" s="70" t="s">
        <v>58</v>
      </c>
      <c r="K89" s="70" t="s">
        <v>58</v>
      </c>
      <c r="L89" s="70" t="s">
        <v>58</v>
      </c>
      <c r="M89" s="70" t="s">
        <v>58</v>
      </c>
      <c r="N89" s="70" t="s">
        <v>58</v>
      </c>
      <c r="O89" s="70" t="s">
        <v>58</v>
      </c>
      <c r="P89" s="70" t="s">
        <v>58</v>
      </c>
      <c r="Q89" s="70">
        <v>0</v>
      </c>
      <c r="R89" s="70">
        <v>2</v>
      </c>
      <c r="S89" s="70">
        <v>0</v>
      </c>
      <c r="T89" s="70">
        <v>0</v>
      </c>
      <c r="U89" s="70">
        <v>3</v>
      </c>
      <c r="V89" s="70">
        <v>0</v>
      </c>
      <c r="W89" s="70">
        <v>0</v>
      </c>
      <c r="X89" s="70">
        <v>3</v>
      </c>
      <c r="Y89" s="70">
        <v>0</v>
      </c>
      <c r="Z89" s="72">
        <f t="shared" ref="Z89" si="23">SUM(W89:Y89)</f>
        <v>3</v>
      </c>
      <c r="AA89" s="70">
        <v>0</v>
      </c>
      <c r="AB89" s="70">
        <v>30</v>
      </c>
      <c r="AC89" s="70">
        <v>1</v>
      </c>
      <c r="AD89" s="70">
        <v>1</v>
      </c>
      <c r="AE89" s="70">
        <v>1</v>
      </c>
      <c r="AF89" s="70">
        <v>2</v>
      </c>
      <c r="AG89" s="70">
        <v>20</v>
      </c>
      <c r="AH89" s="70">
        <v>1</v>
      </c>
      <c r="AI89" s="70">
        <v>1</v>
      </c>
    </row>
    <row r="90" spans="1:35" customFormat="1" x14ac:dyDescent="0.35">
      <c r="A90" s="72">
        <v>773742</v>
      </c>
      <c r="B90" s="74" t="s">
        <v>62</v>
      </c>
      <c r="C90" s="75" t="s">
        <v>63</v>
      </c>
      <c r="D90" s="74" t="s">
        <v>64</v>
      </c>
      <c r="E90" s="70">
        <v>2</v>
      </c>
      <c r="F90" s="70">
        <v>2</v>
      </c>
      <c r="G90" s="70">
        <v>0</v>
      </c>
      <c r="H90" s="70">
        <v>3</v>
      </c>
      <c r="I90" s="70">
        <v>6</v>
      </c>
      <c r="J90" s="70">
        <v>0</v>
      </c>
      <c r="K90" s="70">
        <v>2</v>
      </c>
      <c r="L90" s="70">
        <v>6</v>
      </c>
      <c r="M90" s="70">
        <v>0</v>
      </c>
      <c r="N90" s="70">
        <v>2</v>
      </c>
      <c r="O90" s="70">
        <v>6</v>
      </c>
      <c r="P90" s="70">
        <f t="shared" ref="P90:P96" si="24">SUM(M90:O90)</f>
        <v>8</v>
      </c>
      <c r="Q90" s="70" t="s">
        <v>58</v>
      </c>
      <c r="R90" s="70" t="s">
        <v>58</v>
      </c>
      <c r="S90" s="70" t="s">
        <v>58</v>
      </c>
      <c r="T90" s="70" t="s">
        <v>58</v>
      </c>
      <c r="U90" s="70" t="s">
        <v>58</v>
      </c>
      <c r="V90" s="70" t="s">
        <v>58</v>
      </c>
      <c r="W90" s="70" t="s">
        <v>58</v>
      </c>
      <c r="X90" s="70" t="s">
        <v>58</v>
      </c>
      <c r="Y90" s="70" t="s">
        <v>58</v>
      </c>
      <c r="Z90" s="70" t="s">
        <v>58</v>
      </c>
      <c r="AA90" s="70">
        <v>0</v>
      </c>
      <c r="AB90" s="70">
        <v>40</v>
      </c>
      <c r="AC90" s="70">
        <v>1</v>
      </c>
      <c r="AD90" s="70">
        <v>1</v>
      </c>
      <c r="AE90" s="70">
        <v>1</v>
      </c>
      <c r="AF90" s="70">
        <v>1</v>
      </c>
      <c r="AG90" s="70">
        <v>20</v>
      </c>
      <c r="AH90" s="70">
        <v>1</v>
      </c>
      <c r="AI90" s="70">
        <v>1</v>
      </c>
    </row>
    <row r="91" spans="1:35" customFormat="1" x14ac:dyDescent="0.35">
      <c r="A91" s="72">
        <v>784958</v>
      </c>
      <c r="B91" s="74" t="s">
        <v>62</v>
      </c>
      <c r="C91" s="75" t="s">
        <v>63</v>
      </c>
      <c r="D91" s="74" t="s">
        <v>64</v>
      </c>
      <c r="E91" s="70">
        <v>2</v>
      </c>
      <c r="F91" s="70">
        <v>3</v>
      </c>
      <c r="G91" s="70">
        <v>11</v>
      </c>
      <c r="H91" s="70">
        <v>8</v>
      </c>
      <c r="I91" s="70">
        <v>61</v>
      </c>
      <c r="J91" s="70">
        <v>7</v>
      </c>
      <c r="K91" s="70">
        <v>3</v>
      </c>
      <c r="L91" s="70">
        <v>56</v>
      </c>
      <c r="M91" s="70">
        <v>11</v>
      </c>
      <c r="N91" s="70">
        <v>8</v>
      </c>
      <c r="O91" s="70">
        <v>61</v>
      </c>
      <c r="P91" s="70">
        <f t="shared" si="24"/>
        <v>80</v>
      </c>
      <c r="Q91" s="70" t="s">
        <v>58</v>
      </c>
      <c r="R91" s="70" t="s">
        <v>58</v>
      </c>
      <c r="S91" s="70" t="s">
        <v>58</v>
      </c>
      <c r="T91" s="70" t="s">
        <v>58</v>
      </c>
      <c r="U91" s="70" t="s">
        <v>58</v>
      </c>
      <c r="V91" s="70" t="s">
        <v>58</v>
      </c>
      <c r="W91" s="70" t="s">
        <v>58</v>
      </c>
      <c r="X91" s="70" t="s">
        <v>58</v>
      </c>
      <c r="Y91" s="70" t="s">
        <v>58</v>
      </c>
      <c r="Z91" s="70" t="s">
        <v>58</v>
      </c>
      <c r="AA91" s="70">
        <v>0</v>
      </c>
      <c r="AB91" s="70">
        <v>90</v>
      </c>
      <c r="AC91" s="70">
        <v>0</v>
      </c>
      <c r="AD91" s="70">
        <v>0</v>
      </c>
      <c r="AE91" s="70">
        <v>0</v>
      </c>
      <c r="AF91" s="70">
        <v>1</v>
      </c>
      <c r="AG91" s="70">
        <v>22</v>
      </c>
      <c r="AH91" s="70">
        <v>1</v>
      </c>
      <c r="AI91" s="70">
        <v>1</v>
      </c>
    </row>
    <row r="92" spans="1:35" customFormat="1" x14ac:dyDescent="0.35">
      <c r="A92" s="72">
        <v>792507</v>
      </c>
      <c r="B92" s="74" t="s">
        <v>62</v>
      </c>
      <c r="C92" s="75" t="s">
        <v>63</v>
      </c>
      <c r="D92" s="74" t="s">
        <v>64</v>
      </c>
      <c r="E92" s="70">
        <v>2</v>
      </c>
      <c r="F92" s="70">
        <v>4</v>
      </c>
      <c r="G92" s="70">
        <v>1</v>
      </c>
      <c r="H92" s="70">
        <v>4</v>
      </c>
      <c r="I92" s="70">
        <v>11</v>
      </c>
      <c r="J92" s="70">
        <v>1</v>
      </c>
      <c r="K92" s="70">
        <v>1</v>
      </c>
      <c r="L92" s="70">
        <v>13</v>
      </c>
      <c r="M92" s="70">
        <v>1</v>
      </c>
      <c r="N92" s="70">
        <v>1</v>
      </c>
      <c r="O92" s="70">
        <v>13</v>
      </c>
      <c r="P92" s="70">
        <f t="shared" si="24"/>
        <v>15</v>
      </c>
      <c r="Q92" s="70" t="s">
        <v>58</v>
      </c>
      <c r="R92" s="70" t="s">
        <v>58</v>
      </c>
      <c r="S92" s="70" t="s">
        <v>58</v>
      </c>
      <c r="T92" s="70" t="s">
        <v>58</v>
      </c>
      <c r="U92" s="70" t="s">
        <v>58</v>
      </c>
      <c r="V92" s="70" t="s">
        <v>58</v>
      </c>
      <c r="W92" s="70" t="s">
        <v>58</v>
      </c>
      <c r="X92" s="70" t="s">
        <v>58</v>
      </c>
      <c r="Y92" s="70" t="s">
        <v>58</v>
      </c>
      <c r="Z92" s="70" t="s">
        <v>58</v>
      </c>
      <c r="AA92" s="70">
        <v>0</v>
      </c>
      <c r="AB92" s="70">
        <v>100</v>
      </c>
      <c r="AC92" s="70">
        <v>0</v>
      </c>
      <c r="AD92" s="70">
        <v>0</v>
      </c>
      <c r="AE92" s="70">
        <v>0</v>
      </c>
      <c r="AF92" s="70">
        <v>1</v>
      </c>
      <c r="AG92" s="70">
        <v>20</v>
      </c>
      <c r="AH92" s="70">
        <v>1</v>
      </c>
      <c r="AI92" s="70">
        <v>1</v>
      </c>
    </row>
    <row r="93" spans="1:35" customFormat="1" x14ac:dyDescent="0.35">
      <c r="A93" s="72">
        <v>793439</v>
      </c>
      <c r="B93" s="74" t="s">
        <v>62</v>
      </c>
      <c r="C93" s="75" t="s">
        <v>63</v>
      </c>
      <c r="D93" s="74" t="s">
        <v>64</v>
      </c>
      <c r="E93" s="70">
        <v>2</v>
      </c>
      <c r="F93" s="70">
        <v>2</v>
      </c>
      <c r="G93" s="70">
        <v>32</v>
      </c>
      <c r="H93" s="70">
        <v>3</v>
      </c>
      <c r="I93" s="70">
        <v>2</v>
      </c>
      <c r="J93" s="70">
        <v>28</v>
      </c>
      <c r="K93" s="70">
        <v>3</v>
      </c>
      <c r="L93" s="70">
        <v>0</v>
      </c>
      <c r="M93" s="70">
        <v>32</v>
      </c>
      <c r="N93" s="70">
        <v>3</v>
      </c>
      <c r="O93" s="70">
        <v>2</v>
      </c>
      <c r="P93" s="70">
        <f t="shared" si="24"/>
        <v>37</v>
      </c>
      <c r="Q93" s="70" t="s">
        <v>58</v>
      </c>
      <c r="R93" s="70" t="s">
        <v>58</v>
      </c>
      <c r="S93" s="70" t="s">
        <v>58</v>
      </c>
      <c r="T93" s="70" t="s">
        <v>58</v>
      </c>
      <c r="U93" s="70" t="s">
        <v>58</v>
      </c>
      <c r="V93" s="70" t="s">
        <v>58</v>
      </c>
      <c r="W93" s="70" t="s">
        <v>58</v>
      </c>
      <c r="X93" s="70" t="s">
        <v>58</v>
      </c>
      <c r="Y93" s="70" t="s">
        <v>58</v>
      </c>
      <c r="Z93" s="70" t="s">
        <v>58</v>
      </c>
      <c r="AA93" s="70">
        <v>0</v>
      </c>
      <c r="AB93" s="70">
        <v>90</v>
      </c>
      <c r="AC93" s="70">
        <v>0</v>
      </c>
      <c r="AD93" s="70">
        <v>0</v>
      </c>
      <c r="AE93" s="70">
        <v>0</v>
      </c>
      <c r="AF93" s="70">
        <v>1</v>
      </c>
      <c r="AG93" s="70">
        <v>21</v>
      </c>
      <c r="AH93" s="70">
        <v>1</v>
      </c>
      <c r="AI93" s="70">
        <v>1</v>
      </c>
    </row>
    <row r="94" spans="1:35" customFormat="1" x14ac:dyDescent="0.35">
      <c r="A94" s="72">
        <v>798936</v>
      </c>
      <c r="B94" s="74" t="s">
        <v>62</v>
      </c>
      <c r="C94" s="75" t="s">
        <v>63</v>
      </c>
      <c r="D94" s="74" t="s">
        <v>64</v>
      </c>
      <c r="E94" s="70">
        <v>2</v>
      </c>
      <c r="F94" s="70">
        <v>3</v>
      </c>
      <c r="G94" s="70">
        <v>20</v>
      </c>
      <c r="H94" s="70">
        <v>9</v>
      </c>
      <c r="I94" s="70">
        <v>44</v>
      </c>
      <c r="J94" s="70">
        <v>18</v>
      </c>
      <c r="K94" s="70">
        <v>11</v>
      </c>
      <c r="L94" s="70">
        <v>40</v>
      </c>
      <c r="M94" s="70">
        <v>18</v>
      </c>
      <c r="N94" s="70">
        <v>11</v>
      </c>
      <c r="O94" s="70">
        <v>40</v>
      </c>
      <c r="P94" s="70">
        <f t="shared" si="24"/>
        <v>69</v>
      </c>
      <c r="Q94" s="70" t="s">
        <v>58</v>
      </c>
      <c r="R94" s="70" t="s">
        <v>58</v>
      </c>
      <c r="S94" s="70" t="s">
        <v>58</v>
      </c>
      <c r="T94" s="70" t="s">
        <v>58</v>
      </c>
      <c r="U94" s="70" t="s">
        <v>58</v>
      </c>
      <c r="V94" s="70" t="s">
        <v>58</v>
      </c>
      <c r="W94" s="70" t="s">
        <v>58</v>
      </c>
      <c r="X94" s="70" t="s">
        <v>58</v>
      </c>
      <c r="Y94" s="70" t="s">
        <v>58</v>
      </c>
      <c r="Z94" s="70" t="s">
        <v>58</v>
      </c>
      <c r="AA94" s="70">
        <v>10</v>
      </c>
      <c r="AB94" s="70">
        <v>95</v>
      </c>
      <c r="AC94" s="70">
        <v>0</v>
      </c>
      <c r="AD94" s="70">
        <v>0</v>
      </c>
      <c r="AE94" s="70">
        <v>0</v>
      </c>
      <c r="AF94" s="70">
        <v>1</v>
      </c>
      <c r="AG94" s="70">
        <v>22</v>
      </c>
      <c r="AH94" s="70">
        <v>1</v>
      </c>
      <c r="AI94" s="70">
        <v>1</v>
      </c>
    </row>
    <row r="95" spans="1:35" customFormat="1" x14ac:dyDescent="0.35">
      <c r="A95" s="72">
        <v>801742</v>
      </c>
      <c r="B95" s="74" t="s">
        <v>62</v>
      </c>
      <c r="C95" s="75" t="s">
        <v>63</v>
      </c>
      <c r="D95" s="74" t="s">
        <v>64</v>
      </c>
      <c r="E95" s="70">
        <v>2</v>
      </c>
      <c r="F95" s="70">
        <v>2</v>
      </c>
      <c r="G95" s="70">
        <v>0</v>
      </c>
      <c r="H95" s="70">
        <v>12</v>
      </c>
      <c r="I95" s="70">
        <v>2</v>
      </c>
      <c r="J95" s="70">
        <v>2</v>
      </c>
      <c r="K95" s="70">
        <v>10</v>
      </c>
      <c r="L95" s="70">
        <v>2</v>
      </c>
      <c r="M95" s="70">
        <v>2</v>
      </c>
      <c r="N95" s="70">
        <v>10</v>
      </c>
      <c r="O95" s="70">
        <v>2</v>
      </c>
      <c r="P95" s="70">
        <f t="shared" si="24"/>
        <v>14</v>
      </c>
      <c r="Q95" s="70" t="s">
        <v>58</v>
      </c>
      <c r="R95" s="70" t="s">
        <v>58</v>
      </c>
      <c r="S95" s="70" t="s">
        <v>58</v>
      </c>
      <c r="T95" s="70" t="s">
        <v>58</v>
      </c>
      <c r="U95" s="70" t="s">
        <v>58</v>
      </c>
      <c r="V95" s="70" t="s">
        <v>58</v>
      </c>
      <c r="W95" s="70" t="s">
        <v>58</v>
      </c>
      <c r="X95" s="70" t="s">
        <v>58</v>
      </c>
      <c r="Y95" s="70" t="s">
        <v>58</v>
      </c>
      <c r="Z95" s="70" t="s">
        <v>58</v>
      </c>
      <c r="AA95" s="70">
        <v>0</v>
      </c>
      <c r="AB95" s="70">
        <v>80</v>
      </c>
      <c r="AC95" s="70">
        <v>0</v>
      </c>
      <c r="AD95" s="70">
        <v>0</v>
      </c>
      <c r="AE95" s="70">
        <v>0</v>
      </c>
      <c r="AF95" s="70">
        <v>1</v>
      </c>
      <c r="AG95" s="70">
        <v>20</v>
      </c>
      <c r="AH95" s="70">
        <v>1</v>
      </c>
      <c r="AI95" s="70">
        <v>1</v>
      </c>
    </row>
    <row r="96" spans="1:35" customFormat="1" x14ac:dyDescent="0.35">
      <c r="A96" s="72">
        <v>805385</v>
      </c>
      <c r="B96" s="74" t="s">
        <v>62</v>
      </c>
      <c r="C96" s="75" t="s">
        <v>63</v>
      </c>
      <c r="D96" s="74" t="s">
        <v>64</v>
      </c>
      <c r="E96" s="70">
        <v>2</v>
      </c>
      <c r="F96" s="70">
        <v>1</v>
      </c>
      <c r="G96" s="70">
        <v>10</v>
      </c>
      <c r="H96" s="70">
        <v>1</v>
      </c>
      <c r="I96" s="70">
        <v>4</v>
      </c>
      <c r="J96" s="70">
        <v>8</v>
      </c>
      <c r="K96" s="70">
        <v>1</v>
      </c>
      <c r="L96" s="70">
        <v>3</v>
      </c>
      <c r="M96" s="70">
        <v>10</v>
      </c>
      <c r="N96" s="70">
        <v>1</v>
      </c>
      <c r="O96" s="70">
        <v>4</v>
      </c>
      <c r="P96" s="70">
        <f t="shared" si="24"/>
        <v>15</v>
      </c>
      <c r="Q96" s="70" t="s">
        <v>58</v>
      </c>
      <c r="R96" s="70" t="s">
        <v>58</v>
      </c>
      <c r="S96" s="70" t="s">
        <v>58</v>
      </c>
      <c r="T96" s="70" t="s">
        <v>58</v>
      </c>
      <c r="U96" s="70" t="s">
        <v>58</v>
      </c>
      <c r="V96" s="70" t="s">
        <v>58</v>
      </c>
      <c r="W96" s="70" t="s">
        <v>58</v>
      </c>
      <c r="X96" s="70" t="s">
        <v>58</v>
      </c>
      <c r="Y96" s="70" t="s">
        <v>58</v>
      </c>
      <c r="Z96" s="70" t="s">
        <v>58</v>
      </c>
      <c r="AA96" s="70">
        <v>0</v>
      </c>
      <c r="AB96" s="70">
        <v>50</v>
      </c>
      <c r="AC96" s="70">
        <v>0</v>
      </c>
      <c r="AD96" s="70">
        <v>0</v>
      </c>
      <c r="AE96" s="70">
        <v>0</v>
      </c>
      <c r="AF96" s="70">
        <v>1</v>
      </c>
      <c r="AG96" s="70">
        <v>21</v>
      </c>
      <c r="AH96" s="70">
        <v>1</v>
      </c>
      <c r="AI96" s="70">
        <v>1</v>
      </c>
    </row>
    <row r="97" spans="1:35" customFormat="1" x14ac:dyDescent="0.35">
      <c r="A97" s="72">
        <v>808571</v>
      </c>
      <c r="B97" s="74" t="s">
        <v>62</v>
      </c>
      <c r="C97" s="75" t="s">
        <v>63</v>
      </c>
      <c r="D97" s="74" t="s">
        <v>64</v>
      </c>
      <c r="E97" s="70">
        <v>1</v>
      </c>
      <c r="F97" s="70">
        <v>3</v>
      </c>
      <c r="G97" s="70" t="s">
        <v>58</v>
      </c>
      <c r="H97" s="70" t="s">
        <v>58</v>
      </c>
      <c r="I97" s="70" t="s">
        <v>58</v>
      </c>
      <c r="J97" s="70" t="s">
        <v>58</v>
      </c>
      <c r="K97" s="70" t="s">
        <v>58</v>
      </c>
      <c r="L97" s="70" t="s">
        <v>58</v>
      </c>
      <c r="M97" s="70" t="s">
        <v>58</v>
      </c>
      <c r="N97" s="70" t="s">
        <v>58</v>
      </c>
      <c r="O97" s="70" t="s">
        <v>58</v>
      </c>
      <c r="P97" s="70" t="s">
        <v>58</v>
      </c>
      <c r="Q97" s="70">
        <v>0</v>
      </c>
      <c r="R97" s="70">
        <v>6</v>
      </c>
      <c r="S97" s="70">
        <v>0</v>
      </c>
      <c r="T97" s="70">
        <v>0</v>
      </c>
      <c r="U97" s="70">
        <v>2</v>
      </c>
      <c r="V97" s="70">
        <v>0</v>
      </c>
      <c r="W97" s="70">
        <v>0</v>
      </c>
      <c r="X97" s="70">
        <v>2</v>
      </c>
      <c r="Y97" s="70">
        <v>0</v>
      </c>
      <c r="Z97" s="72">
        <f t="shared" ref="Z97" si="25">SUM(W97:Y97)</f>
        <v>2</v>
      </c>
      <c r="AA97" s="70">
        <v>0</v>
      </c>
      <c r="AB97" s="70">
        <v>3</v>
      </c>
      <c r="AC97" s="70">
        <v>1</v>
      </c>
      <c r="AD97" s="70">
        <v>1</v>
      </c>
      <c r="AE97" s="70">
        <v>1</v>
      </c>
      <c r="AF97" s="70">
        <v>2</v>
      </c>
      <c r="AG97" s="70">
        <v>20</v>
      </c>
      <c r="AH97" s="70">
        <v>1</v>
      </c>
      <c r="AI97" s="70">
        <v>1</v>
      </c>
    </row>
    <row r="98" spans="1:35" customFormat="1" x14ac:dyDescent="0.35">
      <c r="A98" s="72">
        <v>814188</v>
      </c>
      <c r="B98" s="74" t="s">
        <v>62</v>
      </c>
      <c r="C98" s="75" t="s">
        <v>63</v>
      </c>
      <c r="D98" s="74" t="s">
        <v>64</v>
      </c>
      <c r="E98" s="70">
        <v>2</v>
      </c>
      <c r="F98" s="70">
        <v>4</v>
      </c>
      <c r="G98" s="70">
        <v>4</v>
      </c>
      <c r="H98" s="70">
        <v>5</v>
      </c>
      <c r="I98" s="70">
        <v>5</v>
      </c>
      <c r="J98" s="70">
        <v>1</v>
      </c>
      <c r="K98" s="70">
        <v>0</v>
      </c>
      <c r="L98" s="70">
        <v>6</v>
      </c>
      <c r="M98" s="70">
        <v>4</v>
      </c>
      <c r="N98" s="70">
        <v>5</v>
      </c>
      <c r="O98" s="70">
        <v>5</v>
      </c>
      <c r="P98" s="70">
        <f>SUM(M98:O98)</f>
        <v>14</v>
      </c>
      <c r="Q98" s="70" t="s">
        <v>58</v>
      </c>
      <c r="R98" s="70" t="s">
        <v>58</v>
      </c>
      <c r="S98" s="70" t="s">
        <v>58</v>
      </c>
      <c r="T98" s="70" t="s">
        <v>58</v>
      </c>
      <c r="U98" s="70" t="s">
        <v>58</v>
      </c>
      <c r="V98" s="70" t="s">
        <v>58</v>
      </c>
      <c r="W98" s="70" t="s">
        <v>58</v>
      </c>
      <c r="X98" s="70" t="s">
        <v>58</v>
      </c>
      <c r="Y98" s="70" t="s">
        <v>58</v>
      </c>
      <c r="Z98" s="70" t="s">
        <v>58</v>
      </c>
      <c r="AA98" s="70">
        <v>0</v>
      </c>
      <c r="AB98" s="70">
        <v>60</v>
      </c>
      <c r="AC98" s="70">
        <v>0</v>
      </c>
      <c r="AD98" s="70">
        <v>0</v>
      </c>
      <c r="AE98" s="70">
        <v>0</v>
      </c>
      <c r="AF98" s="70">
        <v>1</v>
      </c>
      <c r="AG98" s="70">
        <v>21</v>
      </c>
      <c r="AH98" s="70">
        <v>1</v>
      </c>
      <c r="AI98" s="70">
        <v>1</v>
      </c>
    </row>
    <row r="99" spans="1:35" customFormat="1" x14ac:dyDescent="0.35">
      <c r="A99" s="72">
        <v>815774</v>
      </c>
      <c r="B99" s="74" t="s">
        <v>62</v>
      </c>
      <c r="C99" s="75" t="s">
        <v>63</v>
      </c>
      <c r="D99" s="74" t="s">
        <v>64</v>
      </c>
      <c r="E99" s="70">
        <v>2</v>
      </c>
      <c r="F99" s="70">
        <v>1</v>
      </c>
      <c r="G99" s="70">
        <v>17</v>
      </c>
      <c r="H99" s="70">
        <v>11</v>
      </c>
      <c r="I99" s="70">
        <v>27</v>
      </c>
      <c r="J99" s="70">
        <v>14</v>
      </c>
      <c r="K99" s="70">
        <v>7</v>
      </c>
      <c r="L99" s="70">
        <v>22</v>
      </c>
      <c r="M99" s="70">
        <v>17</v>
      </c>
      <c r="N99" s="70">
        <v>11</v>
      </c>
      <c r="O99" s="70">
        <v>27</v>
      </c>
      <c r="P99" s="70">
        <f>SUM(G99:I99)</f>
        <v>55</v>
      </c>
      <c r="Q99" s="70" t="s">
        <v>58</v>
      </c>
      <c r="R99" s="70" t="s">
        <v>58</v>
      </c>
      <c r="S99" s="70" t="s">
        <v>58</v>
      </c>
      <c r="T99" s="70" t="s">
        <v>58</v>
      </c>
      <c r="U99" s="70" t="s">
        <v>58</v>
      </c>
      <c r="V99" s="70" t="s">
        <v>58</v>
      </c>
      <c r="W99" s="70" t="s">
        <v>58</v>
      </c>
      <c r="X99" s="70" t="s">
        <v>58</v>
      </c>
      <c r="Y99" s="70" t="s">
        <v>58</v>
      </c>
      <c r="Z99" s="70" t="s">
        <v>58</v>
      </c>
      <c r="AA99" s="70">
        <v>0</v>
      </c>
      <c r="AB99" s="70">
        <v>60</v>
      </c>
      <c r="AC99" s="70">
        <v>0</v>
      </c>
      <c r="AD99" s="70">
        <v>0</v>
      </c>
      <c r="AE99" s="70">
        <v>0</v>
      </c>
      <c r="AF99" s="70">
        <v>1</v>
      </c>
      <c r="AG99" s="70">
        <v>19</v>
      </c>
      <c r="AH99" s="70">
        <v>1</v>
      </c>
      <c r="AI99" s="70">
        <v>1</v>
      </c>
    </row>
    <row r="100" spans="1:35" customFormat="1" x14ac:dyDescent="0.35">
      <c r="A100" s="72">
        <v>820798</v>
      </c>
      <c r="B100" s="74" t="s">
        <v>62</v>
      </c>
      <c r="C100" s="75" t="s">
        <v>63</v>
      </c>
      <c r="D100" s="74" t="s">
        <v>64</v>
      </c>
      <c r="E100" s="70">
        <v>1</v>
      </c>
      <c r="F100" s="70">
        <v>3</v>
      </c>
      <c r="G100" s="70" t="s">
        <v>58</v>
      </c>
      <c r="H100" s="70" t="s">
        <v>58</v>
      </c>
      <c r="I100" s="70" t="s">
        <v>58</v>
      </c>
      <c r="J100" s="70" t="s">
        <v>58</v>
      </c>
      <c r="K100" s="70" t="s">
        <v>58</v>
      </c>
      <c r="L100" s="70" t="s">
        <v>58</v>
      </c>
      <c r="M100" s="70" t="s">
        <v>58</v>
      </c>
      <c r="N100" s="70" t="s">
        <v>58</v>
      </c>
      <c r="O100" s="70" t="s">
        <v>58</v>
      </c>
      <c r="P100" s="70" t="s">
        <v>58</v>
      </c>
      <c r="Q100" s="70">
        <v>0</v>
      </c>
      <c r="R100" s="70">
        <v>2</v>
      </c>
      <c r="S100" s="70">
        <v>0</v>
      </c>
      <c r="T100" s="70">
        <v>2</v>
      </c>
      <c r="U100" s="70">
        <v>3</v>
      </c>
      <c r="V100" s="70">
        <v>0</v>
      </c>
      <c r="W100" s="70">
        <v>2</v>
      </c>
      <c r="X100" s="70">
        <v>3</v>
      </c>
      <c r="Y100" s="70">
        <v>0</v>
      </c>
      <c r="Z100" s="72">
        <f t="shared" ref="Z100" si="26">SUM(W100:Y100)</f>
        <v>5</v>
      </c>
      <c r="AA100" s="70">
        <v>20</v>
      </c>
      <c r="AB100" s="70">
        <v>60</v>
      </c>
      <c r="AC100" s="70">
        <v>1</v>
      </c>
      <c r="AD100" s="70">
        <v>1</v>
      </c>
      <c r="AE100" s="70">
        <v>1</v>
      </c>
      <c r="AF100" s="70">
        <v>2</v>
      </c>
      <c r="AG100" s="70">
        <v>22</v>
      </c>
      <c r="AH100" s="70">
        <v>1</v>
      </c>
      <c r="AI100" s="70">
        <v>1</v>
      </c>
    </row>
    <row r="101" spans="1:35" customFormat="1" x14ac:dyDescent="0.35">
      <c r="A101" s="72">
        <v>832642</v>
      </c>
      <c r="B101" s="74" t="s">
        <v>62</v>
      </c>
      <c r="C101" s="75" t="s">
        <v>63</v>
      </c>
      <c r="D101" s="74" t="s">
        <v>64</v>
      </c>
      <c r="E101" s="70">
        <v>2</v>
      </c>
      <c r="F101" s="70">
        <v>3</v>
      </c>
      <c r="G101" s="70">
        <v>23</v>
      </c>
      <c r="H101" s="70">
        <v>2</v>
      </c>
      <c r="I101" s="70">
        <v>12</v>
      </c>
      <c r="J101" s="70">
        <v>19</v>
      </c>
      <c r="K101" s="70">
        <v>0</v>
      </c>
      <c r="L101" s="70">
        <v>9</v>
      </c>
      <c r="M101" s="70">
        <v>23</v>
      </c>
      <c r="N101" s="70">
        <v>2</v>
      </c>
      <c r="O101" s="70">
        <v>12</v>
      </c>
      <c r="P101" s="70">
        <f>SUM(M101:O101)</f>
        <v>37</v>
      </c>
      <c r="Q101" s="70" t="s">
        <v>58</v>
      </c>
      <c r="R101" s="70" t="s">
        <v>58</v>
      </c>
      <c r="S101" s="70" t="s">
        <v>58</v>
      </c>
      <c r="T101" s="70" t="s">
        <v>58</v>
      </c>
      <c r="U101" s="70" t="s">
        <v>58</v>
      </c>
      <c r="V101" s="70" t="s">
        <v>58</v>
      </c>
      <c r="W101" s="70" t="s">
        <v>58</v>
      </c>
      <c r="X101" s="70" t="s">
        <v>58</v>
      </c>
      <c r="Y101" s="70" t="s">
        <v>58</v>
      </c>
      <c r="Z101" s="70" t="s">
        <v>58</v>
      </c>
      <c r="AA101" s="70">
        <v>0</v>
      </c>
      <c r="AB101" s="70">
        <v>100</v>
      </c>
      <c r="AC101" s="70">
        <v>0</v>
      </c>
      <c r="AD101" s="70">
        <v>0</v>
      </c>
      <c r="AE101" s="70">
        <v>0</v>
      </c>
      <c r="AF101" s="70">
        <v>1</v>
      </c>
      <c r="AG101" s="70">
        <v>19</v>
      </c>
      <c r="AH101" s="70">
        <v>1</v>
      </c>
      <c r="AI101" s="70">
        <v>1</v>
      </c>
    </row>
    <row r="102" spans="1:35" customFormat="1" x14ac:dyDescent="0.35">
      <c r="A102" s="72">
        <v>837348</v>
      </c>
      <c r="B102" s="74" t="s">
        <v>62</v>
      </c>
      <c r="C102" s="75" t="s">
        <v>63</v>
      </c>
      <c r="D102" s="74" t="s">
        <v>64</v>
      </c>
      <c r="E102" s="70">
        <v>2</v>
      </c>
      <c r="F102" s="70">
        <v>2</v>
      </c>
      <c r="G102" s="70">
        <v>11</v>
      </c>
      <c r="H102" s="70">
        <v>2</v>
      </c>
      <c r="I102" s="70">
        <v>17</v>
      </c>
      <c r="J102" s="70">
        <v>15</v>
      </c>
      <c r="K102" s="70">
        <v>2</v>
      </c>
      <c r="L102" s="70">
        <v>14</v>
      </c>
      <c r="M102" s="70">
        <v>11</v>
      </c>
      <c r="N102" s="70">
        <v>2</v>
      </c>
      <c r="O102" s="70">
        <v>17</v>
      </c>
      <c r="P102" s="70">
        <f>SUM(M102:O102)</f>
        <v>30</v>
      </c>
      <c r="Q102" s="70" t="s">
        <v>58</v>
      </c>
      <c r="R102" s="70" t="s">
        <v>58</v>
      </c>
      <c r="S102" s="70" t="s">
        <v>58</v>
      </c>
      <c r="T102" s="70" t="s">
        <v>58</v>
      </c>
      <c r="U102" s="70" t="s">
        <v>58</v>
      </c>
      <c r="V102" s="70" t="s">
        <v>58</v>
      </c>
      <c r="W102" s="70" t="s">
        <v>58</v>
      </c>
      <c r="X102" s="70" t="s">
        <v>58</v>
      </c>
      <c r="Y102" s="70" t="s">
        <v>58</v>
      </c>
      <c r="Z102" s="70" t="s">
        <v>58</v>
      </c>
      <c r="AA102" s="70">
        <v>0</v>
      </c>
      <c r="AB102" s="70">
        <v>45</v>
      </c>
      <c r="AC102" s="70">
        <v>0</v>
      </c>
      <c r="AD102" s="70">
        <v>0</v>
      </c>
      <c r="AE102" s="70">
        <v>0</v>
      </c>
      <c r="AF102" s="70">
        <v>1</v>
      </c>
      <c r="AG102" s="70">
        <v>25</v>
      </c>
      <c r="AH102" s="70">
        <v>2</v>
      </c>
      <c r="AI102" s="70">
        <v>1</v>
      </c>
    </row>
    <row r="103" spans="1:35" customFormat="1" x14ac:dyDescent="0.35">
      <c r="A103" s="72">
        <v>837882</v>
      </c>
      <c r="B103" s="74" t="s">
        <v>62</v>
      </c>
      <c r="C103" s="75" t="s">
        <v>63</v>
      </c>
      <c r="D103" s="74" t="s">
        <v>64</v>
      </c>
      <c r="E103" s="70">
        <v>2</v>
      </c>
      <c r="F103" s="70">
        <v>1</v>
      </c>
      <c r="G103" s="70">
        <v>0</v>
      </c>
      <c r="H103" s="70">
        <v>10</v>
      </c>
      <c r="I103" s="70">
        <v>6</v>
      </c>
      <c r="J103" s="70">
        <v>4</v>
      </c>
      <c r="K103" s="70">
        <v>11</v>
      </c>
      <c r="L103" s="70">
        <v>2</v>
      </c>
      <c r="M103" s="70">
        <v>4</v>
      </c>
      <c r="N103" s="70">
        <v>11</v>
      </c>
      <c r="O103" s="70">
        <v>2</v>
      </c>
      <c r="P103" s="70">
        <f>SUM(M103:O103)</f>
        <v>17</v>
      </c>
      <c r="Q103" s="70" t="s">
        <v>58</v>
      </c>
      <c r="R103" s="70" t="s">
        <v>58</v>
      </c>
      <c r="S103" s="70" t="s">
        <v>58</v>
      </c>
      <c r="T103" s="70" t="s">
        <v>58</v>
      </c>
      <c r="U103" s="70" t="s">
        <v>58</v>
      </c>
      <c r="V103" s="70" t="s">
        <v>58</v>
      </c>
      <c r="W103" s="70" t="s">
        <v>58</v>
      </c>
      <c r="X103" s="70" t="s">
        <v>58</v>
      </c>
      <c r="Y103" s="70" t="s">
        <v>58</v>
      </c>
      <c r="Z103" s="70" t="s">
        <v>58</v>
      </c>
      <c r="AA103" s="70">
        <v>0</v>
      </c>
      <c r="AB103" s="70">
        <v>45</v>
      </c>
      <c r="AC103" s="70">
        <v>0</v>
      </c>
      <c r="AD103" s="70">
        <v>0</v>
      </c>
      <c r="AE103" s="70">
        <v>0</v>
      </c>
      <c r="AF103" s="70">
        <v>1</v>
      </c>
      <c r="AG103" s="70">
        <v>21</v>
      </c>
      <c r="AH103" s="70">
        <v>1</v>
      </c>
      <c r="AI103" s="70">
        <v>1</v>
      </c>
    </row>
    <row r="104" spans="1:35" customFormat="1" x14ac:dyDescent="0.35">
      <c r="A104" s="72">
        <v>858426</v>
      </c>
      <c r="B104" s="74" t="s">
        <v>62</v>
      </c>
      <c r="C104" s="75" t="s">
        <v>63</v>
      </c>
      <c r="D104" s="74" t="s">
        <v>64</v>
      </c>
      <c r="E104" s="70">
        <v>1</v>
      </c>
      <c r="F104" s="70">
        <v>2</v>
      </c>
      <c r="G104" s="70" t="s">
        <v>58</v>
      </c>
      <c r="H104" s="70" t="s">
        <v>58</v>
      </c>
      <c r="I104" s="70" t="s">
        <v>58</v>
      </c>
      <c r="J104" s="70" t="s">
        <v>58</v>
      </c>
      <c r="K104" s="70" t="s">
        <v>58</v>
      </c>
      <c r="L104" s="70" t="s">
        <v>58</v>
      </c>
      <c r="M104" s="70" t="s">
        <v>58</v>
      </c>
      <c r="N104" s="70" t="s">
        <v>58</v>
      </c>
      <c r="O104" s="70" t="s">
        <v>58</v>
      </c>
      <c r="P104" s="70" t="s">
        <v>58</v>
      </c>
      <c r="Q104" s="70">
        <v>0</v>
      </c>
      <c r="R104" s="70">
        <v>11</v>
      </c>
      <c r="S104" s="70">
        <v>3</v>
      </c>
      <c r="T104" s="70">
        <v>0</v>
      </c>
      <c r="U104" s="70">
        <v>4</v>
      </c>
      <c r="V104" s="70">
        <v>3</v>
      </c>
      <c r="W104" s="70" t="s">
        <v>58</v>
      </c>
      <c r="X104" s="70" t="s">
        <v>58</v>
      </c>
      <c r="Y104" s="70" t="s">
        <v>58</v>
      </c>
      <c r="Z104" s="70" t="s">
        <v>58</v>
      </c>
      <c r="AA104" s="70">
        <v>0</v>
      </c>
      <c r="AB104" s="70">
        <v>40</v>
      </c>
      <c r="AC104" s="70">
        <v>1</v>
      </c>
      <c r="AD104" s="70">
        <v>1</v>
      </c>
      <c r="AE104" s="70">
        <v>1</v>
      </c>
      <c r="AF104" s="70">
        <v>1</v>
      </c>
      <c r="AG104" s="70">
        <v>21</v>
      </c>
      <c r="AH104" s="70">
        <v>2</v>
      </c>
      <c r="AI104" s="70">
        <v>1</v>
      </c>
    </row>
    <row r="105" spans="1:35" customFormat="1" x14ac:dyDescent="0.35">
      <c r="A105" s="72">
        <v>871124</v>
      </c>
      <c r="B105" s="74" t="s">
        <v>62</v>
      </c>
      <c r="C105" s="75" t="s">
        <v>63</v>
      </c>
      <c r="D105" s="74" t="s">
        <v>64</v>
      </c>
      <c r="E105" s="70">
        <v>1</v>
      </c>
      <c r="F105" s="70">
        <v>4</v>
      </c>
      <c r="G105" s="70" t="s">
        <v>58</v>
      </c>
      <c r="H105" s="70" t="s">
        <v>58</v>
      </c>
      <c r="I105" s="70" t="s">
        <v>58</v>
      </c>
      <c r="J105" s="70" t="s">
        <v>58</v>
      </c>
      <c r="K105" s="70" t="s">
        <v>58</v>
      </c>
      <c r="L105" s="70" t="s">
        <v>58</v>
      </c>
      <c r="M105" s="70" t="s">
        <v>58</v>
      </c>
      <c r="N105" s="70" t="s">
        <v>58</v>
      </c>
      <c r="O105" s="70" t="s">
        <v>58</v>
      </c>
      <c r="P105" s="70" t="s">
        <v>58</v>
      </c>
      <c r="Q105" s="70">
        <v>3</v>
      </c>
      <c r="R105" s="70">
        <v>4</v>
      </c>
      <c r="S105" s="70">
        <v>5</v>
      </c>
      <c r="T105" s="70">
        <v>2</v>
      </c>
      <c r="U105" s="70">
        <v>2</v>
      </c>
      <c r="V105" s="70">
        <v>2</v>
      </c>
      <c r="W105" s="70">
        <v>3</v>
      </c>
      <c r="X105" s="70">
        <v>4</v>
      </c>
      <c r="Y105" s="70">
        <v>5</v>
      </c>
      <c r="Z105" s="72">
        <f t="shared" ref="Z105" si="27">SUM(W105:Y105)</f>
        <v>12</v>
      </c>
      <c r="AA105" s="70">
        <v>5</v>
      </c>
      <c r="AB105" s="70">
        <v>20</v>
      </c>
      <c r="AC105" s="70">
        <v>1</v>
      </c>
      <c r="AD105" s="70">
        <v>1</v>
      </c>
      <c r="AE105" s="70">
        <v>1</v>
      </c>
      <c r="AF105" s="70">
        <v>2</v>
      </c>
      <c r="AG105" s="70">
        <v>22</v>
      </c>
      <c r="AH105" s="70">
        <v>2</v>
      </c>
      <c r="AI105" s="70">
        <v>1</v>
      </c>
    </row>
    <row r="106" spans="1:35" customFormat="1" x14ac:dyDescent="0.35">
      <c r="A106" s="72">
        <v>877439</v>
      </c>
      <c r="B106" s="74" t="s">
        <v>62</v>
      </c>
      <c r="C106" s="75" t="s">
        <v>63</v>
      </c>
      <c r="D106" s="74" t="s">
        <v>64</v>
      </c>
      <c r="E106" s="70">
        <v>1</v>
      </c>
      <c r="F106" s="70">
        <v>1</v>
      </c>
      <c r="G106" s="70" t="s">
        <v>58</v>
      </c>
      <c r="H106" s="70" t="s">
        <v>58</v>
      </c>
      <c r="I106" s="70" t="s">
        <v>58</v>
      </c>
      <c r="J106" s="70" t="s">
        <v>58</v>
      </c>
      <c r="K106" s="70" t="s">
        <v>58</v>
      </c>
      <c r="L106" s="70" t="s">
        <v>58</v>
      </c>
      <c r="M106" s="70" t="s">
        <v>58</v>
      </c>
      <c r="N106" s="70" t="s">
        <v>58</v>
      </c>
      <c r="O106" s="70" t="s">
        <v>58</v>
      </c>
      <c r="P106" s="70" t="s">
        <v>58</v>
      </c>
      <c r="Q106" s="70">
        <v>0</v>
      </c>
      <c r="R106" s="70">
        <v>16</v>
      </c>
      <c r="S106" s="70">
        <v>4</v>
      </c>
      <c r="T106" s="70">
        <v>0</v>
      </c>
      <c r="U106" s="70">
        <v>16</v>
      </c>
      <c r="V106" s="70">
        <v>4</v>
      </c>
      <c r="W106" s="70">
        <v>0</v>
      </c>
      <c r="X106" s="70">
        <v>16</v>
      </c>
      <c r="Y106" s="70">
        <v>4</v>
      </c>
      <c r="Z106" s="70">
        <f>SUM(W106:Y106)</f>
        <v>20</v>
      </c>
      <c r="AA106" s="70">
        <v>0</v>
      </c>
      <c r="AB106" s="70">
        <v>40</v>
      </c>
      <c r="AC106" s="70">
        <v>1</v>
      </c>
      <c r="AD106" s="70">
        <v>1</v>
      </c>
      <c r="AE106" s="70">
        <v>1</v>
      </c>
      <c r="AF106" s="70">
        <v>2</v>
      </c>
      <c r="AG106" s="70">
        <v>20</v>
      </c>
      <c r="AH106" s="70">
        <v>1</v>
      </c>
      <c r="AI106" s="70">
        <v>1</v>
      </c>
    </row>
    <row r="107" spans="1:35" customFormat="1" x14ac:dyDescent="0.35">
      <c r="A107" s="72">
        <v>884830</v>
      </c>
      <c r="B107" s="74" t="s">
        <v>62</v>
      </c>
      <c r="C107" s="75" t="s">
        <v>63</v>
      </c>
      <c r="D107" s="74" t="s">
        <v>64</v>
      </c>
      <c r="E107" s="70">
        <v>2</v>
      </c>
      <c r="F107" s="70">
        <v>1</v>
      </c>
      <c r="G107" s="70">
        <v>0</v>
      </c>
      <c r="H107" s="70">
        <v>36</v>
      </c>
      <c r="I107" s="70">
        <v>0</v>
      </c>
      <c r="J107" s="70">
        <v>0</v>
      </c>
      <c r="K107" s="70">
        <v>31</v>
      </c>
      <c r="L107" s="70">
        <v>0</v>
      </c>
      <c r="M107" s="70">
        <v>0</v>
      </c>
      <c r="N107" s="70">
        <v>36</v>
      </c>
      <c r="O107" s="70">
        <v>0</v>
      </c>
      <c r="P107" s="70">
        <f t="shared" ref="P107:P114" si="28">SUM(M107:O107)</f>
        <v>36</v>
      </c>
      <c r="Q107" s="70" t="s">
        <v>58</v>
      </c>
      <c r="R107" s="70" t="s">
        <v>58</v>
      </c>
      <c r="S107" s="70" t="s">
        <v>58</v>
      </c>
      <c r="T107" s="70" t="s">
        <v>58</v>
      </c>
      <c r="U107" s="70" t="s">
        <v>58</v>
      </c>
      <c r="V107" s="70" t="s">
        <v>58</v>
      </c>
      <c r="W107" s="70" t="s">
        <v>58</v>
      </c>
      <c r="X107" s="70" t="s">
        <v>58</v>
      </c>
      <c r="Y107" s="70" t="s">
        <v>58</v>
      </c>
      <c r="Z107" s="70" t="s">
        <v>58</v>
      </c>
      <c r="AA107" s="70">
        <v>0</v>
      </c>
      <c r="AB107" s="70">
        <v>75</v>
      </c>
      <c r="AC107" s="70">
        <v>0</v>
      </c>
      <c r="AD107" s="70">
        <v>0</v>
      </c>
      <c r="AE107" s="70">
        <v>0</v>
      </c>
      <c r="AF107" s="70">
        <v>1</v>
      </c>
      <c r="AG107" s="70">
        <v>20</v>
      </c>
      <c r="AH107" s="70">
        <v>1</v>
      </c>
      <c r="AI107" s="70">
        <v>1</v>
      </c>
    </row>
    <row r="108" spans="1:35" customFormat="1" x14ac:dyDescent="0.35">
      <c r="A108" s="72">
        <v>885237</v>
      </c>
      <c r="B108" s="74" t="s">
        <v>62</v>
      </c>
      <c r="C108" s="75" t="s">
        <v>63</v>
      </c>
      <c r="D108" s="74" t="s">
        <v>64</v>
      </c>
      <c r="E108" s="70">
        <v>2</v>
      </c>
      <c r="F108" s="70">
        <v>3</v>
      </c>
      <c r="G108" s="70">
        <v>12</v>
      </c>
      <c r="H108" s="70">
        <v>5</v>
      </c>
      <c r="I108" s="70">
        <v>9</v>
      </c>
      <c r="J108" s="70">
        <v>7</v>
      </c>
      <c r="K108" s="70">
        <v>2</v>
      </c>
      <c r="L108" s="70">
        <v>6</v>
      </c>
      <c r="M108" s="70">
        <v>12</v>
      </c>
      <c r="N108" s="70">
        <v>5</v>
      </c>
      <c r="O108" s="70">
        <v>9</v>
      </c>
      <c r="P108" s="70">
        <f t="shared" si="28"/>
        <v>26</v>
      </c>
      <c r="Q108" s="70" t="s">
        <v>58</v>
      </c>
      <c r="R108" s="70" t="s">
        <v>58</v>
      </c>
      <c r="S108" s="70" t="s">
        <v>58</v>
      </c>
      <c r="T108" s="70" t="s">
        <v>58</v>
      </c>
      <c r="U108" s="70" t="s">
        <v>58</v>
      </c>
      <c r="V108" s="70" t="s">
        <v>58</v>
      </c>
      <c r="W108" s="70" t="s">
        <v>58</v>
      </c>
      <c r="X108" s="70" t="s">
        <v>58</v>
      </c>
      <c r="Y108" s="70" t="s">
        <v>58</v>
      </c>
      <c r="Z108" s="70" t="s">
        <v>58</v>
      </c>
      <c r="AA108" s="70">
        <v>12</v>
      </c>
      <c r="AB108" s="70">
        <v>85</v>
      </c>
      <c r="AC108" s="70">
        <v>0</v>
      </c>
      <c r="AD108" s="70">
        <v>0</v>
      </c>
      <c r="AE108" s="70">
        <v>0</v>
      </c>
      <c r="AF108" s="70">
        <v>1</v>
      </c>
      <c r="AG108" s="70">
        <v>21</v>
      </c>
      <c r="AH108" s="70">
        <v>1</v>
      </c>
      <c r="AI108" s="70">
        <v>1</v>
      </c>
    </row>
    <row r="109" spans="1:35" customFormat="1" x14ac:dyDescent="0.35">
      <c r="A109" s="72">
        <v>890562</v>
      </c>
      <c r="B109" s="74" t="s">
        <v>62</v>
      </c>
      <c r="C109" s="75" t="s">
        <v>63</v>
      </c>
      <c r="D109" s="74" t="s">
        <v>64</v>
      </c>
      <c r="E109" s="70">
        <v>2</v>
      </c>
      <c r="F109" s="70">
        <v>4</v>
      </c>
      <c r="G109" s="70">
        <v>14</v>
      </c>
      <c r="H109" s="70">
        <v>6</v>
      </c>
      <c r="I109" s="70">
        <v>25</v>
      </c>
      <c r="J109" s="70">
        <v>20</v>
      </c>
      <c r="K109" s="70">
        <v>0</v>
      </c>
      <c r="L109" s="70">
        <v>20</v>
      </c>
      <c r="M109" s="70">
        <v>20</v>
      </c>
      <c r="N109" s="70">
        <v>0</v>
      </c>
      <c r="O109" s="70">
        <v>20</v>
      </c>
      <c r="P109" s="70">
        <f t="shared" si="28"/>
        <v>40</v>
      </c>
      <c r="Q109" s="70" t="s">
        <v>58</v>
      </c>
      <c r="R109" s="70" t="s">
        <v>58</v>
      </c>
      <c r="S109" s="70" t="s">
        <v>58</v>
      </c>
      <c r="T109" s="70" t="s">
        <v>58</v>
      </c>
      <c r="U109" s="70" t="s">
        <v>58</v>
      </c>
      <c r="V109" s="70" t="s">
        <v>58</v>
      </c>
      <c r="W109" s="70" t="s">
        <v>58</v>
      </c>
      <c r="X109" s="70" t="s">
        <v>58</v>
      </c>
      <c r="Y109" s="70" t="s">
        <v>58</v>
      </c>
      <c r="Z109" s="70" t="s">
        <v>58</v>
      </c>
      <c r="AA109" s="70">
        <v>0</v>
      </c>
      <c r="AB109" s="70">
        <v>80</v>
      </c>
      <c r="AC109" s="70">
        <v>0</v>
      </c>
      <c r="AD109" s="70">
        <v>0</v>
      </c>
      <c r="AE109" s="70">
        <v>0</v>
      </c>
      <c r="AF109" s="70">
        <v>1</v>
      </c>
      <c r="AG109" s="70">
        <v>21</v>
      </c>
      <c r="AH109" s="70">
        <v>1</v>
      </c>
      <c r="AI109" s="70">
        <v>1</v>
      </c>
    </row>
    <row r="110" spans="1:35" customFormat="1" x14ac:dyDescent="0.35">
      <c r="A110" s="72">
        <v>891477</v>
      </c>
      <c r="B110" s="74" t="s">
        <v>62</v>
      </c>
      <c r="C110" s="75" t="s">
        <v>63</v>
      </c>
      <c r="D110" s="74" t="s">
        <v>64</v>
      </c>
      <c r="E110" s="70">
        <v>2</v>
      </c>
      <c r="F110" s="70">
        <v>1</v>
      </c>
      <c r="G110" s="70">
        <v>1</v>
      </c>
      <c r="H110" s="70">
        <v>25</v>
      </c>
      <c r="I110" s="70">
        <v>8</v>
      </c>
      <c r="J110" s="70">
        <v>0</v>
      </c>
      <c r="K110" s="70">
        <v>20</v>
      </c>
      <c r="L110" s="70">
        <v>5</v>
      </c>
      <c r="M110" s="70">
        <v>0</v>
      </c>
      <c r="N110" s="70">
        <v>20</v>
      </c>
      <c r="O110" s="70">
        <v>5</v>
      </c>
      <c r="P110" s="70">
        <f t="shared" si="28"/>
        <v>25</v>
      </c>
      <c r="Q110" s="70" t="s">
        <v>58</v>
      </c>
      <c r="R110" s="70" t="s">
        <v>58</v>
      </c>
      <c r="S110" s="70" t="s">
        <v>58</v>
      </c>
      <c r="T110" s="70" t="s">
        <v>58</v>
      </c>
      <c r="U110" s="70" t="s">
        <v>58</v>
      </c>
      <c r="V110" s="70" t="s">
        <v>58</v>
      </c>
      <c r="W110" s="70" t="s">
        <v>58</v>
      </c>
      <c r="X110" s="70" t="s">
        <v>58</v>
      </c>
      <c r="Y110" s="70" t="s">
        <v>58</v>
      </c>
      <c r="Z110" s="70" t="s">
        <v>58</v>
      </c>
      <c r="AA110" s="70">
        <v>0</v>
      </c>
      <c r="AB110" s="70">
        <v>70</v>
      </c>
      <c r="AC110" s="70">
        <v>0</v>
      </c>
      <c r="AD110" s="70">
        <v>0</v>
      </c>
      <c r="AE110" s="70">
        <v>0</v>
      </c>
      <c r="AF110" s="70">
        <v>1</v>
      </c>
      <c r="AG110" s="70">
        <v>19</v>
      </c>
      <c r="AH110" s="70">
        <v>1</v>
      </c>
      <c r="AI110" s="70">
        <v>1</v>
      </c>
    </row>
    <row r="111" spans="1:35" customFormat="1" x14ac:dyDescent="0.35">
      <c r="A111" s="72">
        <v>902972</v>
      </c>
      <c r="B111" s="74" t="s">
        <v>62</v>
      </c>
      <c r="C111" s="75" t="s">
        <v>63</v>
      </c>
      <c r="D111" s="74" t="s">
        <v>64</v>
      </c>
      <c r="E111" s="70">
        <v>2</v>
      </c>
      <c r="F111" s="70">
        <v>1</v>
      </c>
      <c r="G111" s="70">
        <v>2</v>
      </c>
      <c r="H111" s="70">
        <v>2</v>
      </c>
      <c r="I111" s="70">
        <v>8</v>
      </c>
      <c r="J111" s="70">
        <v>2</v>
      </c>
      <c r="K111" s="70">
        <v>1</v>
      </c>
      <c r="L111" s="70">
        <v>8</v>
      </c>
      <c r="M111" s="70">
        <v>2</v>
      </c>
      <c r="N111" s="70">
        <v>2</v>
      </c>
      <c r="O111" s="70">
        <v>8</v>
      </c>
      <c r="P111" s="70">
        <f t="shared" si="28"/>
        <v>12</v>
      </c>
      <c r="Q111" s="70" t="s">
        <v>58</v>
      </c>
      <c r="R111" s="70" t="s">
        <v>58</v>
      </c>
      <c r="S111" s="70" t="s">
        <v>58</v>
      </c>
      <c r="T111" s="70" t="s">
        <v>58</v>
      </c>
      <c r="U111" s="70" t="s">
        <v>58</v>
      </c>
      <c r="V111" s="70" t="s">
        <v>58</v>
      </c>
      <c r="W111" s="70" t="s">
        <v>58</v>
      </c>
      <c r="X111" s="70" t="s">
        <v>58</v>
      </c>
      <c r="Y111" s="70" t="s">
        <v>58</v>
      </c>
      <c r="Z111" s="70" t="s">
        <v>58</v>
      </c>
      <c r="AA111" s="70">
        <v>0</v>
      </c>
      <c r="AB111" s="70">
        <v>70</v>
      </c>
      <c r="AC111" s="70">
        <v>0</v>
      </c>
      <c r="AD111" s="70">
        <v>0</v>
      </c>
      <c r="AE111" s="70">
        <v>0</v>
      </c>
      <c r="AF111" s="70">
        <v>1</v>
      </c>
      <c r="AG111" s="70">
        <v>25</v>
      </c>
      <c r="AH111" s="70">
        <v>1</v>
      </c>
      <c r="AI111" s="70">
        <v>1</v>
      </c>
    </row>
    <row r="112" spans="1:35" customFormat="1" x14ac:dyDescent="0.35">
      <c r="A112" s="72">
        <v>904743</v>
      </c>
      <c r="B112" s="74" t="s">
        <v>62</v>
      </c>
      <c r="C112" s="75" t="s">
        <v>63</v>
      </c>
      <c r="D112" s="74" t="s">
        <v>64</v>
      </c>
      <c r="E112" s="70">
        <v>2</v>
      </c>
      <c r="F112" s="70">
        <v>4</v>
      </c>
      <c r="G112" s="70">
        <v>10</v>
      </c>
      <c r="H112" s="70">
        <v>1</v>
      </c>
      <c r="I112" s="70">
        <v>10</v>
      </c>
      <c r="J112" s="70">
        <v>10</v>
      </c>
      <c r="K112" s="70">
        <v>0</v>
      </c>
      <c r="L112" s="70">
        <v>9</v>
      </c>
      <c r="M112" s="70">
        <v>10</v>
      </c>
      <c r="N112" s="70">
        <v>1</v>
      </c>
      <c r="O112" s="70">
        <v>10</v>
      </c>
      <c r="P112" s="70">
        <f t="shared" si="28"/>
        <v>21</v>
      </c>
      <c r="Q112" s="70" t="s">
        <v>58</v>
      </c>
      <c r="R112" s="70" t="s">
        <v>58</v>
      </c>
      <c r="S112" s="70" t="s">
        <v>58</v>
      </c>
      <c r="T112" s="70" t="s">
        <v>58</v>
      </c>
      <c r="U112" s="70" t="s">
        <v>58</v>
      </c>
      <c r="V112" s="70" t="s">
        <v>58</v>
      </c>
      <c r="W112" s="70" t="s">
        <v>58</v>
      </c>
      <c r="X112" s="70" t="s">
        <v>58</v>
      </c>
      <c r="Y112" s="70" t="s">
        <v>58</v>
      </c>
      <c r="Z112" s="70" t="s">
        <v>58</v>
      </c>
      <c r="AA112" s="70">
        <v>40</v>
      </c>
      <c r="AB112" s="70">
        <v>80</v>
      </c>
      <c r="AC112" s="70">
        <v>0</v>
      </c>
      <c r="AD112" s="70">
        <v>0</v>
      </c>
      <c r="AE112" s="70">
        <v>0</v>
      </c>
      <c r="AF112" s="70">
        <v>1</v>
      </c>
      <c r="AG112" s="70">
        <v>22</v>
      </c>
      <c r="AH112" s="70">
        <v>1</v>
      </c>
      <c r="AI112" s="70">
        <v>1</v>
      </c>
    </row>
    <row r="113" spans="1:35" customFormat="1" x14ac:dyDescent="0.35">
      <c r="A113" s="72">
        <v>926923</v>
      </c>
      <c r="B113" s="74" t="s">
        <v>62</v>
      </c>
      <c r="C113" s="75" t="s">
        <v>63</v>
      </c>
      <c r="D113" s="74" t="s">
        <v>64</v>
      </c>
      <c r="E113" s="70">
        <v>2</v>
      </c>
      <c r="F113" s="70">
        <v>4</v>
      </c>
      <c r="G113" s="70">
        <v>16</v>
      </c>
      <c r="H113" s="70">
        <v>4</v>
      </c>
      <c r="I113" s="70">
        <v>22</v>
      </c>
      <c r="J113" s="70">
        <v>19</v>
      </c>
      <c r="K113" s="70">
        <v>0</v>
      </c>
      <c r="L113" s="70">
        <v>23</v>
      </c>
      <c r="M113" s="70">
        <v>19</v>
      </c>
      <c r="N113" s="70">
        <v>0</v>
      </c>
      <c r="O113" s="70">
        <v>23</v>
      </c>
      <c r="P113" s="70">
        <f t="shared" si="28"/>
        <v>42</v>
      </c>
      <c r="Q113" s="70" t="s">
        <v>58</v>
      </c>
      <c r="R113" s="70" t="s">
        <v>58</v>
      </c>
      <c r="S113" s="70" t="s">
        <v>58</v>
      </c>
      <c r="T113" s="70" t="s">
        <v>58</v>
      </c>
      <c r="U113" s="70" t="s">
        <v>58</v>
      </c>
      <c r="V113" s="70" t="s">
        <v>58</v>
      </c>
      <c r="W113" s="70" t="s">
        <v>58</v>
      </c>
      <c r="X113" s="70" t="s">
        <v>58</v>
      </c>
      <c r="Y113" s="70" t="s">
        <v>58</v>
      </c>
      <c r="Z113" s="70" t="s">
        <v>58</v>
      </c>
      <c r="AA113" s="70">
        <v>5</v>
      </c>
      <c r="AB113" s="70">
        <v>80</v>
      </c>
      <c r="AC113" s="70">
        <v>0</v>
      </c>
      <c r="AD113" s="70">
        <v>0</v>
      </c>
      <c r="AE113" s="70">
        <v>0</v>
      </c>
      <c r="AF113" s="70">
        <v>1</v>
      </c>
      <c r="AG113" s="70">
        <v>24</v>
      </c>
      <c r="AH113" s="70">
        <v>1</v>
      </c>
      <c r="AI113" s="70">
        <v>1</v>
      </c>
    </row>
    <row r="114" spans="1:35" customFormat="1" x14ac:dyDescent="0.35">
      <c r="A114" s="72">
        <v>940744</v>
      </c>
      <c r="B114" s="74" t="s">
        <v>62</v>
      </c>
      <c r="C114" s="75" t="s">
        <v>63</v>
      </c>
      <c r="D114" s="74" t="s">
        <v>64</v>
      </c>
      <c r="E114" s="70">
        <v>2</v>
      </c>
      <c r="F114" s="70">
        <v>4</v>
      </c>
      <c r="G114" s="70">
        <v>1</v>
      </c>
      <c r="H114" s="70">
        <v>0</v>
      </c>
      <c r="I114" s="70">
        <v>5</v>
      </c>
      <c r="J114" s="70">
        <v>2</v>
      </c>
      <c r="K114" s="70">
        <v>1</v>
      </c>
      <c r="L114" s="70">
        <v>4</v>
      </c>
      <c r="M114" s="70">
        <v>2</v>
      </c>
      <c r="N114" s="70">
        <v>1</v>
      </c>
      <c r="O114" s="70">
        <v>4</v>
      </c>
      <c r="P114" s="70">
        <f t="shared" si="28"/>
        <v>7</v>
      </c>
      <c r="Q114" s="70" t="s">
        <v>58</v>
      </c>
      <c r="R114" s="70" t="s">
        <v>58</v>
      </c>
      <c r="S114" s="70" t="s">
        <v>58</v>
      </c>
      <c r="T114" s="70" t="s">
        <v>58</v>
      </c>
      <c r="U114" s="70" t="s">
        <v>58</v>
      </c>
      <c r="V114" s="70" t="s">
        <v>58</v>
      </c>
      <c r="W114" s="70" t="s">
        <v>58</v>
      </c>
      <c r="X114" s="70" t="s">
        <v>58</v>
      </c>
      <c r="Y114" s="70" t="s">
        <v>58</v>
      </c>
      <c r="Z114" s="70" t="s">
        <v>58</v>
      </c>
      <c r="AA114" s="70">
        <v>0</v>
      </c>
      <c r="AB114" s="70">
        <v>70</v>
      </c>
      <c r="AC114" s="70">
        <v>0</v>
      </c>
      <c r="AD114" s="70">
        <v>0</v>
      </c>
      <c r="AE114" s="70">
        <v>0</v>
      </c>
      <c r="AF114" s="70">
        <v>1</v>
      </c>
      <c r="AG114" s="70">
        <v>21</v>
      </c>
      <c r="AH114" s="70">
        <v>1</v>
      </c>
      <c r="AI114" s="70">
        <v>1</v>
      </c>
    </row>
    <row r="115" spans="1:35" customFormat="1" x14ac:dyDescent="0.35">
      <c r="A115" s="72">
        <v>940856</v>
      </c>
      <c r="B115" s="74" t="s">
        <v>62</v>
      </c>
      <c r="C115" s="75" t="s">
        <v>63</v>
      </c>
      <c r="D115" s="74" t="s">
        <v>64</v>
      </c>
      <c r="E115" s="70">
        <v>1</v>
      </c>
      <c r="F115" s="70">
        <v>1</v>
      </c>
      <c r="G115" s="70" t="s">
        <v>58</v>
      </c>
      <c r="H115" s="70" t="s">
        <v>58</v>
      </c>
      <c r="I115" s="70" t="s">
        <v>58</v>
      </c>
      <c r="J115" s="70" t="s">
        <v>58</v>
      </c>
      <c r="K115" s="70" t="s">
        <v>58</v>
      </c>
      <c r="L115" s="70" t="s">
        <v>58</v>
      </c>
      <c r="M115" s="70" t="s">
        <v>58</v>
      </c>
      <c r="N115" s="70" t="s">
        <v>58</v>
      </c>
      <c r="O115" s="70" t="s">
        <v>58</v>
      </c>
      <c r="P115" s="70" t="s">
        <v>58</v>
      </c>
      <c r="Q115" s="70">
        <v>1</v>
      </c>
      <c r="R115" s="70">
        <v>3</v>
      </c>
      <c r="S115" s="70">
        <v>5</v>
      </c>
      <c r="T115" s="70">
        <v>3</v>
      </c>
      <c r="U115" s="70">
        <v>7</v>
      </c>
      <c r="V115" s="70">
        <v>2</v>
      </c>
      <c r="W115" s="70">
        <v>3</v>
      </c>
      <c r="X115" s="70">
        <v>7</v>
      </c>
      <c r="Y115" s="70">
        <v>2</v>
      </c>
      <c r="Z115" s="72">
        <f t="shared" ref="Z115" si="29">SUM(W115:Y115)</f>
        <v>12</v>
      </c>
      <c r="AA115" s="70">
        <v>0</v>
      </c>
      <c r="AB115" s="70">
        <v>30</v>
      </c>
      <c r="AC115" s="70">
        <v>1</v>
      </c>
      <c r="AD115" s="70">
        <v>1</v>
      </c>
      <c r="AE115" s="70">
        <v>1</v>
      </c>
      <c r="AF115" s="70">
        <v>2</v>
      </c>
      <c r="AG115" s="70">
        <v>23</v>
      </c>
      <c r="AH115" s="70">
        <v>1</v>
      </c>
      <c r="AI115" s="70">
        <v>1</v>
      </c>
    </row>
    <row r="116" spans="1:35" customFormat="1" x14ac:dyDescent="0.35">
      <c r="A116" s="72">
        <v>943758</v>
      </c>
      <c r="B116" s="74" t="s">
        <v>62</v>
      </c>
      <c r="C116" s="75" t="s">
        <v>63</v>
      </c>
      <c r="D116" s="74" t="s">
        <v>64</v>
      </c>
      <c r="E116" s="70">
        <v>2</v>
      </c>
      <c r="F116" s="70">
        <v>1</v>
      </c>
      <c r="G116" s="70">
        <v>20</v>
      </c>
      <c r="H116" s="70">
        <v>24</v>
      </c>
      <c r="I116" s="70">
        <v>42</v>
      </c>
      <c r="J116" s="70">
        <v>19</v>
      </c>
      <c r="K116" s="70">
        <v>20</v>
      </c>
      <c r="L116" s="70">
        <v>38</v>
      </c>
      <c r="M116" s="70">
        <v>20</v>
      </c>
      <c r="N116" s="70">
        <v>24</v>
      </c>
      <c r="O116" s="70">
        <v>42</v>
      </c>
      <c r="P116" s="70">
        <f>SUM(M116:O116)</f>
        <v>86</v>
      </c>
      <c r="Q116" s="70" t="s">
        <v>58</v>
      </c>
      <c r="R116" s="70" t="s">
        <v>58</v>
      </c>
      <c r="S116" s="70" t="s">
        <v>58</v>
      </c>
      <c r="T116" s="70" t="s">
        <v>58</v>
      </c>
      <c r="U116" s="70" t="s">
        <v>58</v>
      </c>
      <c r="V116" s="70" t="s">
        <v>58</v>
      </c>
      <c r="W116" s="70" t="s">
        <v>58</v>
      </c>
      <c r="X116" s="70" t="s">
        <v>58</v>
      </c>
      <c r="Y116" s="70" t="s">
        <v>58</v>
      </c>
      <c r="Z116" s="70" t="s">
        <v>58</v>
      </c>
      <c r="AA116" s="70">
        <v>0</v>
      </c>
      <c r="AB116" s="70">
        <v>60</v>
      </c>
      <c r="AC116" s="70">
        <v>0</v>
      </c>
      <c r="AD116" s="70">
        <v>0</v>
      </c>
      <c r="AE116" s="70">
        <v>0</v>
      </c>
      <c r="AF116" s="70">
        <v>1</v>
      </c>
      <c r="AG116" s="70">
        <v>23</v>
      </c>
      <c r="AH116" s="70">
        <v>1</v>
      </c>
      <c r="AI116" s="70">
        <v>1</v>
      </c>
    </row>
    <row r="117" spans="1:35" customFormat="1" x14ac:dyDescent="0.35">
      <c r="A117" s="72">
        <v>956628</v>
      </c>
      <c r="B117" s="74" t="s">
        <v>62</v>
      </c>
      <c r="C117" s="75" t="s">
        <v>63</v>
      </c>
      <c r="D117" s="74" t="s">
        <v>64</v>
      </c>
      <c r="E117" s="70">
        <v>1</v>
      </c>
      <c r="F117" s="70">
        <v>4</v>
      </c>
      <c r="G117" s="70" t="s">
        <v>58</v>
      </c>
      <c r="H117" s="70" t="s">
        <v>58</v>
      </c>
      <c r="I117" s="70" t="s">
        <v>58</v>
      </c>
      <c r="J117" s="70" t="s">
        <v>58</v>
      </c>
      <c r="K117" s="70" t="s">
        <v>58</v>
      </c>
      <c r="L117" s="70" t="s">
        <v>58</v>
      </c>
      <c r="M117" s="70" t="s">
        <v>58</v>
      </c>
      <c r="N117" s="70" t="s">
        <v>58</v>
      </c>
      <c r="O117" s="70" t="s">
        <v>58</v>
      </c>
      <c r="P117" s="70" t="s">
        <v>58</v>
      </c>
      <c r="Q117" s="70">
        <v>2</v>
      </c>
      <c r="R117" s="70">
        <v>2</v>
      </c>
      <c r="S117" s="70">
        <v>4</v>
      </c>
      <c r="T117" s="70">
        <v>1</v>
      </c>
      <c r="U117" s="70">
        <v>3</v>
      </c>
      <c r="V117" s="70">
        <v>3</v>
      </c>
      <c r="W117" s="70">
        <v>1</v>
      </c>
      <c r="X117" s="70">
        <v>3</v>
      </c>
      <c r="Y117" s="70">
        <v>3</v>
      </c>
      <c r="Z117" s="72">
        <f t="shared" ref="Z117:Z121" si="30">SUM(W117:Y117)</f>
        <v>7</v>
      </c>
      <c r="AA117" s="70">
        <v>0</v>
      </c>
      <c r="AB117" s="70">
        <v>35</v>
      </c>
      <c r="AC117" s="70">
        <v>1</v>
      </c>
      <c r="AD117" s="70">
        <v>1</v>
      </c>
      <c r="AE117" s="70">
        <v>1</v>
      </c>
      <c r="AF117" s="70">
        <v>2</v>
      </c>
      <c r="AG117" s="70">
        <v>19</v>
      </c>
      <c r="AH117" s="70">
        <v>1</v>
      </c>
      <c r="AI117" s="70">
        <v>1</v>
      </c>
    </row>
    <row r="118" spans="1:35" customFormat="1" x14ac:dyDescent="0.35">
      <c r="A118" s="72">
        <v>960291</v>
      </c>
      <c r="B118" s="74" t="s">
        <v>62</v>
      </c>
      <c r="C118" s="75" t="s">
        <v>63</v>
      </c>
      <c r="D118" s="74" t="s">
        <v>64</v>
      </c>
      <c r="E118" s="70">
        <v>1</v>
      </c>
      <c r="F118" s="70">
        <v>4</v>
      </c>
      <c r="G118" s="70" t="s">
        <v>58</v>
      </c>
      <c r="H118" s="70" t="s">
        <v>58</v>
      </c>
      <c r="I118" s="70" t="s">
        <v>58</v>
      </c>
      <c r="J118" s="70" t="s">
        <v>58</v>
      </c>
      <c r="K118" s="70" t="s">
        <v>58</v>
      </c>
      <c r="L118" s="70" t="s">
        <v>58</v>
      </c>
      <c r="M118" s="70" t="s">
        <v>58</v>
      </c>
      <c r="N118" s="70" t="s">
        <v>58</v>
      </c>
      <c r="O118" s="70" t="s">
        <v>58</v>
      </c>
      <c r="P118" s="70" t="s">
        <v>58</v>
      </c>
      <c r="Q118" s="70">
        <v>0</v>
      </c>
      <c r="R118" s="70">
        <v>0</v>
      </c>
      <c r="S118" s="70">
        <v>0</v>
      </c>
      <c r="T118" s="70">
        <v>0</v>
      </c>
      <c r="U118" s="70">
        <v>5</v>
      </c>
      <c r="V118" s="70">
        <v>0</v>
      </c>
      <c r="W118" s="70">
        <v>0</v>
      </c>
      <c r="X118" s="70">
        <v>5</v>
      </c>
      <c r="Y118" s="70">
        <v>0</v>
      </c>
      <c r="Z118" s="72">
        <f t="shared" si="30"/>
        <v>5</v>
      </c>
      <c r="AA118" s="70">
        <v>0</v>
      </c>
      <c r="AB118" s="70">
        <v>60</v>
      </c>
      <c r="AC118" s="70">
        <v>1</v>
      </c>
      <c r="AD118" s="70">
        <v>1</v>
      </c>
      <c r="AE118" s="70">
        <v>1</v>
      </c>
      <c r="AF118" s="70">
        <v>2</v>
      </c>
      <c r="AG118" s="70">
        <v>19</v>
      </c>
      <c r="AH118" s="70">
        <v>1</v>
      </c>
      <c r="AI118" s="70">
        <v>1</v>
      </c>
    </row>
    <row r="119" spans="1:35" customFormat="1" x14ac:dyDescent="0.35">
      <c r="A119" s="72">
        <v>966121</v>
      </c>
      <c r="B119" s="74" t="s">
        <v>62</v>
      </c>
      <c r="C119" s="75" t="s">
        <v>63</v>
      </c>
      <c r="D119" s="74" t="s">
        <v>64</v>
      </c>
      <c r="E119" s="70">
        <v>1</v>
      </c>
      <c r="F119" s="70">
        <v>3</v>
      </c>
      <c r="G119" s="70" t="s">
        <v>58</v>
      </c>
      <c r="H119" s="70" t="s">
        <v>58</v>
      </c>
      <c r="I119" s="70" t="s">
        <v>58</v>
      </c>
      <c r="J119" s="70" t="s">
        <v>58</v>
      </c>
      <c r="K119" s="70" t="s">
        <v>58</v>
      </c>
      <c r="L119" s="70" t="s">
        <v>58</v>
      </c>
      <c r="M119" s="70" t="s">
        <v>58</v>
      </c>
      <c r="N119" s="70" t="s">
        <v>58</v>
      </c>
      <c r="O119" s="70" t="s">
        <v>58</v>
      </c>
      <c r="P119" s="70" t="s">
        <v>58</v>
      </c>
      <c r="Q119" s="70">
        <v>0</v>
      </c>
      <c r="R119" s="70">
        <v>1</v>
      </c>
      <c r="S119" s="70">
        <v>0</v>
      </c>
      <c r="T119" s="70">
        <v>0</v>
      </c>
      <c r="U119" s="70">
        <v>2</v>
      </c>
      <c r="V119" s="70">
        <v>0</v>
      </c>
      <c r="W119" s="70">
        <v>0</v>
      </c>
      <c r="X119" s="70">
        <v>2</v>
      </c>
      <c r="Y119" s="70">
        <v>0</v>
      </c>
      <c r="Z119" s="72">
        <f t="shared" si="30"/>
        <v>2</v>
      </c>
      <c r="AA119" s="70">
        <v>60</v>
      </c>
      <c r="AB119" s="70">
        <v>20</v>
      </c>
      <c r="AC119" s="70">
        <v>1</v>
      </c>
      <c r="AD119" s="70">
        <v>1</v>
      </c>
      <c r="AE119" s="70">
        <v>1</v>
      </c>
      <c r="AF119" s="70">
        <v>2</v>
      </c>
      <c r="AG119" s="70">
        <v>21</v>
      </c>
      <c r="AH119" s="70">
        <v>1</v>
      </c>
      <c r="AI119" s="70">
        <v>1</v>
      </c>
    </row>
    <row r="120" spans="1:35" customFormat="1" x14ac:dyDescent="0.35">
      <c r="A120" s="72">
        <v>971556</v>
      </c>
      <c r="B120" s="74" t="s">
        <v>62</v>
      </c>
      <c r="C120" s="75" t="s">
        <v>63</v>
      </c>
      <c r="D120" s="74" t="s">
        <v>64</v>
      </c>
      <c r="E120" s="70">
        <v>1</v>
      </c>
      <c r="F120" s="70">
        <v>2</v>
      </c>
      <c r="G120" s="70" t="s">
        <v>58</v>
      </c>
      <c r="H120" s="70" t="s">
        <v>58</v>
      </c>
      <c r="I120" s="70" t="s">
        <v>58</v>
      </c>
      <c r="J120" s="70" t="s">
        <v>58</v>
      </c>
      <c r="K120" s="70" t="s">
        <v>58</v>
      </c>
      <c r="L120" s="70" t="s">
        <v>58</v>
      </c>
      <c r="M120" s="70" t="s">
        <v>58</v>
      </c>
      <c r="N120" s="70" t="s">
        <v>58</v>
      </c>
      <c r="O120" s="70" t="s">
        <v>58</v>
      </c>
      <c r="P120" s="70" t="s">
        <v>58</v>
      </c>
      <c r="Q120" s="70">
        <v>9</v>
      </c>
      <c r="R120" s="70">
        <v>0</v>
      </c>
      <c r="S120" s="70">
        <v>5</v>
      </c>
      <c r="T120" s="70">
        <v>11</v>
      </c>
      <c r="U120" s="70">
        <v>3</v>
      </c>
      <c r="V120" s="70">
        <v>2</v>
      </c>
      <c r="W120" s="70">
        <v>11</v>
      </c>
      <c r="X120" s="70">
        <v>3</v>
      </c>
      <c r="Y120" s="70">
        <v>2</v>
      </c>
      <c r="Z120" s="72">
        <f t="shared" si="30"/>
        <v>16</v>
      </c>
      <c r="AA120" s="70">
        <v>0</v>
      </c>
      <c r="AB120" s="70">
        <v>35</v>
      </c>
      <c r="AC120" s="70">
        <v>1</v>
      </c>
      <c r="AD120" s="70">
        <v>1</v>
      </c>
      <c r="AE120" s="70">
        <v>1</v>
      </c>
      <c r="AF120" s="70">
        <v>2</v>
      </c>
      <c r="AG120" s="70">
        <v>22</v>
      </c>
      <c r="AH120" s="70">
        <v>1</v>
      </c>
      <c r="AI120" s="70">
        <v>1</v>
      </c>
    </row>
    <row r="121" spans="1:35" customFormat="1" x14ac:dyDescent="0.35">
      <c r="A121" s="72">
        <v>973887</v>
      </c>
      <c r="B121" s="74" t="s">
        <v>62</v>
      </c>
      <c r="C121" s="75" t="s">
        <v>63</v>
      </c>
      <c r="D121" s="74" t="s">
        <v>64</v>
      </c>
      <c r="E121" s="70">
        <v>1</v>
      </c>
      <c r="F121" s="70">
        <v>3</v>
      </c>
      <c r="G121" s="70" t="s">
        <v>58</v>
      </c>
      <c r="H121" s="70" t="s">
        <v>58</v>
      </c>
      <c r="I121" s="70" t="s">
        <v>58</v>
      </c>
      <c r="J121" s="70" t="s">
        <v>58</v>
      </c>
      <c r="K121" s="70" t="s">
        <v>58</v>
      </c>
      <c r="L121" s="70" t="s">
        <v>58</v>
      </c>
      <c r="M121" s="70" t="s">
        <v>58</v>
      </c>
      <c r="N121" s="70" t="s">
        <v>58</v>
      </c>
      <c r="O121" s="70" t="s">
        <v>58</v>
      </c>
      <c r="P121" s="70" t="s">
        <v>58</v>
      </c>
      <c r="Q121" s="70">
        <v>0</v>
      </c>
      <c r="R121" s="70">
        <v>1</v>
      </c>
      <c r="S121" s="70">
        <v>3</v>
      </c>
      <c r="T121" s="70">
        <v>3</v>
      </c>
      <c r="U121" s="70">
        <v>1</v>
      </c>
      <c r="V121" s="70">
        <v>1</v>
      </c>
      <c r="W121" s="70">
        <v>3</v>
      </c>
      <c r="X121" s="70">
        <v>1</v>
      </c>
      <c r="Y121" s="70">
        <v>1</v>
      </c>
      <c r="Z121" s="72">
        <f t="shared" si="30"/>
        <v>5</v>
      </c>
      <c r="AA121" s="70">
        <v>85</v>
      </c>
      <c r="AB121" s="70">
        <v>30</v>
      </c>
      <c r="AC121" s="70">
        <v>1</v>
      </c>
      <c r="AD121" s="70">
        <v>1</v>
      </c>
      <c r="AE121" s="70">
        <v>1</v>
      </c>
      <c r="AF121" s="70">
        <v>2</v>
      </c>
      <c r="AG121" s="70">
        <v>23</v>
      </c>
      <c r="AH121" s="70">
        <v>2</v>
      </c>
      <c r="AI121" s="70">
        <v>1</v>
      </c>
    </row>
    <row r="122" spans="1:35" customFormat="1" x14ac:dyDescent="0.35">
      <c r="A122" s="72">
        <v>978872</v>
      </c>
      <c r="B122" s="74" t="s">
        <v>62</v>
      </c>
      <c r="C122" s="75" t="s">
        <v>63</v>
      </c>
      <c r="D122" s="74" t="s">
        <v>64</v>
      </c>
      <c r="E122" s="70">
        <v>2</v>
      </c>
      <c r="F122" s="70">
        <v>4</v>
      </c>
      <c r="G122" s="70">
        <v>5</v>
      </c>
      <c r="H122" s="70">
        <v>22</v>
      </c>
      <c r="I122" s="70">
        <v>32</v>
      </c>
      <c r="J122" s="70">
        <v>9</v>
      </c>
      <c r="K122" s="70">
        <v>18</v>
      </c>
      <c r="L122" s="70">
        <v>27</v>
      </c>
      <c r="M122" s="70">
        <v>5</v>
      </c>
      <c r="N122" s="70">
        <v>22</v>
      </c>
      <c r="O122" s="70">
        <v>32</v>
      </c>
      <c r="P122" s="70">
        <f>SUM(M122:O122)</f>
        <v>59</v>
      </c>
      <c r="Q122" s="70" t="s">
        <v>58</v>
      </c>
      <c r="R122" s="70" t="s">
        <v>58</v>
      </c>
      <c r="S122" s="70" t="s">
        <v>58</v>
      </c>
      <c r="T122" s="70" t="s">
        <v>58</v>
      </c>
      <c r="U122" s="70" t="s">
        <v>58</v>
      </c>
      <c r="V122" s="70" t="s">
        <v>58</v>
      </c>
      <c r="W122" s="70" t="s">
        <v>58</v>
      </c>
      <c r="X122" s="70" t="s">
        <v>58</v>
      </c>
      <c r="Y122" s="70" t="s">
        <v>58</v>
      </c>
      <c r="Z122" s="70" t="s">
        <v>58</v>
      </c>
      <c r="AA122" s="70">
        <v>0</v>
      </c>
      <c r="AB122" s="70">
        <v>75</v>
      </c>
      <c r="AC122" s="70">
        <v>0</v>
      </c>
      <c r="AD122" s="70">
        <v>0</v>
      </c>
      <c r="AE122" s="70">
        <v>0</v>
      </c>
      <c r="AF122" s="70">
        <v>1</v>
      </c>
      <c r="AG122" s="70">
        <v>19</v>
      </c>
      <c r="AH122" s="70">
        <v>1</v>
      </c>
      <c r="AI122" s="70">
        <v>1</v>
      </c>
    </row>
  </sheetData>
  <autoFilter ref="A1:AI122" xr:uid="{DF4E8D6A-9CD5-D244-B46E-5625D98AC120}"/>
  <pageMargins left="0.7" right="0.7" top="0.75" bottom="0.75" header="0.3" footer="0.3"/>
  <ignoredErrors>
    <ignoredError sqref="P4 P5 P23:P26 P28 O66 O73 O77 O82 P82 P77 P73 P66 P37 P71 P74 P80 P92:P96 P12:P13 P31:P32 Z2:Z3 Z6 P7:P10 Z11 Z14:Z22 Z27 Z29:Z30 Z33 P34 Z35:Z36 Z38:Z40 P41 Z42 P43 Z44:Z45 P46 Z47:Z48 P49 Z50:Z54 P55:P56 Z57:Z58 P59:P60 Z61 P62:P63 Z64 P65 Z67 O68 P68 Z69:Z70 Z72 Z75:Z76 Z78 O79 P79 Z81 Z83:Z84 O85 P85 Z86:Z87 O88 P88 Z89 O90:O91 P90:P91 Z97 P98:P99 Z100 P101:P103 Z105:Z106 P107:P114 Z115 P116 Z117:Z121 P1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FB49-5F6C-49FB-8F4D-73D424B8A447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59</v>
      </c>
    </row>
    <row r="2" spans="1:1" x14ac:dyDescent="0.35">
      <c r="A2" t="s">
        <v>60</v>
      </c>
    </row>
    <row r="3" spans="1:1" x14ac:dyDescent="0.35">
      <c r="A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Noelle (resolving)</vt:lpstr>
      <vt:lpstr>Meilan (resolving)</vt:lpstr>
      <vt:lpstr>testdata</vt:lpstr>
      <vt:lpstr>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2025-03-21T05:59:42Z</dcterms:modified>
</cp:coreProperties>
</file>