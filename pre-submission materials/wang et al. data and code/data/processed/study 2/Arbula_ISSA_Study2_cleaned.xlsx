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jc506932\Dropbox\RRR (Adam Wang)\Data\Study 2\"/>
    </mc:Choice>
  </mc:AlternateContent>
  <xr:revisionPtr revIDLastSave="0" documentId="13_ncr:1_{5DF26504-B54A-497F-8A82-EF9DE7BA30E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estdata" sheetId="1" r:id="rId1"/>
    <sheet name="Data cleaning notes" sheetId="3" r:id="rId2"/>
    <sheet name="summarystat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2" i="1"/>
  <c r="AA14" i="1"/>
  <c r="AA6" i="1"/>
  <c r="AA7" i="1"/>
  <c r="AA8" i="1"/>
  <c r="AA9" i="1"/>
  <c r="AA10" i="1"/>
  <c r="AA11" i="1"/>
  <c r="AA12" i="1"/>
  <c r="AA13" i="1"/>
  <c r="AA5" i="1"/>
  <c r="AA4" i="1"/>
  <c r="AA3" i="1"/>
  <c r="AA2" i="1"/>
  <c r="B8" i="2"/>
  <c r="C9" i="2"/>
  <c r="B9" i="2"/>
  <c r="C8" i="2"/>
  <c r="B3" i="2"/>
  <c r="C3" i="2"/>
  <c r="C4" i="2"/>
  <c r="B4" i="2"/>
</calcChain>
</file>

<file path=xl/sharedStrings.xml><?xml version="1.0" encoding="utf-8"?>
<sst xmlns="http://schemas.openxmlformats.org/spreadsheetml/2006/main" count="100" uniqueCount="48">
  <si>
    <t>ParticipantID</t>
  </si>
  <si>
    <t>Condition</t>
  </si>
  <si>
    <t>Targetword</t>
  </si>
  <si>
    <t>A_period.1.coder1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</si>
  <si>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</si>
  <si>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</si>
  <si>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</si>
  <si>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</si>
  <si>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</si>
  <si>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</si>
  <si>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</si>
  <si>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</si>
  <si>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</si>
  <si>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</si>
  <si>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</si>
  <si>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</si>
  <si>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</si>
  <si>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</si>
  <si>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</si>
  <si>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</si>
  <si>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</si>
  <si>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</si>
  <si>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sum.ABC_period2.final</t>
  </si>
  <si>
    <t>Percentage.round.1</t>
  </si>
  <si>
    <t>Percentage.round.2</t>
  </si>
  <si>
    <t>probe.coder1</t>
  </si>
  <si>
    <t>probe.coder2</t>
  </si>
  <si>
    <t>probe.final</t>
  </si>
  <si>
    <t>MC</t>
  </si>
  <si>
    <t>age</t>
  </si>
  <si>
    <t>gender</t>
  </si>
  <si>
    <t>Compliance</t>
  </si>
  <si>
    <t>Correct responses</t>
  </si>
  <si>
    <t>Concentration</t>
  </si>
  <si>
    <t>Suppression</t>
  </si>
  <si>
    <t>High time pressure</t>
  </si>
  <si>
    <t>Low time pressure</t>
  </si>
  <si>
    <t>RT responses</t>
  </si>
  <si>
    <t>Data collection ended prematurely.</t>
  </si>
  <si>
    <t>Researcher</t>
  </si>
  <si>
    <t>Lab</t>
  </si>
  <si>
    <t>Country</t>
  </si>
  <si>
    <t xml:space="preserve">Sandra Arbula </t>
  </si>
  <si>
    <t>Italy</t>
  </si>
  <si>
    <t>International School for Advanced Studies</t>
  </si>
  <si>
    <t>Table.citation</t>
  </si>
  <si>
    <t>Pasti et al.</t>
  </si>
  <si>
    <t>formula sum period 1 was wrong (4 columns); changed to 3 column 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</si>
</sst>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0" fillId="0" borderId="0" xfId="0" applyFill="1"/>
    <xf numFmtId="0" fontId="3" fillId="0" borderId="0" xfId="0" applyFont="1" applyFill="1" applyBorder="1" applyAlignment="1">
      <alignment horizontal="right"/>
    </xf>
    <xf numFmtId="0" fontId="3" fillId="0" borderId="0" xfId="0" applyFont="1" applyFill="1" applyBorder="1" applyAlignment="1">
      <alignment horizontal="center"/>
    </xf>
    <xf numFmtId="0" fontId="3" fillId="0" borderId="0" xfId="0" applyFont="1" applyFill="1"/>
    <xf numFmtId="0" fontId="3" fillId="0" borderId="0" xfId="0" applyFont="1" applyFill="1" applyBorder="1"/>
    <xf numFmtId="0" fontId="3" fillId="0" borderId="0" xfId="0" applyFont="1" applyFill="1" applyAlignment="1">
      <alignment horizontal="center"/>
    </xf>
    <xf numFmtId="0" fontId="3" fillId="0" borderId="0" xfId="0" applyFont="1" applyFill="1" applyBorder="1" applyAlignment="1">
      <alignment horizontal="left"/>
    </xf>
    <xf numFmtId="0" fontId="0" fillId="0" borderId="0" xfId="0" applyFill="1" applyAlignment="1">
      <alignment horizontal="left"/>
    </xf>
    <xf numFmtId="0" fontId="4" fillId="0" borderId="0" xfId="0" applyFont="1"/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4"/>
  <sheetViews>
    <sheetView tabSelected="1" zoomScale="76" zoomScaleNormal="76" workbookViewId="0"/>
  </sheetViews>
  <sheetFormatPr defaultColWidth="8.85546875" defaultRowHeight="15" x14ac:dyDescent="0.25"/>
  <cols>
    <col min="1" max="1" width="14" style="4" customWidth="1"/>
    <col min="2" max="3" width="14" style="11" customWidth="1"/>
    <col min="4" max="5" width="14" style="4" customWidth="1"/>
    <col min="6" max="6" width="12.85546875" style="4" customWidth="1"/>
    <col min="7" max="7" width="15" style="4" customWidth="1"/>
    <col min="8" max="8" width="19.7109375" style="4" customWidth="1"/>
    <col min="9" max="9" width="19.42578125" style="4" customWidth="1"/>
    <col min="10" max="10" width="18.42578125" style="4" customWidth="1"/>
    <col min="11" max="11" width="20.42578125" style="4" customWidth="1"/>
    <col min="12" max="12" width="21.140625" style="4" customWidth="1"/>
    <col min="13" max="13" width="20.42578125" style="4" customWidth="1"/>
    <col min="14" max="14" width="21.140625" style="4" customWidth="1"/>
    <col min="15" max="15" width="20.140625" style="4" customWidth="1"/>
    <col min="16" max="16" width="21" style="4" customWidth="1"/>
    <col min="17" max="17" width="28" style="4" customWidth="1"/>
    <col min="18" max="18" width="21" style="4" customWidth="1"/>
    <col min="19" max="19" width="22.42578125" style="4" customWidth="1"/>
    <col min="20" max="26" width="21.85546875" style="4" customWidth="1"/>
    <col min="27" max="27" width="27.42578125" style="4" customWidth="1"/>
    <col min="28" max="29" width="20.85546875" style="4" customWidth="1"/>
    <col min="30" max="30" width="14.28515625" style="4" customWidth="1"/>
    <col min="31" max="31" width="13.42578125" style="4" customWidth="1"/>
    <col min="32" max="32" width="12.42578125" style="4" customWidth="1"/>
    <col min="33" max="35" width="9.140625" style="4"/>
    <col min="36" max="36" width="14.140625" style="4" customWidth="1"/>
    <col min="37" max="16384" width="8.85546875" style="4"/>
  </cols>
  <sheetData>
    <row r="1" spans="1:36" customFormat="1" ht="15.75" x14ac:dyDescent="0.25">
      <c r="A1" s="8" t="s">
        <v>0</v>
      </c>
      <c r="B1" s="10" t="s">
        <v>39</v>
      </c>
      <c r="C1" s="12" t="s">
        <v>45</v>
      </c>
      <c r="D1" s="8" t="s">
        <v>40</v>
      </c>
      <c r="E1" s="8" t="s">
        <v>41</v>
      </c>
      <c r="F1" s="6" t="s">
        <v>1</v>
      </c>
      <c r="G1" s="6" t="s">
        <v>2</v>
      </c>
      <c r="H1" s="9" t="s">
        <v>3</v>
      </c>
      <c r="I1" s="9" t="s">
        <v>4</v>
      </c>
      <c r="J1" s="9" t="s">
        <v>5</v>
      </c>
      <c r="K1" s="9" t="s">
        <v>6</v>
      </c>
      <c r="L1" s="9" t="s">
        <v>7</v>
      </c>
      <c r="M1" s="9" t="s">
        <v>8</v>
      </c>
      <c r="N1" s="9" t="s">
        <v>9</v>
      </c>
      <c r="O1" s="9" t="s">
        <v>10</v>
      </c>
      <c r="P1" s="9" t="s">
        <v>11</v>
      </c>
      <c r="Q1" s="9" t="s">
        <v>12</v>
      </c>
      <c r="R1" s="9" t="s">
        <v>13</v>
      </c>
      <c r="S1" s="9" t="s">
        <v>14</v>
      </c>
      <c r="T1" s="9" t="s">
        <v>15</v>
      </c>
      <c r="U1" s="9" t="s">
        <v>16</v>
      </c>
      <c r="V1" s="9" t="s">
        <v>17</v>
      </c>
      <c r="W1" s="9" t="s">
        <v>18</v>
      </c>
      <c r="X1" s="9" t="s">
        <v>19</v>
      </c>
      <c r="Y1" s="9" t="s">
        <v>20</v>
      </c>
      <c r="Z1" s="9" t="s">
        <v>21</v>
      </c>
      <c r="AA1" s="9" t="s">
        <v>22</v>
      </c>
      <c r="AB1" s="9" t="s">
        <v>23</v>
      </c>
      <c r="AC1" s="9" t="s">
        <v>24</v>
      </c>
      <c r="AD1" s="7" t="s">
        <v>25</v>
      </c>
      <c r="AE1" s="7" t="s">
        <v>26</v>
      </c>
      <c r="AF1" s="7" t="s">
        <v>27</v>
      </c>
      <c r="AG1" s="7" t="s">
        <v>28</v>
      </c>
      <c r="AH1" s="7" t="s">
        <v>29</v>
      </c>
      <c r="AI1" s="7" t="s">
        <v>30</v>
      </c>
      <c r="AJ1" s="7" t="s">
        <v>31</v>
      </c>
    </row>
    <row r="2" spans="1:36" customFormat="1" ht="15.75" x14ac:dyDescent="0.25">
      <c r="A2" s="5">
        <v>201</v>
      </c>
      <c r="B2" s="10" t="s">
        <v>42</v>
      </c>
      <c r="C2" s="13" t="s">
        <v>46</v>
      </c>
      <c r="D2" s="10" t="s">
        <v>44</v>
      </c>
      <c r="E2" s="5" t="s">
        <v>43</v>
      </c>
      <c r="F2" s="6">
        <v>2</v>
      </c>
      <c r="G2" s="6">
        <v>2</v>
      </c>
      <c r="H2" s="7">
        <v>0</v>
      </c>
      <c r="I2" s="7">
        <v>2</v>
      </c>
      <c r="J2" s="7">
        <v>3</v>
      </c>
      <c r="K2" s="7">
        <v>0</v>
      </c>
      <c r="L2" s="7">
        <v>2</v>
      </c>
      <c r="M2" s="7">
        <v>3</v>
      </c>
      <c r="N2" s="7">
        <v>0</v>
      </c>
      <c r="O2" s="7">
        <v>2</v>
      </c>
      <c r="P2" s="7">
        <v>3</v>
      </c>
      <c r="Q2" s="7">
        <f>SUM(N2,O2,P2)</f>
        <v>5</v>
      </c>
      <c r="R2" s="7">
        <v>0</v>
      </c>
      <c r="S2" s="7">
        <v>3</v>
      </c>
      <c r="T2" s="7">
        <v>1</v>
      </c>
      <c r="U2" s="7">
        <v>0</v>
      </c>
      <c r="V2" s="7">
        <v>3</v>
      </c>
      <c r="W2" s="7">
        <v>1</v>
      </c>
      <c r="X2" s="7">
        <v>0</v>
      </c>
      <c r="Y2" s="7">
        <v>3</v>
      </c>
      <c r="Z2" s="7">
        <v>1</v>
      </c>
      <c r="AA2" s="7">
        <f t="shared" ref="AA2:AA14" si="0">SUM(X2,Y2,Z2)</f>
        <v>4</v>
      </c>
      <c r="AB2" s="7"/>
      <c r="AC2" s="7"/>
      <c r="AD2" s="7">
        <v>0</v>
      </c>
      <c r="AE2" s="7">
        <v>0</v>
      </c>
      <c r="AF2" s="7">
        <v>0</v>
      </c>
      <c r="AG2" s="5">
        <v>1</v>
      </c>
      <c r="AH2" s="7">
        <v>22</v>
      </c>
      <c r="AI2" s="7">
        <v>2</v>
      </c>
      <c r="AJ2" s="7">
        <v>1</v>
      </c>
    </row>
    <row r="3" spans="1:36" customFormat="1" ht="15.75" x14ac:dyDescent="0.25">
      <c r="A3" s="5">
        <v>202</v>
      </c>
      <c r="B3" s="10" t="s">
        <v>42</v>
      </c>
      <c r="C3" s="13" t="s">
        <v>46</v>
      </c>
      <c r="D3" s="10" t="s">
        <v>44</v>
      </c>
      <c r="E3" s="5" t="s">
        <v>43</v>
      </c>
      <c r="F3" s="6">
        <v>1</v>
      </c>
      <c r="G3" s="6">
        <v>2</v>
      </c>
      <c r="H3" s="7">
        <v>1</v>
      </c>
      <c r="I3" s="7">
        <v>1</v>
      </c>
      <c r="J3" s="7">
        <v>12</v>
      </c>
      <c r="K3" s="7">
        <v>1</v>
      </c>
      <c r="L3" s="7">
        <v>1</v>
      </c>
      <c r="M3" s="7">
        <v>12</v>
      </c>
      <c r="N3" s="7">
        <v>1</v>
      </c>
      <c r="O3" s="7">
        <v>1</v>
      </c>
      <c r="P3" s="7">
        <v>12</v>
      </c>
      <c r="Q3" s="7">
        <f t="shared" ref="Q3:Q14" si="1">SUM(N3,O3,P3)</f>
        <v>14</v>
      </c>
      <c r="R3" s="7">
        <v>1</v>
      </c>
      <c r="S3" s="7">
        <v>1</v>
      </c>
      <c r="T3" s="7">
        <v>10</v>
      </c>
      <c r="U3" s="7">
        <v>1</v>
      </c>
      <c r="V3" s="7">
        <v>1</v>
      </c>
      <c r="W3" s="7">
        <v>10</v>
      </c>
      <c r="X3" s="7">
        <v>1</v>
      </c>
      <c r="Y3" s="7">
        <v>1</v>
      </c>
      <c r="Z3" s="7">
        <v>10</v>
      </c>
      <c r="AA3" s="7">
        <f t="shared" si="0"/>
        <v>12</v>
      </c>
      <c r="AB3" s="7"/>
      <c r="AC3" s="7"/>
      <c r="AD3" s="7">
        <v>0</v>
      </c>
      <c r="AE3" s="7">
        <v>0</v>
      </c>
      <c r="AF3" s="7">
        <v>0</v>
      </c>
      <c r="AG3" s="5">
        <v>2</v>
      </c>
      <c r="AH3" s="7">
        <v>31</v>
      </c>
      <c r="AI3" s="7">
        <v>2</v>
      </c>
      <c r="AJ3" s="7">
        <v>1</v>
      </c>
    </row>
    <row r="4" spans="1:36" customFormat="1" ht="15.75" x14ac:dyDescent="0.25">
      <c r="A4" s="5">
        <v>203</v>
      </c>
      <c r="B4" s="10" t="s">
        <v>42</v>
      </c>
      <c r="C4" s="13" t="s">
        <v>46</v>
      </c>
      <c r="D4" s="10" t="s">
        <v>44</v>
      </c>
      <c r="E4" s="5" t="s">
        <v>43</v>
      </c>
      <c r="F4" s="6">
        <v>2</v>
      </c>
      <c r="G4" s="6">
        <v>1</v>
      </c>
      <c r="H4" s="7">
        <v>0</v>
      </c>
      <c r="I4" s="7">
        <v>5</v>
      </c>
      <c r="J4" s="7">
        <v>1</v>
      </c>
      <c r="K4" s="7">
        <v>0</v>
      </c>
      <c r="L4" s="7">
        <v>5</v>
      </c>
      <c r="M4" s="7">
        <v>1</v>
      </c>
      <c r="N4" s="7">
        <v>0</v>
      </c>
      <c r="O4" s="7">
        <v>5</v>
      </c>
      <c r="P4" s="7">
        <v>1</v>
      </c>
      <c r="Q4" s="7">
        <f t="shared" si="1"/>
        <v>6</v>
      </c>
      <c r="R4" s="7">
        <v>0</v>
      </c>
      <c r="S4" s="7">
        <v>2</v>
      </c>
      <c r="T4" s="7">
        <v>0</v>
      </c>
      <c r="U4" s="7">
        <v>0</v>
      </c>
      <c r="V4" s="7">
        <v>2</v>
      </c>
      <c r="W4" s="7">
        <v>0</v>
      </c>
      <c r="X4" s="7">
        <v>0</v>
      </c>
      <c r="Y4" s="7">
        <v>2</v>
      </c>
      <c r="Z4" s="7">
        <v>0</v>
      </c>
      <c r="AA4" s="7">
        <f t="shared" si="0"/>
        <v>2</v>
      </c>
      <c r="AB4" s="7"/>
      <c r="AC4" s="7"/>
      <c r="AD4" s="7">
        <v>0</v>
      </c>
      <c r="AE4" s="7">
        <v>0</v>
      </c>
      <c r="AF4" s="7">
        <v>0</v>
      </c>
      <c r="AG4" s="5">
        <v>1</v>
      </c>
      <c r="AH4" s="7">
        <v>24</v>
      </c>
      <c r="AI4" s="7">
        <v>1</v>
      </c>
      <c r="AJ4" s="7">
        <v>1</v>
      </c>
    </row>
    <row r="5" spans="1:36" customFormat="1" ht="15.75" x14ac:dyDescent="0.25">
      <c r="A5" s="5">
        <v>204</v>
      </c>
      <c r="B5" s="10" t="s">
        <v>42</v>
      </c>
      <c r="C5" s="13" t="s">
        <v>46</v>
      </c>
      <c r="D5" s="10" t="s">
        <v>44</v>
      </c>
      <c r="E5" s="5" t="s">
        <v>43</v>
      </c>
      <c r="F5" s="6">
        <v>1</v>
      </c>
      <c r="G5" s="6">
        <v>1</v>
      </c>
      <c r="H5" s="7">
        <v>0</v>
      </c>
      <c r="I5" s="7">
        <v>7</v>
      </c>
      <c r="J5" s="7">
        <v>2</v>
      </c>
      <c r="K5" s="7">
        <v>0</v>
      </c>
      <c r="L5" s="7">
        <v>7</v>
      </c>
      <c r="M5" s="7">
        <v>2</v>
      </c>
      <c r="N5" s="7">
        <v>0</v>
      </c>
      <c r="O5" s="7">
        <v>7</v>
      </c>
      <c r="P5" s="7">
        <v>2</v>
      </c>
      <c r="Q5" s="7">
        <f t="shared" si="1"/>
        <v>9</v>
      </c>
      <c r="R5" s="7">
        <v>0</v>
      </c>
      <c r="S5" s="7">
        <v>2</v>
      </c>
      <c r="T5" s="7">
        <v>21</v>
      </c>
      <c r="U5" s="7">
        <v>0</v>
      </c>
      <c r="V5" s="7">
        <v>2</v>
      </c>
      <c r="W5" s="7">
        <v>21</v>
      </c>
      <c r="X5" s="7">
        <v>0</v>
      </c>
      <c r="Y5" s="7">
        <v>2</v>
      </c>
      <c r="Z5" s="7">
        <v>21</v>
      </c>
      <c r="AA5" s="7">
        <f t="shared" si="0"/>
        <v>23</v>
      </c>
      <c r="AB5" s="7"/>
      <c r="AC5" s="7"/>
      <c r="AD5" s="7">
        <v>0</v>
      </c>
      <c r="AE5" s="7">
        <v>0</v>
      </c>
      <c r="AF5" s="7">
        <v>0</v>
      </c>
      <c r="AG5" s="5">
        <v>2</v>
      </c>
      <c r="AH5" s="7">
        <v>29</v>
      </c>
      <c r="AI5" s="7">
        <v>1</v>
      </c>
      <c r="AJ5" s="7">
        <v>1</v>
      </c>
    </row>
    <row r="6" spans="1:36" customFormat="1" ht="15.75" x14ac:dyDescent="0.25">
      <c r="A6" s="5">
        <v>205</v>
      </c>
      <c r="B6" s="10" t="s">
        <v>42</v>
      </c>
      <c r="C6" s="13" t="s">
        <v>46</v>
      </c>
      <c r="D6" s="10" t="s">
        <v>44</v>
      </c>
      <c r="E6" s="5" t="s">
        <v>43</v>
      </c>
      <c r="F6" s="6">
        <v>2</v>
      </c>
      <c r="G6" s="6">
        <v>3</v>
      </c>
      <c r="H6" s="7">
        <v>9</v>
      </c>
      <c r="I6" s="7">
        <v>0</v>
      </c>
      <c r="J6" s="7">
        <v>0</v>
      </c>
      <c r="K6" s="7">
        <v>9</v>
      </c>
      <c r="L6" s="7">
        <v>0</v>
      </c>
      <c r="M6" s="7">
        <v>0</v>
      </c>
      <c r="N6" s="7">
        <v>9</v>
      </c>
      <c r="O6" s="7">
        <v>0</v>
      </c>
      <c r="P6" s="7">
        <v>0</v>
      </c>
      <c r="Q6" s="7">
        <f t="shared" si="1"/>
        <v>9</v>
      </c>
      <c r="R6" s="7">
        <v>0</v>
      </c>
      <c r="S6" s="7">
        <v>3</v>
      </c>
      <c r="T6" s="7">
        <v>5</v>
      </c>
      <c r="U6" s="7">
        <v>0</v>
      </c>
      <c r="V6" s="7">
        <v>3</v>
      </c>
      <c r="W6" s="7">
        <v>5</v>
      </c>
      <c r="X6" s="7">
        <v>0</v>
      </c>
      <c r="Y6" s="7">
        <v>3</v>
      </c>
      <c r="Z6" s="7">
        <v>5</v>
      </c>
      <c r="AA6" s="7">
        <f t="shared" si="0"/>
        <v>8</v>
      </c>
      <c r="AB6" s="7"/>
      <c r="AC6" s="7"/>
      <c r="AD6" s="7">
        <v>0</v>
      </c>
      <c r="AE6" s="7">
        <v>0</v>
      </c>
      <c r="AF6" s="7">
        <v>0</v>
      </c>
      <c r="AG6" s="5">
        <v>1</v>
      </c>
      <c r="AH6" s="7">
        <v>32</v>
      </c>
      <c r="AI6" s="7">
        <v>1</v>
      </c>
      <c r="AJ6" s="7">
        <v>1</v>
      </c>
    </row>
    <row r="7" spans="1:36" customFormat="1" ht="15.75" x14ac:dyDescent="0.25">
      <c r="A7" s="5">
        <v>206</v>
      </c>
      <c r="B7" s="10" t="s">
        <v>42</v>
      </c>
      <c r="C7" s="13" t="s">
        <v>46</v>
      </c>
      <c r="D7" s="10" t="s">
        <v>44</v>
      </c>
      <c r="E7" s="5" t="s">
        <v>43</v>
      </c>
      <c r="F7" s="6">
        <v>1</v>
      </c>
      <c r="G7" s="6">
        <v>3</v>
      </c>
      <c r="H7" s="7">
        <v>0</v>
      </c>
      <c r="I7" s="7">
        <v>3</v>
      </c>
      <c r="J7" s="7">
        <v>2</v>
      </c>
      <c r="K7" s="7">
        <v>0</v>
      </c>
      <c r="L7" s="7">
        <v>3</v>
      </c>
      <c r="M7" s="7">
        <v>2</v>
      </c>
      <c r="N7" s="7">
        <v>0</v>
      </c>
      <c r="O7" s="7">
        <v>3</v>
      </c>
      <c r="P7" s="7">
        <v>2</v>
      </c>
      <c r="Q7" s="7">
        <f t="shared" si="1"/>
        <v>5</v>
      </c>
      <c r="R7" s="7">
        <v>1</v>
      </c>
      <c r="S7" s="7">
        <v>3</v>
      </c>
      <c r="T7" s="7">
        <v>2</v>
      </c>
      <c r="U7" s="7">
        <v>1</v>
      </c>
      <c r="V7" s="7">
        <v>3</v>
      </c>
      <c r="W7" s="7">
        <v>2</v>
      </c>
      <c r="X7" s="7">
        <v>1</v>
      </c>
      <c r="Y7" s="7">
        <v>3</v>
      </c>
      <c r="Z7" s="7">
        <v>2</v>
      </c>
      <c r="AA7" s="7">
        <f t="shared" si="0"/>
        <v>6</v>
      </c>
      <c r="AB7" s="7"/>
      <c r="AC7" s="7"/>
      <c r="AD7" s="7">
        <v>0</v>
      </c>
      <c r="AE7" s="7">
        <v>0</v>
      </c>
      <c r="AF7" s="7">
        <v>0</v>
      </c>
      <c r="AG7" s="5">
        <v>2</v>
      </c>
      <c r="AH7" s="7">
        <v>21</v>
      </c>
      <c r="AI7" s="7">
        <v>1</v>
      </c>
      <c r="AJ7" s="7">
        <v>1</v>
      </c>
    </row>
    <row r="8" spans="1:36" customFormat="1" ht="15.75" x14ac:dyDescent="0.25">
      <c r="A8" s="5">
        <v>207</v>
      </c>
      <c r="B8" s="10" t="s">
        <v>42</v>
      </c>
      <c r="C8" s="13" t="s">
        <v>46</v>
      </c>
      <c r="D8" s="10" t="s">
        <v>44</v>
      </c>
      <c r="E8" s="5" t="s">
        <v>43</v>
      </c>
      <c r="F8" s="6">
        <v>2</v>
      </c>
      <c r="G8" s="6">
        <v>4</v>
      </c>
      <c r="H8" s="7">
        <v>0</v>
      </c>
      <c r="I8" s="7">
        <v>10</v>
      </c>
      <c r="J8" s="7">
        <v>0</v>
      </c>
      <c r="K8" s="7">
        <v>0</v>
      </c>
      <c r="L8" s="7">
        <v>10</v>
      </c>
      <c r="M8" s="7">
        <v>0</v>
      </c>
      <c r="N8" s="7">
        <v>0</v>
      </c>
      <c r="O8" s="7">
        <v>10</v>
      </c>
      <c r="P8" s="7">
        <v>0</v>
      </c>
      <c r="Q8" s="7">
        <f t="shared" si="1"/>
        <v>10</v>
      </c>
      <c r="R8" s="7">
        <v>0</v>
      </c>
      <c r="S8" s="7">
        <v>3</v>
      </c>
      <c r="T8" s="7">
        <v>0</v>
      </c>
      <c r="U8" s="7">
        <v>0</v>
      </c>
      <c r="V8" s="7">
        <v>3</v>
      </c>
      <c r="W8" s="7">
        <v>0</v>
      </c>
      <c r="X8" s="7">
        <v>0</v>
      </c>
      <c r="Y8" s="7">
        <v>3</v>
      </c>
      <c r="Z8" s="7">
        <v>0</v>
      </c>
      <c r="AA8" s="7">
        <f t="shared" si="0"/>
        <v>3</v>
      </c>
      <c r="AB8" s="7"/>
      <c r="AC8" s="7"/>
      <c r="AD8" s="7">
        <v>0</v>
      </c>
      <c r="AE8" s="7">
        <v>0</v>
      </c>
      <c r="AF8" s="7">
        <v>0</v>
      </c>
      <c r="AG8" s="5">
        <v>1</v>
      </c>
      <c r="AH8" s="7">
        <v>23</v>
      </c>
      <c r="AI8" s="7">
        <v>2</v>
      </c>
      <c r="AJ8" s="7">
        <v>1</v>
      </c>
    </row>
    <row r="9" spans="1:36" customFormat="1" ht="15.75" x14ac:dyDescent="0.25">
      <c r="A9" s="5">
        <v>208</v>
      </c>
      <c r="B9" s="10" t="s">
        <v>42</v>
      </c>
      <c r="C9" s="13" t="s">
        <v>46</v>
      </c>
      <c r="D9" s="10" t="s">
        <v>44</v>
      </c>
      <c r="E9" s="5" t="s">
        <v>43</v>
      </c>
      <c r="F9" s="6">
        <v>1</v>
      </c>
      <c r="G9" s="6">
        <v>4</v>
      </c>
      <c r="H9" s="7">
        <v>0</v>
      </c>
      <c r="I9" s="7">
        <v>3</v>
      </c>
      <c r="J9" s="7">
        <v>4</v>
      </c>
      <c r="K9" s="7">
        <v>0</v>
      </c>
      <c r="L9" s="7">
        <v>3</v>
      </c>
      <c r="M9" s="7">
        <v>4</v>
      </c>
      <c r="N9" s="7">
        <v>0</v>
      </c>
      <c r="O9" s="7">
        <v>3</v>
      </c>
      <c r="P9" s="7">
        <v>4</v>
      </c>
      <c r="Q9" s="7">
        <f t="shared" si="1"/>
        <v>7</v>
      </c>
      <c r="R9" s="7">
        <v>3</v>
      </c>
      <c r="S9" s="7">
        <v>3</v>
      </c>
      <c r="T9" s="7">
        <v>3</v>
      </c>
      <c r="U9" s="7">
        <v>3</v>
      </c>
      <c r="V9" s="7">
        <v>3</v>
      </c>
      <c r="W9" s="7">
        <v>3</v>
      </c>
      <c r="X9" s="7">
        <v>3</v>
      </c>
      <c r="Y9" s="7">
        <v>3</v>
      </c>
      <c r="Z9" s="7">
        <v>3</v>
      </c>
      <c r="AA9" s="7">
        <f t="shared" si="0"/>
        <v>9</v>
      </c>
      <c r="AB9" s="7"/>
      <c r="AC9" s="7"/>
      <c r="AD9" s="7">
        <v>0</v>
      </c>
      <c r="AE9" s="7">
        <v>0</v>
      </c>
      <c r="AF9" s="7">
        <v>0</v>
      </c>
      <c r="AG9" s="5">
        <v>2</v>
      </c>
      <c r="AH9" s="7">
        <v>22</v>
      </c>
      <c r="AI9" s="7">
        <v>2</v>
      </c>
      <c r="AJ9" s="7">
        <v>1</v>
      </c>
    </row>
    <row r="10" spans="1:36" customFormat="1" ht="15.75" x14ac:dyDescent="0.25">
      <c r="A10" s="5">
        <v>209</v>
      </c>
      <c r="B10" s="10" t="s">
        <v>42</v>
      </c>
      <c r="C10" s="13" t="s">
        <v>46</v>
      </c>
      <c r="D10" s="10" t="s">
        <v>44</v>
      </c>
      <c r="E10" s="5" t="s">
        <v>43</v>
      </c>
      <c r="F10" s="6">
        <v>2</v>
      </c>
      <c r="G10" s="6">
        <v>2</v>
      </c>
      <c r="H10" s="7">
        <v>4</v>
      </c>
      <c r="I10" s="7">
        <v>3</v>
      </c>
      <c r="J10" s="7">
        <v>1</v>
      </c>
      <c r="K10" s="7">
        <v>4</v>
      </c>
      <c r="L10" s="7">
        <v>3</v>
      </c>
      <c r="M10" s="7">
        <v>1</v>
      </c>
      <c r="N10" s="7">
        <v>4</v>
      </c>
      <c r="O10" s="7">
        <v>3</v>
      </c>
      <c r="P10" s="7">
        <v>1</v>
      </c>
      <c r="Q10" s="7">
        <f t="shared" si="1"/>
        <v>8</v>
      </c>
      <c r="R10" s="7">
        <v>0</v>
      </c>
      <c r="S10" s="7">
        <v>1</v>
      </c>
      <c r="T10" s="7">
        <v>3</v>
      </c>
      <c r="U10" s="7">
        <v>0</v>
      </c>
      <c r="V10" s="7">
        <v>1</v>
      </c>
      <c r="W10" s="7">
        <v>3</v>
      </c>
      <c r="X10" s="7">
        <v>0</v>
      </c>
      <c r="Y10" s="7">
        <v>1</v>
      </c>
      <c r="Z10" s="7">
        <v>3</v>
      </c>
      <c r="AA10" s="7">
        <f t="shared" si="0"/>
        <v>4</v>
      </c>
      <c r="AB10" s="7"/>
      <c r="AC10" s="7"/>
      <c r="AD10" s="7">
        <v>0</v>
      </c>
      <c r="AE10" s="7">
        <v>0</v>
      </c>
      <c r="AF10" s="7">
        <v>0</v>
      </c>
      <c r="AG10" s="5">
        <v>1</v>
      </c>
      <c r="AH10" s="7">
        <v>29</v>
      </c>
      <c r="AI10" s="7">
        <v>2</v>
      </c>
      <c r="AJ10" s="7">
        <v>1</v>
      </c>
    </row>
    <row r="11" spans="1:36" customFormat="1" ht="15.75" x14ac:dyDescent="0.25">
      <c r="A11" s="5">
        <v>210</v>
      </c>
      <c r="B11" s="10" t="s">
        <v>42</v>
      </c>
      <c r="C11" s="13" t="s">
        <v>46</v>
      </c>
      <c r="D11" s="10" t="s">
        <v>44</v>
      </c>
      <c r="E11" s="5" t="s">
        <v>43</v>
      </c>
      <c r="F11" s="6">
        <v>1</v>
      </c>
      <c r="G11" s="6">
        <v>2</v>
      </c>
      <c r="H11" s="7">
        <v>2</v>
      </c>
      <c r="I11" s="7">
        <v>0</v>
      </c>
      <c r="J11" s="7">
        <v>10</v>
      </c>
      <c r="K11" s="7">
        <v>2</v>
      </c>
      <c r="L11" s="7">
        <v>0</v>
      </c>
      <c r="M11" s="7">
        <v>10</v>
      </c>
      <c r="N11" s="7">
        <v>2</v>
      </c>
      <c r="O11" s="7">
        <v>0</v>
      </c>
      <c r="P11" s="7">
        <v>10</v>
      </c>
      <c r="Q11" s="7">
        <f t="shared" si="1"/>
        <v>12</v>
      </c>
      <c r="R11" s="7">
        <v>4</v>
      </c>
      <c r="S11" s="7">
        <v>0</v>
      </c>
      <c r="T11" s="7">
        <v>18</v>
      </c>
      <c r="U11" s="7">
        <v>4</v>
      </c>
      <c r="V11" s="7">
        <v>0</v>
      </c>
      <c r="W11" s="7">
        <v>18</v>
      </c>
      <c r="X11" s="7">
        <v>4</v>
      </c>
      <c r="Y11" s="7">
        <v>0</v>
      </c>
      <c r="Z11" s="7">
        <v>18</v>
      </c>
      <c r="AA11" s="7">
        <f t="shared" si="0"/>
        <v>22</v>
      </c>
      <c r="AB11" s="7"/>
      <c r="AC11" s="7"/>
      <c r="AD11" s="7">
        <v>0</v>
      </c>
      <c r="AE11" s="7">
        <v>0</v>
      </c>
      <c r="AF11" s="7">
        <v>0</v>
      </c>
      <c r="AG11" s="5">
        <v>2</v>
      </c>
      <c r="AH11" s="7">
        <v>22</v>
      </c>
      <c r="AI11" s="7">
        <v>2</v>
      </c>
      <c r="AJ11" s="7">
        <v>1</v>
      </c>
    </row>
    <row r="12" spans="1:36" customFormat="1" ht="15.75" x14ac:dyDescent="0.25">
      <c r="A12" s="5">
        <v>211</v>
      </c>
      <c r="B12" s="10" t="s">
        <v>42</v>
      </c>
      <c r="C12" s="13" t="s">
        <v>46</v>
      </c>
      <c r="D12" s="10" t="s">
        <v>44</v>
      </c>
      <c r="E12" s="5" t="s">
        <v>43</v>
      </c>
      <c r="F12" s="6">
        <v>2</v>
      </c>
      <c r="G12" s="6">
        <v>1</v>
      </c>
      <c r="H12" s="7">
        <v>0</v>
      </c>
      <c r="I12" s="7">
        <v>4</v>
      </c>
      <c r="J12" s="7">
        <v>3</v>
      </c>
      <c r="K12" s="7">
        <v>0</v>
      </c>
      <c r="L12" s="7">
        <v>4</v>
      </c>
      <c r="M12" s="7">
        <v>3</v>
      </c>
      <c r="N12" s="7">
        <v>0</v>
      </c>
      <c r="O12" s="7">
        <v>4</v>
      </c>
      <c r="P12" s="7">
        <v>3</v>
      </c>
      <c r="Q12" s="7">
        <f t="shared" si="1"/>
        <v>7</v>
      </c>
      <c r="R12" s="7">
        <v>0</v>
      </c>
      <c r="S12" s="7">
        <v>5</v>
      </c>
      <c r="T12" s="7">
        <v>1</v>
      </c>
      <c r="U12" s="7">
        <v>0</v>
      </c>
      <c r="V12" s="7">
        <v>5</v>
      </c>
      <c r="W12" s="7">
        <v>1</v>
      </c>
      <c r="X12" s="7">
        <v>0</v>
      </c>
      <c r="Y12" s="7">
        <v>5</v>
      </c>
      <c r="Z12" s="7">
        <v>1</v>
      </c>
      <c r="AA12" s="7">
        <f t="shared" si="0"/>
        <v>6</v>
      </c>
      <c r="AB12" s="7"/>
      <c r="AC12" s="7"/>
      <c r="AD12" s="7">
        <v>0</v>
      </c>
      <c r="AE12" s="7">
        <v>0</v>
      </c>
      <c r="AF12" s="7">
        <v>0</v>
      </c>
      <c r="AG12" s="5">
        <v>1</v>
      </c>
      <c r="AH12" s="7">
        <v>19</v>
      </c>
      <c r="AI12" s="7">
        <v>2</v>
      </c>
      <c r="AJ12" s="7">
        <v>1</v>
      </c>
    </row>
    <row r="13" spans="1:36" customFormat="1" ht="15.75" x14ac:dyDescent="0.25">
      <c r="A13" s="5">
        <v>212</v>
      </c>
      <c r="B13" s="10" t="s">
        <v>42</v>
      </c>
      <c r="C13" s="13" t="s">
        <v>46</v>
      </c>
      <c r="D13" s="10" t="s">
        <v>44</v>
      </c>
      <c r="E13" s="5" t="s">
        <v>43</v>
      </c>
      <c r="F13" s="6">
        <v>1</v>
      </c>
      <c r="G13" s="6">
        <v>1</v>
      </c>
      <c r="H13" s="7">
        <v>0</v>
      </c>
      <c r="I13" s="7">
        <v>7</v>
      </c>
      <c r="J13" s="7">
        <v>2</v>
      </c>
      <c r="K13" s="7">
        <v>0</v>
      </c>
      <c r="L13" s="7">
        <v>7</v>
      </c>
      <c r="M13" s="7">
        <v>2</v>
      </c>
      <c r="N13" s="7">
        <v>0</v>
      </c>
      <c r="O13" s="7">
        <v>7</v>
      </c>
      <c r="P13" s="7">
        <v>2</v>
      </c>
      <c r="Q13" s="7">
        <f t="shared" si="1"/>
        <v>9</v>
      </c>
      <c r="R13" s="7">
        <v>1</v>
      </c>
      <c r="S13" s="7">
        <v>19</v>
      </c>
      <c r="T13" s="7">
        <v>20</v>
      </c>
      <c r="U13" s="7">
        <v>1</v>
      </c>
      <c r="V13" s="7">
        <v>19</v>
      </c>
      <c r="W13" s="7">
        <v>20</v>
      </c>
      <c r="X13" s="7">
        <v>1</v>
      </c>
      <c r="Y13" s="7">
        <v>19</v>
      </c>
      <c r="Z13" s="7">
        <v>20</v>
      </c>
      <c r="AA13" s="7">
        <f t="shared" si="0"/>
        <v>40</v>
      </c>
      <c r="AB13" s="7"/>
      <c r="AC13" s="7"/>
      <c r="AD13" s="7">
        <v>0</v>
      </c>
      <c r="AE13" s="7">
        <v>0</v>
      </c>
      <c r="AF13" s="7">
        <v>0</v>
      </c>
      <c r="AG13" s="5">
        <v>2</v>
      </c>
      <c r="AH13" s="7">
        <v>25</v>
      </c>
      <c r="AI13" s="7">
        <v>2</v>
      </c>
      <c r="AJ13" s="7">
        <v>1</v>
      </c>
    </row>
    <row r="14" spans="1:36" customFormat="1" ht="15.75" x14ac:dyDescent="0.25">
      <c r="A14" s="5">
        <v>213</v>
      </c>
      <c r="B14" s="10" t="s">
        <v>42</v>
      </c>
      <c r="C14" s="13" t="s">
        <v>46</v>
      </c>
      <c r="D14" s="10" t="s">
        <v>44</v>
      </c>
      <c r="E14" s="5" t="s">
        <v>43</v>
      </c>
      <c r="F14" s="6">
        <v>2</v>
      </c>
      <c r="G14" s="6">
        <v>3</v>
      </c>
      <c r="H14" s="7">
        <v>0</v>
      </c>
      <c r="I14" s="7">
        <v>5</v>
      </c>
      <c r="J14" s="7">
        <v>2</v>
      </c>
      <c r="K14" s="7">
        <v>0</v>
      </c>
      <c r="L14" s="7">
        <v>5</v>
      </c>
      <c r="M14" s="7">
        <v>2</v>
      </c>
      <c r="N14" s="7">
        <v>0</v>
      </c>
      <c r="O14" s="7">
        <v>5</v>
      </c>
      <c r="P14" s="7">
        <v>2</v>
      </c>
      <c r="Q14" s="7">
        <f t="shared" si="1"/>
        <v>7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f t="shared" si="0"/>
        <v>0</v>
      </c>
      <c r="AB14" s="7"/>
      <c r="AC14" s="7"/>
      <c r="AD14" s="7">
        <v>0</v>
      </c>
      <c r="AE14" s="7">
        <v>0</v>
      </c>
      <c r="AF14" s="7">
        <v>0</v>
      </c>
      <c r="AG14" s="7">
        <v>1</v>
      </c>
      <c r="AH14" s="7">
        <v>26</v>
      </c>
      <c r="AI14" s="7">
        <v>1</v>
      </c>
      <c r="AJ14" s="7">
        <v>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F3613-99E2-461F-9DBC-FF59E3025906}">
  <dimension ref="A1:A2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38</v>
      </c>
    </row>
    <row r="2" spans="1:1" x14ac:dyDescent="0.25">
      <c r="A2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A6" sqref="A6:XFD9"/>
    </sheetView>
  </sheetViews>
  <sheetFormatPr defaultColWidth="8.85546875" defaultRowHeight="15" x14ac:dyDescent="0.25"/>
  <sheetData>
    <row r="1" spans="1:3" x14ac:dyDescent="0.25">
      <c r="A1" s="3" t="s">
        <v>32</v>
      </c>
    </row>
    <row r="2" spans="1:3" x14ac:dyDescent="0.25">
      <c r="A2" s="1"/>
      <c r="B2" s="1" t="s">
        <v>33</v>
      </c>
      <c r="C2" s="1" t="s">
        <v>34</v>
      </c>
    </row>
    <row r="3" spans="1:3" x14ac:dyDescent="0.25">
      <c r="A3" s="1" t="s">
        <v>35</v>
      </c>
      <c r="B3" s="2" t="e">
        <f>AVERAGEIF(testdata!$F$2:$F$7, "Concentration", testdata!#REF!)</f>
        <v>#REF!</v>
      </c>
      <c r="C3" s="2" t="e">
        <f>AVERAGEIF(testdata!$F$2:$F$7, "Suppression", testdata!#REF!)</f>
        <v>#REF!</v>
      </c>
    </row>
    <row r="4" spans="1:3" x14ac:dyDescent="0.25">
      <c r="A4" s="1" t="s">
        <v>36</v>
      </c>
      <c r="B4" s="2" t="e">
        <f>AVERAGEIF(testdata!$F$2:$F$7, "Concentration", testdata!#REF!)</f>
        <v>#REF!</v>
      </c>
      <c r="C4" s="2" t="e">
        <f>AVERAGEIF(testdata!$F$2:$F$7, "Suppression", testdata!#REF!)</f>
        <v>#REF!</v>
      </c>
    </row>
    <row r="6" spans="1:3" x14ac:dyDescent="0.25">
      <c r="A6" s="3" t="s">
        <v>37</v>
      </c>
    </row>
    <row r="7" spans="1:3" x14ac:dyDescent="0.25">
      <c r="A7" s="1"/>
      <c r="B7" s="1" t="s">
        <v>33</v>
      </c>
      <c r="C7" s="1" t="s">
        <v>34</v>
      </c>
    </row>
    <row r="8" spans="1:3" x14ac:dyDescent="0.25">
      <c r="A8" s="1" t="s">
        <v>35</v>
      </c>
      <c r="B8" s="2" t="e">
        <f>AVERAGEIF(testdata!$F$2:$F$7, "Concentration", testdata!#REF!)</f>
        <v>#REF!</v>
      </c>
      <c r="C8" s="2" t="e">
        <f>AVERAGEIF(testdata!$F$2:$F$7, "Suppression", testdata!#REF!)</f>
        <v>#REF!</v>
      </c>
    </row>
    <row r="9" spans="1:3" x14ac:dyDescent="0.25">
      <c r="A9" s="1" t="s">
        <v>36</v>
      </c>
      <c r="B9" s="2" t="e">
        <f>AVERAGEIF(testdata!$F$2:$F$7, "Concentration", testdata!#REF!)</f>
        <v>#REF!</v>
      </c>
      <c r="C9" s="2" t="e">
        <f>AVERAGEIF(testdata!$F$2:$F$7,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Data cleaning notes</vt:lpstr>
      <vt:lpstr>summarystats</vt:lpstr>
    </vt:vector>
  </TitlesOfParts>
  <Manager/>
  <Company>James Cook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Kaiqin Chan</dc:creator>
  <cp:keywords/>
  <dc:description/>
  <cp:lastModifiedBy>Kaiqin Chan</cp:lastModifiedBy>
  <cp:revision/>
  <dcterms:created xsi:type="dcterms:W3CDTF">2021-09-08T01:10:42Z</dcterms:created>
  <dcterms:modified xsi:type="dcterms:W3CDTF">2025-08-20T03:26:19Z</dcterms:modified>
  <cp:category/>
  <cp:contentStatus/>
</cp:coreProperties>
</file>