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D8127352-DA5D-4D7A-9E3B-5C91439C155E}" xr6:coauthVersionLast="47" xr6:coauthVersionMax="47" xr10:uidLastSave="{00000000-0000-0000-0000-000000000000}"/>
  <bookViews>
    <workbookView xWindow="5400" yWindow="2055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W6TxJm+8vMTfFlR9yedbiyDTuUVgY4rhzBjcIcVRJ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29" i="1"/>
  <c r="AI29" i="1"/>
  <c r="AH29" i="1"/>
  <c r="AG29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<sst xmlns="http://schemas.openxmlformats.org/spreadsheetml/2006/main" count="485" uniqueCount="54">
  <si>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</si>
  <si>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</si>
  <si>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</si>
  <si>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</si>
  <si>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</si>
  <si>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</si>
  <si>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</si>
  <si>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</si>
  <si>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</si>
  <si>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</si>
  <si>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</si>
  <si>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</si>
  <si>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</si>
  <si>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</si>
  <si>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</si>
  <si>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</si>
  <si>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</si>
  <si>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</si>
  <si>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</si>
  <si>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</si>
  <si>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</si>
  <si>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</si>
  <si>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</si>
  <si>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</si>
  <si>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</si>
  <si>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</si>
  <si>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</si>
  <si>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</si>
  <si>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</si>
  <si>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</si>
  <si>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</si>
  <si>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</si>
  <si>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</si>
  <si>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</si>
  <si>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</si>
  <si>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</si>
  <si>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</si>
  <si>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</si>
  <si>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</si>
  <si>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</si>
  <si>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</si>
  <si>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</si>
  <si>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</si>
  <si>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</si>
  <si>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</si>
  <si>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</si>
  <si>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</si>
  <si>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</si>
  <si>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</si>
  <si>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Richard Lopez </t>
  </si>
  <si>
    <t>USA</t>
  </si>
  <si>
    <t>Worcester Polytechnic Institute</t>
  </si>
  <si>
    <t>Table.citation</t>
  </si>
  <si>
    <t>Lopez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</si>
</sst>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5" fillId="0" borderId="1" xfId="0" applyFont="1" applyFill="1" applyBorder="1"/>
    <xf numFmtId="0" fontId="5" fillId="0" borderId="1" xfId="0" applyFont="1" applyFill="1" applyBorder="1" applyAlignment="1"/>
    <xf numFmtId="0" fontId="5" fillId="0" borderId="0" xfId="0" applyFont="1" applyFill="1" applyAlignment="1">
      <alignment horizontal="right"/>
    </xf>
    <xf numFmtId="0" fontId="5" fillId="0" borderId="1" xfId="0" applyFont="1" applyFill="1" applyBorder="1" applyAlignment="1">
      <alignment horizontal="right"/>
    </xf>
    <xf numFmtId="0" fontId="5" fillId="0" borderId="0" xfId="0" applyFont="1" applyFill="1" applyAlignme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1" fillId="0" borderId="1" xfId="0" applyFont="1" applyBorder="1"/>
    <xf numFmtId="2" fontId="5" fillId="0" borderId="1" xfId="0" applyNumberFormat="1" applyFont="1" applyFill="1" applyBorder="1" applyAlignment="1">
      <alignment horizontal="right"/>
    </xf>
    <xf numFmtId="2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9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5" width="14.85546875" customWidth="1"/>
    <col min="6" max="6" width="12.85546875" customWidth="1"/>
    <col min="7" max="7" width="13.85546875" customWidth="1"/>
    <col min="8" max="8" width="21.140625" customWidth="1"/>
    <col min="9" max="9" width="20.7109375" customWidth="1"/>
    <col min="10" max="10" width="20.42578125" customWidth="1"/>
    <col min="11" max="11" width="21" customWidth="1"/>
    <col min="12" max="12" width="20.85546875" customWidth="1"/>
    <col min="13" max="13" width="24" customWidth="1"/>
    <col min="14" max="14" width="23.7109375" customWidth="1"/>
    <col min="15" max="15" width="24.7109375" customWidth="1"/>
    <col min="16" max="16" width="25.28515625" customWidth="1"/>
    <col min="17" max="17" width="21" customWidth="1"/>
    <col min="18" max="18" width="20.7109375" customWidth="1"/>
    <col min="19" max="20" width="21.42578125" customWidth="1"/>
    <col min="21" max="21" width="24.42578125" customWidth="1"/>
    <col min="22" max="22" width="24.7109375" customWidth="1"/>
    <col min="23" max="23" width="25.28515625" customWidth="1"/>
    <col min="24" max="24" width="25.7109375" customWidth="1"/>
    <col min="25" max="26" width="18.42578125" customWidth="1"/>
    <col min="27" max="28" width="19.140625" customWidth="1"/>
    <col min="29" max="30" width="22.140625" customWidth="1"/>
    <col min="31" max="31" width="22.42578125" customWidth="1"/>
    <col min="32" max="32" width="23" customWidth="1"/>
    <col min="33" max="33" width="18.140625" customWidth="1"/>
    <col min="34" max="34" width="18.42578125" customWidth="1"/>
    <col min="35" max="35" width="21.28515625" customWidth="1"/>
    <col min="36" max="36" width="22.140625" customWidth="1"/>
    <col min="37" max="37" width="14.28515625" customWidth="1"/>
    <col min="38" max="38" width="13.42578125" customWidth="1"/>
    <col min="39" max="39" width="12.42578125" customWidth="1"/>
    <col min="40" max="42" width="8.85546875" customWidth="1"/>
    <col min="43" max="43" width="14.140625" customWidth="1"/>
  </cols>
  <sheetData>
    <row r="1" spans="1:43" x14ac:dyDescent="0.25">
      <c r="A1" s="4" t="s">
        <v>0</v>
      </c>
      <c r="B1" s="9" t="s">
        <v>46</v>
      </c>
      <c r="C1" s="11" t="s">
        <v>52</v>
      </c>
      <c r="D1" s="9" t="s">
        <v>47</v>
      </c>
      <c r="E1" s="9" t="s">
        <v>48</v>
      </c>
      <c r="F1" s="12" t="s">
        <v>1</v>
      </c>
      <c r="G1" s="12" t="s">
        <v>2</v>
      </c>
      <c r="H1" s="12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5.75" customHeight="1" x14ac:dyDescent="0.25">
      <c r="A2" s="7">
        <v>121</v>
      </c>
      <c r="B2" s="10" t="s">
        <v>49</v>
      </c>
      <c r="C2" s="10" t="s">
        <v>53</v>
      </c>
      <c r="D2" s="13" t="s">
        <v>51</v>
      </c>
      <c r="E2" s="9" t="s">
        <v>50</v>
      </c>
      <c r="F2" s="4">
        <v>1</v>
      </c>
      <c r="G2" s="4">
        <v>4</v>
      </c>
      <c r="H2" s="4">
        <v>1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1</v>
      </c>
      <c r="AG2" s="14">
        <f t="shared" ref="AG2:AG89" si="0">AVERAGE(Y2:Z2)</f>
        <v>0</v>
      </c>
      <c r="AH2" s="14">
        <f t="shared" ref="AH2:AH89" si="1">AVERAGE(AA2:AB2)</f>
        <v>0</v>
      </c>
      <c r="AI2" s="14">
        <f t="shared" ref="AI2:AI89" si="2">AVERAGE(AC2:AD2)</f>
        <v>0</v>
      </c>
      <c r="AJ2" s="14">
        <f t="shared" ref="AJ2:AJ89" si="3">AVERAGE(AE2:AF2)</f>
        <v>0.5</v>
      </c>
      <c r="AK2" s="5">
        <v>0</v>
      </c>
      <c r="AL2" s="5">
        <v>0</v>
      </c>
      <c r="AM2" s="5">
        <v>0</v>
      </c>
      <c r="AN2" s="4">
        <v>2</v>
      </c>
      <c r="AO2" s="4">
        <v>21</v>
      </c>
      <c r="AP2" s="4">
        <v>1</v>
      </c>
      <c r="AQ2" s="5">
        <v>1</v>
      </c>
    </row>
    <row r="3" spans="1:43" x14ac:dyDescent="0.25">
      <c r="A3" s="4">
        <v>122</v>
      </c>
      <c r="B3" s="10" t="s">
        <v>49</v>
      </c>
      <c r="C3" s="10" t="s">
        <v>53</v>
      </c>
      <c r="D3" s="13" t="s">
        <v>51</v>
      </c>
      <c r="E3" s="9" t="s">
        <v>50</v>
      </c>
      <c r="F3" s="4">
        <v>1</v>
      </c>
      <c r="G3" s="4">
        <v>3</v>
      </c>
      <c r="H3" s="4">
        <v>2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1</v>
      </c>
      <c r="X3" s="7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0</v>
      </c>
      <c r="AG3" s="14">
        <f t="shared" si="0"/>
        <v>0</v>
      </c>
      <c r="AH3" s="14">
        <f t="shared" si="1"/>
        <v>0</v>
      </c>
      <c r="AI3" s="14">
        <f t="shared" si="2"/>
        <v>0</v>
      </c>
      <c r="AJ3" s="14">
        <f t="shared" si="3"/>
        <v>0.5</v>
      </c>
      <c r="AK3" s="5">
        <v>0</v>
      </c>
      <c r="AL3" s="5">
        <v>0</v>
      </c>
      <c r="AM3" s="5">
        <v>0</v>
      </c>
      <c r="AN3" s="4">
        <v>2</v>
      </c>
      <c r="AO3" s="4">
        <v>20</v>
      </c>
      <c r="AP3" s="4">
        <v>2</v>
      </c>
      <c r="AQ3" s="5">
        <v>1</v>
      </c>
    </row>
    <row r="4" spans="1:43" x14ac:dyDescent="0.25">
      <c r="A4" s="7">
        <v>123</v>
      </c>
      <c r="B4" s="10" t="s">
        <v>49</v>
      </c>
      <c r="C4" s="10" t="s">
        <v>53</v>
      </c>
      <c r="D4" s="13" t="s">
        <v>51</v>
      </c>
      <c r="E4" s="9" t="s">
        <v>50</v>
      </c>
      <c r="F4" s="4">
        <v>1</v>
      </c>
      <c r="G4" s="4">
        <v>2</v>
      </c>
      <c r="H4" s="4">
        <v>1</v>
      </c>
      <c r="I4" s="6">
        <v>1</v>
      </c>
      <c r="J4" s="6">
        <v>1</v>
      </c>
      <c r="K4" s="6">
        <v>1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7">
        <v>1</v>
      </c>
      <c r="R4" s="7">
        <v>1</v>
      </c>
      <c r="S4" s="7">
        <v>1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6">
        <v>1</v>
      </c>
      <c r="Z4" s="6">
        <v>1</v>
      </c>
      <c r="AA4" s="6">
        <v>1</v>
      </c>
      <c r="AB4" s="6">
        <v>1</v>
      </c>
      <c r="AC4" s="6">
        <v>0</v>
      </c>
      <c r="AD4" s="6">
        <v>0</v>
      </c>
      <c r="AE4" s="6">
        <v>0</v>
      </c>
      <c r="AF4" s="6">
        <v>0</v>
      </c>
      <c r="AG4" s="14">
        <f t="shared" si="0"/>
        <v>1</v>
      </c>
      <c r="AH4" s="14">
        <f t="shared" si="1"/>
        <v>1</v>
      </c>
      <c r="AI4" s="14">
        <f t="shared" si="2"/>
        <v>0</v>
      </c>
      <c r="AJ4" s="14">
        <f t="shared" si="3"/>
        <v>0</v>
      </c>
      <c r="AK4" s="5">
        <v>0</v>
      </c>
      <c r="AL4" s="5">
        <v>0</v>
      </c>
      <c r="AM4" s="5">
        <v>0</v>
      </c>
      <c r="AN4" s="4">
        <v>2</v>
      </c>
      <c r="AO4" s="4">
        <v>17</v>
      </c>
      <c r="AP4" s="4">
        <v>1</v>
      </c>
      <c r="AQ4" s="5">
        <v>1</v>
      </c>
    </row>
    <row r="5" spans="1:43" x14ac:dyDescent="0.25">
      <c r="A5" s="7">
        <v>124</v>
      </c>
      <c r="B5" s="10" t="s">
        <v>49</v>
      </c>
      <c r="C5" s="10" t="s">
        <v>53</v>
      </c>
      <c r="D5" s="13" t="s">
        <v>51</v>
      </c>
      <c r="E5" s="9" t="s">
        <v>50</v>
      </c>
      <c r="F5" s="4">
        <v>2</v>
      </c>
      <c r="G5" s="4">
        <v>2</v>
      </c>
      <c r="H5" s="4">
        <v>2</v>
      </c>
      <c r="I5" s="6">
        <v>1</v>
      </c>
      <c r="J5" s="6">
        <v>0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7">
        <v>1</v>
      </c>
      <c r="R5" s="7">
        <v>0</v>
      </c>
      <c r="S5" s="7">
        <v>0</v>
      </c>
      <c r="T5" s="7">
        <v>0</v>
      </c>
      <c r="U5" s="7">
        <v>1</v>
      </c>
      <c r="V5" s="7">
        <v>0</v>
      </c>
      <c r="W5" s="7">
        <v>0</v>
      </c>
      <c r="X5" s="7">
        <v>0</v>
      </c>
      <c r="Y5" s="6">
        <v>1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14">
        <f t="shared" si="0"/>
        <v>0.5</v>
      </c>
      <c r="AH5" s="14">
        <f t="shared" si="1"/>
        <v>0</v>
      </c>
      <c r="AI5" s="14">
        <f t="shared" si="2"/>
        <v>0.5</v>
      </c>
      <c r="AJ5" s="14">
        <f t="shared" si="3"/>
        <v>0</v>
      </c>
      <c r="AK5" s="5">
        <v>0</v>
      </c>
      <c r="AL5" s="5">
        <v>0</v>
      </c>
      <c r="AM5" s="5">
        <v>0</v>
      </c>
      <c r="AN5" s="4">
        <v>1</v>
      </c>
      <c r="AO5" s="4">
        <v>17</v>
      </c>
      <c r="AP5" s="4">
        <v>1</v>
      </c>
      <c r="AQ5" s="5">
        <v>1</v>
      </c>
    </row>
    <row r="6" spans="1:43" x14ac:dyDescent="0.25">
      <c r="A6" s="7">
        <v>125</v>
      </c>
      <c r="B6" s="10" t="s">
        <v>49</v>
      </c>
      <c r="C6" s="10" t="s">
        <v>53</v>
      </c>
      <c r="D6" s="13" t="s">
        <v>51</v>
      </c>
      <c r="E6" s="9" t="s">
        <v>50</v>
      </c>
      <c r="F6" s="4">
        <v>2</v>
      </c>
      <c r="G6" s="4">
        <v>4</v>
      </c>
      <c r="H6" s="4">
        <v>1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>
        <v>0</v>
      </c>
      <c r="R6" s="7">
        <v>0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6">
        <v>0</v>
      </c>
      <c r="Z6" s="6">
        <v>0</v>
      </c>
      <c r="AA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14">
        <f t="shared" si="0"/>
        <v>0</v>
      </c>
      <c r="AH6" s="14">
        <f t="shared" si="1"/>
        <v>0.5</v>
      </c>
      <c r="AI6" s="14">
        <f t="shared" si="2"/>
        <v>0</v>
      </c>
      <c r="AJ6" s="14">
        <f t="shared" si="3"/>
        <v>0</v>
      </c>
      <c r="AK6" s="5">
        <v>1</v>
      </c>
      <c r="AL6" s="5">
        <v>1</v>
      </c>
      <c r="AM6" s="5">
        <v>1</v>
      </c>
      <c r="AN6" s="4">
        <v>2</v>
      </c>
      <c r="AO6" s="4">
        <v>20</v>
      </c>
      <c r="AP6" s="4">
        <v>2</v>
      </c>
      <c r="AQ6" s="5">
        <v>1</v>
      </c>
    </row>
    <row r="7" spans="1:43" x14ac:dyDescent="0.25">
      <c r="A7" s="7">
        <v>126</v>
      </c>
      <c r="B7" s="10" t="s">
        <v>49</v>
      </c>
      <c r="C7" s="10" t="s">
        <v>53</v>
      </c>
      <c r="D7" s="13" t="s">
        <v>51</v>
      </c>
      <c r="E7" s="9" t="s">
        <v>50</v>
      </c>
      <c r="F7" s="4">
        <v>2</v>
      </c>
      <c r="G7" s="4">
        <v>1</v>
      </c>
      <c r="H7" s="4">
        <v>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1</v>
      </c>
      <c r="AG7" s="14">
        <f t="shared" si="0"/>
        <v>0</v>
      </c>
      <c r="AH7" s="14">
        <f t="shared" si="1"/>
        <v>0</v>
      </c>
      <c r="AI7" s="14">
        <f t="shared" si="2"/>
        <v>0</v>
      </c>
      <c r="AJ7" s="14">
        <f t="shared" si="3"/>
        <v>0.5</v>
      </c>
      <c r="AK7" s="5">
        <v>0</v>
      </c>
      <c r="AL7" s="5">
        <v>0</v>
      </c>
      <c r="AM7" s="5">
        <v>0</v>
      </c>
      <c r="AN7" s="4">
        <v>1</v>
      </c>
      <c r="AO7" s="4">
        <v>23</v>
      </c>
      <c r="AP7" s="4">
        <v>2</v>
      </c>
      <c r="AQ7" s="5">
        <v>1</v>
      </c>
    </row>
    <row r="8" spans="1:43" x14ac:dyDescent="0.25">
      <c r="A8" s="7">
        <v>127</v>
      </c>
      <c r="B8" s="10" t="s">
        <v>49</v>
      </c>
      <c r="C8" s="10" t="s">
        <v>53</v>
      </c>
      <c r="D8" s="13" t="s">
        <v>51</v>
      </c>
      <c r="E8" s="9" t="s">
        <v>50</v>
      </c>
      <c r="F8" s="4">
        <v>2</v>
      </c>
      <c r="G8" s="4">
        <v>2</v>
      </c>
      <c r="H8" s="4">
        <v>2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>
        <v>0</v>
      </c>
      <c r="R8" s="7">
        <v>0</v>
      </c>
      <c r="S8" s="7">
        <v>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6">
        <v>0</v>
      </c>
      <c r="Z8" s="6">
        <v>0</v>
      </c>
      <c r="AA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14">
        <f t="shared" si="0"/>
        <v>0</v>
      </c>
      <c r="AH8" s="14">
        <f t="shared" si="1"/>
        <v>0.5</v>
      </c>
      <c r="AI8" s="14">
        <f t="shared" si="2"/>
        <v>0</v>
      </c>
      <c r="AJ8" s="14">
        <f t="shared" si="3"/>
        <v>0</v>
      </c>
      <c r="AK8" s="5">
        <v>0</v>
      </c>
      <c r="AL8" s="5">
        <v>0</v>
      </c>
      <c r="AM8" s="5">
        <v>0</v>
      </c>
      <c r="AN8" s="4">
        <v>1</v>
      </c>
      <c r="AO8" s="4">
        <v>21</v>
      </c>
      <c r="AP8" s="4">
        <v>1</v>
      </c>
      <c r="AQ8" s="5">
        <v>1</v>
      </c>
    </row>
    <row r="9" spans="1:43" x14ac:dyDescent="0.25">
      <c r="A9" s="7">
        <v>128</v>
      </c>
      <c r="B9" s="10" t="s">
        <v>49</v>
      </c>
      <c r="C9" s="10" t="s">
        <v>53</v>
      </c>
      <c r="D9" s="13" t="s">
        <v>51</v>
      </c>
      <c r="E9" s="9" t="s">
        <v>50</v>
      </c>
      <c r="F9" s="4">
        <v>1</v>
      </c>
      <c r="G9" s="4">
        <v>3</v>
      </c>
      <c r="H9" s="4">
        <v>2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14">
        <f t="shared" si="0"/>
        <v>0</v>
      </c>
      <c r="AH9" s="14">
        <f t="shared" si="1"/>
        <v>0</v>
      </c>
      <c r="AI9" s="14">
        <f t="shared" si="2"/>
        <v>0</v>
      </c>
      <c r="AJ9" s="14">
        <f t="shared" si="3"/>
        <v>0</v>
      </c>
      <c r="AK9" s="5">
        <v>0</v>
      </c>
      <c r="AL9" s="5">
        <v>0</v>
      </c>
      <c r="AM9" s="5">
        <v>0</v>
      </c>
      <c r="AN9" s="4">
        <v>2</v>
      </c>
      <c r="AO9" s="4">
        <v>20</v>
      </c>
      <c r="AP9" s="4">
        <v>1</v>
      </c>
      <c r="AQ9" s="5">
        <v>1</v>
      </c>
    </row>
    <row r="10" spans="1:43" x14ac:dyDescent="0.25">
      <c r="A10" s="7">
        <v>129</v>
      </c>
      <c r="B10" s="10" t="s">
        <v>49</v>
      </c>
      <c r="C10" s="10" t="s">
        <v>53</v>
      </c>
      <c r="D10" s="13" t="s">
        <v>51</v>
      </c>
      <c r="E10" s="9" t="s">
        <v>50</v>
      </c>
      <c r="F10" s="4">
        <v>1</v>
      </c>
      <c r="G10" s="4">
        <v>4</v>
      </c>
      <c r="H10" s="4">
        <v>2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14">
        <f t="shared" si="0"/>
        <v>0</v>
      </c>
      <c r="AH10" s="14">
        <f t="shared" si="1"/>
        <v>0</v>
      </c>
      <c r="AI10" s="14">
        <f t="shared" si="2"/>
        <v>0</v>
      </c>
      <c r="AJ10" s="14">
        <f t="shared" si="3"/>
        <v>0</v>
      </c>
      <c r="AK10" s="5">
        <v>0</v>
      </c>
      <c r="AL10" s="5">
        <v>0</v>
      </c>
      <c r="AM10" s="5">
        <v>0</v>
      </c>
      <c r="AN10" s="4">
        <v>2</v>
      </c>
      <c r="AO10" s="4">
        <v>21</v>
      </c>
      <c r="AP10" s="4">
        <v>2</v>
      </c>
      <c r="AQ10" s="5">
        <v>1</v>
      </c>
    </row>
    <row r="11" spans="1:43" x14ac:dyDescent="0.25">
      <c r="A11" s="7">
        <v>130</v>
      </c>
      <c r="B11" s="10" t="s">
        <v>49</v>
      </c>
      <c r="C11" s="10" t="s">
        <v>53</v>
      </c>
      <c r="D11" s="13" t="s">
        <v>51</v>
      </c>
      <c r="E11" s="9" t="s">
        <v>50</v>
      </c>
      <c r="F11" s="4">
        <v>2</v>
      </c>
      <c r="G11" s="4">
        <v>4</v>
      </c>
      <c r="H11" s="4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1</v>
      </c>
      <c r="AG11" s="14">
        <f t="shared" si="0"/>
        <v>0</v>
      </c>
      <c r="AH11" s="14">
        <f t="shared" si="1"/>
        <v>0</v>
      </c>
      <c r="AI11" s="14">
        <f t="shared" si="2"/>
        <v>0</v>
      </c>
      <c r="AJ11" s="14">
        <f t="shared" si="3"/>
        <v>0.5</v>
      </c>
      <c r="AK11" s="5">
        <v>0</v>
      </c>
      <c r="AL11" s="5">
        <v>0</v>
      </c>
      <c r="AM11" s="5">
        <v>0</v>
      </c>
      <c r="AN11" s="4">
        <v>1</v>
      </c>
      <c r="AO11" s="4">
        <v>20</v>
      </c>
      <c r="AP11" s="4">
        <v>2</v>
      </c>
      <c r="AQ11" s="5">
        <v>1</v>
      </c>
    </row>
    <row r="12" spans="1:43" x14ac:dyDescent="0.25">
      <c r="A12" s="7">
        <v>131</v>
      </c>
      <c r="B12" s="10" t="s">
        <v>49</v>
      </c>
      <c r="C12" s="10" t="s">
        <v>53</v>
      </c>
      <c r="D12" s="13" t="s">
        <v>51</v>
      </c>
      <c r="E12" s="9" t="s">
        <v>50</v>
      </c>
      <c r="F12" s="4">
        <v>2</v>
      </c>
      <c r="G12" s="4">
        <v>2</v>
      </c>
      <c r="H12" s="4">
        <v>2</v>
      </c>
      <c r="I12" s="6">
        <v>1</v>
      </c>
      <c r="J12" s="6">
        <v>0</v>
      </c>
      <c r="K12" s="6">
        <v>0</v>
      </c>
      <c r="L12" s="6">
        <v>1</v>
      </c>
      <c r="M12" s="6">
        <v>1</v>
      </c>
      <c r="N12" s="6">
        <v>0</v>
      </c>
      <c r="O12" s="6">
        <v>0</v>
      </c>
      <c r="P12" s="6">
        <v>0</v>
      </c>
      <c r="Q12" s="7">
        <v>1</v>
      </c>
      <c r="R12" s="7">
        <v>0</v>
      </c>
      <c r="S12" s="7">
        <v>0</v>
      </c>
      <c r="T12" s="7">
        <v>1</v>
      </c>
      <c r="U12" s="7">
        <v>1</v>
      </c>
      <c r="V12" s="7">
        <v>0</v>
      </c>
      <c r="W12" s="7">
        <v>0</v>
      </c>
      <c r="X12" s="7">
        <v>0</v>
      </c>
      <c r="Y12" s="6">
        <v>1</v>
      </c>
      <c r="Z12" s="6">
        <v>0</v>
      </c>
      <c r="AA12" s="6">
        <v>0</v>
      </c>
      <c r="AB12" s="6">
        <v>1</v>
      </c>
      <c r="AC12" s="6">
        <v>1</v>
      </c>
      <c r="AD12" s="6">
        <v>0</v>
      </c>
      <c r="AE12" s="6">
        <v>0</v>
      </c>
      <c r="AF12" s="6">
        <v>0</v>
      </c>
      <c r="AG12" s="14">
        <f t="shared" si="0"/>
        <v>0.5</v>
      </c>
      <c r="AH12" s="14">
        <f t="shared" si="1"/>
        <v>0.5</v>
      </c>
      <c r="AI12" s="14">
        <f t="shared" si="2"/>
        <v>0.5</v>
      </c>
      <c r="AJ12" s="14">
        <f t="shared" si="3"/>
        <v>0</v>
      </c>
      <c r="AK12" s="5">
        <v>0</v>
      </c>
      <c r="AL12" s="5">
        <v>0</v>
      </c>
      <c r="AM12" s="5">
        <v>0</v>
      </c>
      <c r="AN12" s="4">
        <v>1</v>
      </c>
      <c r="AO12" s="4">
        <v>19</v>
      </c>
      <c r="AP12" s="4">
        <v>1</v>
      </c>
      <c r="AQ12" s="5">
        <v>1</v>
      </c>
    </row>
    <row r="13" spans="1:43" x14ac:dyDescent="0.25">
      <c r="A13" s="7">
        <v>132</v>
      </c>
      <c r="B13" s="10" t="s">
        <v>49</v>
      </c>
      <c r="C13" s="10" t="s">
        <v>53</v>
      </c>
      <c r="D13" s="13" t="s">
        <v>51</v>
      </c>
      <c r="E13" s="9" t="s">
        <v>50</v>
      </c>
      <c r="F13" s="4">
        <v>2</v>
      </c>
      <c r="G13" s="4">
        <v>4</v>
      </c>
      <c r="H13" s="4">
        <v>2</v>
      </c>
      <c r="I13" s="6">
        <v>1</v>
      </c>
      <c r="J13" s="6">
        <v>0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7">
        <v>1</v>
      </c>
      <c r="R13" s="7">
        <v>0</v>
      </c>
      <c r="S13" s="7">
        <v>1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6">
        <v>1</v>
      </c>
      <c r="Z13" s="6">
        <v>0</v>
      </c>
      <c r="AA13" s="6">
        <v>1</v>
      </c>
      <c r="AB13" s="6">
        <v>0</v>
      </c>
      <c r="AC13" s="6">
        <v>0</v>
      </c>
      <c r="AD13" s="6">
        <v>0</v>
      </c>
      <c r="AE13" s="6">
        <v>0</v>
      </c>
      <c r="AF13" s="6">
        <v>1</v>
      </c>
      <c r="AG13" s="14">
        <f t="shared" si="0"/>
        <v>0.5</v>
      </c>
      <c r="AH13" s="14">
        <f t="shared" si="1"/>
        <v>0.5</v>
      </c>
      <c r="AI13" s="14">
        <f t="shared" si="2"/>
        <v>0</v>
      </c>
      <c r="AJ13" s="14">
        <f t="shared" si="3"/>
        <v>0.5</v>
      </c>
      <c r="AK13" s="5">
        <v>0</v>
      </c>
      <c r="AL13" s="5">
        <v>0</v>
      </c>
      <c r="AM13" s="5">
        <v>0</v>
      </c>
      <c r="AN13" s="4">
        <v>1</v>
      </c>
      <c r="AO13" s="4">
        <v>17</v>
      </c>
      <c r="AP13" s="4">
        <v>1</v>
      </c>
      <c r="AQ13" s="5">
        <v>1</v>
      </c>
    </row>
    <row r="14" spans="1:43" x14ac:dyDescent="0.25">
      <c r="A14" s="7">
        <v>133</v>
      </c>
      <c r="B14" s="10" t="s">
        <v>49</v>
      </c>
      <c r="C14" s="10" t="s">
        <v>53</v>
      </c>
      <c r="D14" s="13" t="s">
        <v>51</v>
      </c>
      <c r="E14" s="9" t="s">
        <v>50</v>
      </c>
      <c r="F14" s="4">
        <v>2</v>
      </c>
      <c r="G14" s="4">
        <v>4</v>
      </c>
      <c r="H14" s="4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14">
        <f t="shared" si="0"/>
        <v>0</v>
      </c>
      <c r="AH14" s="14">
        <f t="shared" si="1"/>
        <v>0</v>
      </c>
      <c r="AI14" s="14">
        <f t="shared" si="2"/>
        <v>0</v>
      </c>
      <c r="AJ14" s="14">
        <f t="shared" si="3"/>
        <v>0</v>
      </c>
      <c r="AK14" s="5">
        <v>1</v>
      </c>
      <c r="AL14" s="5">
        <v>1</v>
      </c>
      <c r="AM14" s="5">
        <v>1</v>
      </c>
      <c r="AN14" s="4">
        <v>2</v>
      </c>
      <c r="AO14" s="4">
        <v>19</v>
      </c>
      <c r="AP14" s="4">
        <v>2</v>
      </c>
      <c r="AQ14" s="5">
        <v>1</v>
      </c>
    </row>
    <row r="15" spans="1:43" x14ac:dyDescent="0.25">
      <c r="A15" s="7">
        <v>134</v>
      </c>
      <c r="B15" s="10" t="s">
        <v>49</v>
      </c>
      <c r="C15" s="10" t="s">
        <v>53</v>
      </c>
      <c r="D15" s="13" t="s">
        <v>51</v>
      </c>
      <c r="E15" s="9" t="s">
        <v>50</v>
      </c>
      <c r="F15" s="4">
        <v>1</v>
      </c>
      <c r="G15" s="4">
        <v>2</v>
      </c>
      <c r="H15" s="4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14">
        <f t="shared" si="0"/>
        <v>0.5</v>
      </c>
      <c r="AH15" s="14">
        <f t="shared" si="1"/>
        <v>0</v>
      </c>
      <c r="AI15" s="14">
        <f t="shared" si="2"/>
        <v>0</v>
      </c>
      <c r="AJ15" s="14">
        <f t="shared" si="3"/>
        <v>0</v>
      </c>
      <c r="AK15" s="5">
        <v>0</v>
      </c>
      <c r="AL15" s="5">
        <v>0</v>
      </c>
      <c r="AM15" s="5">
        <v>0</v>
      </c>
      <c r="AN15" s="4">
        <v>2</v>
      </c>
      <c r="AO15" s="4">
        <v>19</v>
      </c>
      <c r="AP15" s="4">
        <v>3</v>
      </c>
      <c r="AQ15" s="5">
        <v>1</v>
      </c>
    </row>
    <row r="16" spans="1:43" x14ac:dyDescent="0.25">
      <c r="A16" s="7">
        <v>135</v>
      </c>
      <c r="B16" s="10" t="s">
        <v>49</v>
      </c>
      <c r="C16" s="10" t="s">
        <v>53</v>
      </c>
      <c r="D16" s="13" t="s">
        <v>51</v>
      </c>
      <c r="E16" s="9" t="s">
        <v>50</v>
      </c>
      <c r="F16" s="4">
        <v>2</v>
      </c>
      <c r="G16" s="4">
        <v>4</v>
      </c>
      <c r="H16" s="4">
        <v>2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7">
        <v>0</v>
      </c>
      <c r="R16" s="7">
        <v>0</v>
      </c>
      <c r="S16" s="7">
        <v>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6">
        <v>0</v>
      </c>
      <c r="Z16" s="6">
        <v>0</v>
      </c>
      <c r="AA16" s="6">
        <v>1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14">
        <f t="shared" si="0"/>
        <v>0</v>
      </c>
      <c r="AH16" s="14">
        <f t="shared" si="1"/>
        <v>0.5</v>
      </c>
      <c r="AI16" s="14">
        <f t="shared" si="2"/>
        <v>0</v>
      </c>
      <c r="AJ16" s="14">
        <f t="shared" si="3"/>
        <v>0</v>
      </c>
      <c r="AK16" s="5">
        <v>0</v>
      </c>
      <c r="AL16" s="5">
        <v>0</v>
      </c>
      <c r="AM16" s="5">
        <v>0</v>
      </c>
      <c r="AN16" s="4">
        <v>1</v>
      </c>
      <c r="AO16" s="4">
        <v>21</v>
      </c>
      <c r="AP16" s="4">
        <v>2</v>
      </c>
      <c r="AQ16" s="5">
        <v>1</v>
      </c>
    </row>
    <row r="17" spans="1:43" ht="15.75" customHeight="1" x14ac:dyDescent="0.25">
      <c r="A17" s="7">
        <v>136</v>
      </c>
      <c r="B17" s="10" t="s">
        <v>49</v>
      </c>
      <c r="C17" s="10" t="s">
        <v>53</v>
      </c>
      <c r="D17" s="13" t="s">
        <v>51</v>
      </c>
      <c r="E17" s="9" t="s">
        <v>50</v>
      </c>
      <c r="F17" s="4">
        <v>2</v>
      </c>
      <c r="G17" s="4">
        <v>4</v>
      </c>
      <c r="H17" s="4">
        <v>1</v>
      </c>
      <c r="I17" s="6">
        <v>0</v>
      </c>
      <c r="J17" s="6">
        <v>0</v>
      </c>
      <c r="K17" s="6">
        <v>1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7">
        <v>0</v>
      </c>
      <c r="R17" s="7">
        <v>0</v>
      </c>
      <c r="S17" s="7">
        <v>1</v>
      </c>
      <c r="T17" s="7">
        <v>0</v>
      </c>
      <c r="U17" s="7">
        <v>1</v>
      </c>
      <c r="V17" s="7">
        <v>0</v>
      </c>
      <c r="W17" s="7">
        <v>0</v>
      </c>
      <c r="X17" s="7">
        <v>0</v>
      </c>
      <c r="Y17" s="6">
        <v>0</v>
      </c>
      <c r="Z17" s="6">
        <v>0</v>
      </c>
      <c r="AA17" s="6">
        <v>1</v>
      </c>
      <c r="AB17" s="6">
        <v>0</v>
      </c>
      <c r="AC17" s="6">
        <v>1</v>
      </c>
      <c r="AD17" s="6">
        <v>0</v>
      </c>
      <c r="AE17" s="6">
        <v>0</v>
      </c>
      <c r="AF17" s="6">
        <v>0</v>
      </c>
      <c r="AG17" s="14">
        <f t="shared" si="0"/>
        <v>0</v>
      </c>
      <c r="AH17" s="14">
        <f t="shared" si="1"/>
        <v>0.5</v>
      </c>
      <c r="AI17" s="14">
        <f t="shared" si="2"/>
        <v>0.5</v>
      </c>
      <c r="AJ17" s="14">
        <f t="shared" si="3"/>
        <v>0</v>
      </c>
      <c r="AK17" s="5">
        <v>0</v>
      </c>
      <c r="AL17" s="5">
        <v>0</v>
      </c>
      <c r="AM17" s="5">
        <v>0</v>
      </c>
      <c r="AN17" s="4">
        <v>1</v>
      </c>
      <c r="AO17" s="4">
        <v>18</v>
      </c>
      <c r="AP17" s="4">
        <v>2</v>
      </c>
      <c r="AQ17" s="5">
        <v>1</v>
      </c>
    </row>
    <row r="18" spans="1:43" ht="15.75" customHeight="1" x14ac:dyDescent="0.25">
      <c r="A18" s="7">
        <v>137</v>
      </c>
      <c r="B18" s="10" t="s">
        <v>49</v>
      </c>
      <c r="C18" s="10" t="s">
        <v>53</v>
      </c>
      <c r="D18" s="13" t="s">
        <v>51</v>
      </c>
      <c r="E18" s="9" t="s">
        <v>50</v>
      </c>
      <c r="F18" s="4">
        <v>2</v>
      </c>
      <c r="G18" s="4">
        <v>4</v>
      </c>
      <c r="H18" s="4">
        <v>2</v>
      </c>
      <c r="I18" s="6">
        <v>0</v>
      </c>
      <c r="J18" s="6">
        <v>0</v>
      </c>
      <c r="K18" s="6">
        <v>0</v>
      </c>
      <c r="L18" s="6">
        <v>1</v>
      </c>
      <c r="M18" s="6">
        <v>1</v>
      </c>
      <c r="N18" s="6">
        <v>0</v>
      </c>
      <c r="O18" s="6">
        <v>0</v>
      </c>
      <c r="P18" s="6">
        <v>0</v>
      </c>
      <c r="Q18" s="7">
        <v>0</v>
      </c>
      <c r="R18" s="7">
        <v>0</v>
      </c>
      <c r="S18" s="7">
        <v>0</v>
      </c>
      <c r="T18" s="7">
        <v>1</v>
      </c>
      <c r="U18" s="7">
        <v>1</v>
      </c>
      <c r="V18" s="7">
        <v>0</v>
      </c>
      <c r="W18" s="7">
        <v>0</v>
      </c>
      <c r="X18" s="7">
        <v>0</v>
      </c>
      <c r="Y18" s="6">
        <v>0</v>
      </c>
      <c r="Z18" s="6">
        <v>0</v>
      </c>
      <c r="AA18" s="6">
        <v>0</v>
      </c>
      <c r="AB18" s="6">
        <v>1</v>
      </c>
      <c r="AC18" s="6">
        <v>1</v>
      </c>
      <c r="AD18" s="6">
        <v>0</v>
      </c>
      <c r="AE18" s="6">
        <v>0</v>
      </c>
      <c r="AF18" s="6">
        <v>0</v>
      </c>
      <c r="AG18" s="14">
        <f t="shared" si="0"/>
        <v>0</v>
      </c>
      <c r="AH18" s="14">
        <f t="shared" si="1"/>
        <v>0.5</v>
      </c>
      <c r="AI18" s="14">
        <f t="shared" si="2"/>
        <v>0.5</v>
      </c>
      <c r="AJ18" s="14">
        <f t="shared" si="3"/>
        <v>0</v>
      </c>
      <c r="AK18" s="5">
        <v>0</v>
      </c>
      <c r="AL18" s="5">
        <v>0</v>
      </c>
      <c r="AM18" s="5">
        <v>0</v>
      </c>
      <c r="AN18" s="4">
        <v>1</v>
      </c>
      <c r="AO18" s="4">
        <v>18</v>
      </c>
      <c r="AP18" s="4">
        <v>1</v>
      </c>
      <c r="AQ18" s="5">
        <v>1</v>
      </c>
    </row>
    <row r="19" spans="1:43" ht="15.75" customHeight="1" x14ac:dyDescent="0.25">
      <c r="A19" s="7">
        <v>138</v>
      </c>
      <c r="B19" s="10" t="s">
        <v>49</v>
      </c>
      <c r="C19" s="10" t="s">
        <v>53</v>
      </c>
      <c r="D19" s="13" t="s">
        <v>51</v>
      </c>
      <c r="E19" s="9" t="s">
        <v>50</v>
      </c>
      <c r="F19" s="4">
        <v>2</v>
      </c>
      <c r="G19" s="4">
        <v>2</v>
      </c>
      <c r="H19" s="4">
        <v>1</v>
      </c>
      <c r="I19" s="6">
        <v>1</v>
      </c>
      <c r="J19" s="6">
        <v>0</v>
      </c>
      <c r="K19" s="6">
        <v>1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7">
        <v>1</v>
      </c>
      <c r="R19" s="7">
        <v>0</v>
      </c>
      <c r="S19" s="7">
        <v>1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6">
        <v>1</v>
      </c>
      <c r="Z19" s="6">
        <v>0</v>
      </c>
      <c r="AA19" s="6">
        <v>1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14">
        <f t="shared" si="0"/>
        <v>0.5</v>
      </c>
      <c r="AH19" s="14">
        <f t="shared" si="1"/>
        <v>0.5</v>
      </c>
      <c r="AI19" s="14">
        <f t="shared" si="2"/>
        <v>0</v>
      </c>
      <c r="AJ19" s="14">
        <f t="shared" si="3"/>
        <v>0</v>
      </c>
      <c r="AK19" s="5">
        <v>0</v>
      </c>
      <c r="AL19" s="5">
        <v>0</v>
      </c>
      <c r="AM19" s="5">
        <v>0</v>
      </c>
      <c r="AN19" s="4">
        <v>1</v>
      </c>
      <c r="AO19" s="4">
        <v>21</v>
      </c>
      <c r="AP19" s="4">
        <v>1</v>
      </c>
      <c r="AQ19" s="5">
        <v>1</v>
      </c>
    </row>
    <row r="20" spans="1:43" ht="15.75" customHeight="1" x14ac:dyDescent="0.25">
      <c r="A20" s="7">
        <v>139</v>
      </c>
      <c r="B20" s="10" t="s">
        <v>49</v>
      </c>
      <c r="C20" s="10" t="s">
        <v>53</v>
      </c>
      <c r="D20" s="13" t="s">
        <v>51</v>
      </c>
      <c r="E20" s="9" t="s">
        <v>50</v>
      </c>
      <c r="F20" s="4">
        <v>2</v>
      </c>
      <c r="G20" s="4">
        <v>4</v>
      </c>
      <c r="H20" s="4">
        <v>2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7">
        <v>0</v>
      </c>
      <c r="R20" s="7">
        <v>0</v>
      </c>
      <c r="S20" s="7">
        <v>1</v>
      </c>
      <c r="T20" s="7">
        <v>0</v>
      </c>
      <c r="U20" s="7">
        <v>0</v>
      </c>
      <c r="V20" s="7">
        <v>0</v>
      </c>
      <c r="W20" s="7">
        <v>1</v>
      </c>
      <c r="X20" s="7">
        <v>0</v>
      </c>
      <c r="Y20" s="6">
        <v>0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14">
        <f t="shared" si="0"/>
        <v>0</v>
      </c>
      <c r="AH20" s="14">
        <f t="shared" si="1"/>
        <v>0.5</v>
      </c>
      <c r="AI20" s="14">
        <f t="shared" si="2"/>
        <v>0</v>
      </c>
      <c r="AJ20" s="14">
        <f t="shared" si="3"/>
        <v>0.5</v>
      </c>
      <c r="AK20" s="5">
        <v>0</v>
      </c>
      <c r="AL20" s="5">
        <v>0</v>
      </c>
      <c r="AM20" s="5">
        <v>0</v>
      </c>
      <c r="AN20" s="4">
        <v>1</v>
      </c>
      <c r="AO20" s="4">
        <v>21</v>
      </c>
      <c r="AP20" s="4">
        <v>2</v>
      </c>
      <c r="AQ20" s="5">
        <v>1</v>
      </c>
    </row>
    <row r="21" spans="1:43" ht="15.75" customHeight="1" x14ac:dyDescent="0.25">
      <c r="A21" s="7">
        <v>140</v>
      </c>
      <c r="B21" s="10" t="s">
        <v>49</v>
      </c>
      <c r="C21" s="10" t="s">
        <v>53</v>
      </c>
      <c r="D21" s="13" t="s">
        <v>51</v>
      </c>
      <c r="E21" s="9" t="s">
        <v>50</v>
      </c>
      <c r="F21" s="4">
        <v>1</v>
      </c>
      <c r="G21" s="4">
        <v>1</v>
      </c>
      <c r="H21" s="4">
        <v>2</v>
      </c>
      <c r="I21" s="6">
        <v>0</v>
      </c>
      <c r="J21" s="6">
        <v>0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0</v>
      </c>
      <c r="Q21" s="7">
        <v>0</v>
      </c>
      <c r="R21" s="7">
        <v>0</v>
      </c>
      <c r="S21" s="7">
        <v>0</v>
      </c>
      <c r="T21" s="7">
        <v>0</v>
      </c>
      <c r="U21" s="7">
        <v>1</v>
      </c>
      <c r="V21" s="7">
        <v>0</v>
      </c>
      <c r="W21" s="7">
        <v>0</v>
      </c>
      <c r="X21" s="7">
        <v>0</v>
      </c>
      <c r="Y21" s="6">
        <v>0</v>
      </c>
      <c r="Z21" s="6">
        <v>0</v>
      </c>
      <c r="AA21" s="6">
        <v>0</v>
      </c>
      <c r="AB21" s="6">
        <v>0</v>
      </c>
      <c r="AC21" s="6">
        <v>1</v>
      </c>
      <c r="AD21" s="6">
        <v>0</v>
      </c>
      <c r="AE21" s="6">
        <v>0</v>
      </c>
      <c r="AF21" s="6">
        <v>0</v>
      </c>
      <c r="AG21" s="14">
        <f t="shared" si="0"/>
        <v>0</v>
      </c>
      <c r="AH21" s="14">
        <f t="shared" si="1"/>
        <v>0</v>
      </c>
      <c r="AI21" s="14">
        <f t="shared" si="2"/>
        <v>0.5</v>
      </c>
      <c r="AJ21" s="14">
        <f t="shared" si="3"/>
        <v>0</v>
      </c>
      <c r="AK21" s="5">
        <v>0</v>
      </c>
      <c r="AL21" s="5">
        <v>0</v>
      </c>
      <c r="AM21" s="5">
        <v>0</v>
      </c>
      <c r="AN21" s="4">
        <v>2</v>
      </c>
      <c r="AO21" s="4">
        <v>18</v>
      </c>
      <c r="AP21" s="4">
        <v>2</v>
      </c>
      <c r="AQ21" s="5">
        <v>1</v>
      </c>
    </row>
    <row r="22" spans="1:43" ht="15.75" customHeight="1" x14ac:dyDescent="0.25">
      <c r="A22" s="7">
        <v>141</v>
      </c>
      <c r="B22" s="10" t="s">
        <v>49</v>
      </c>
      <c r="C22" s="10" t="s">
        <v>53</v>
      </c>
      <c r="D22" s="13" t="s">
        <v>51</v>
      </c>
      <c r="E22" s="9" t="s">
        <v>50</v>
      </c>
      <c r="F22" s="4">
        <v>2</v>
      </c>
      <c r="G22" s="4">
        <v>3</v>
      </c>
      <c r="H22" s="4">
        <v>1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7">
        <v>0</v>
      </c>
      <c r="R22" s="7">
        <v>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14">
        <f t="shared" si="0"/>
        <v>0.5</v>
      </c>
      <c r="AH22" s="14">
        <f t="shared" si="1"/>
        <v>0</v>
      </c>
      <c r="AI22" s="14">
        <f t="shared" si="2"/>
        <v>0</v>
      </c>
      <c r="AJ22" s="14">
        <f t="shared" si="3"/>
        <v>0</v>
      </c>
      <c r="AK22" s="5">
        <v>0</v>
      </c>
      <c r="AL22" s="5">
        <v>0</v>
      </c>
      <c r="AM22" s="5">
        <v>0</v>
      </c>
      <c r="AN22" s="4">
        <v>1</v>
      </c>
      <c r="AO22" s="4">
        <v>19</v>
      </c>
      <c r="AP22" s="4">
        <v>2</v>
      </c>
      <c r="AQ22" s="5">
        <v>1</v>
      </c>
    </row>
    <row r="23" spans="1:43" ht="15.75" customHeight="1" x14ac:dyDescent="0.25">
      <c r="A23" s="7">
        <v>142</v>
      </c>
      <c r="B23" s="10" t="s">
        <v>49</v>
      </c>
      <c r="C23" s="10" t="s">
        <v>53</v>
      </c>
      <c r="D23" s="13" t="s">
        <v>51</v>
      </c>
      <c r="E23" s="9" t="s">
        <v>50</v>
      </c>
      <c r="F23" s="4">
        <v>2</v>
      </c>
      <c r="G23" s="4">
        <v>2</v>
      </c>
      <c r="H23" s="4">
        <v>2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7">
        <v>1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6">
        <v>1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14">
        <f t="shared" si="0"/>
        <v>0.5</v>
      </c>
      <c r="AH23" s="14">
        <f t="shared" si="1"/>
        <v>0</v>
      </c>
      <c r="AI23" s="14">
        <f t="shared" si="2"/>
        <v>0</v>
      </c>
      <c r="AJ23" s="14">
        <f t="shared" si="3"/>
        <v>0</v>
      </c>
      <c r="AK23" s="5">
        <v>0</v>
      </c>
      <c r="AL23" s="5">
        <v>0</v>
      </c>
      <c r="AM23" s="5">
        <v>0</v>
      </c>
      <c r="AN23" s="4">
        <v>1</v>
      </c>
      <c r="AO23" s="4">
        <v>19</v>
      </c>
      <c r="AP23" s="4">
        <v>1</v>
      </c>
      <c r="AQ23" s="5">
        <v>1</v>
      </c>
    </row>
    <row r="24" spans="1:43" ht="15.75" customHeight="1" x14ac:dyDescent="0.25">
      <c r="A24" s="7">
        <v>143</v>
      </c>
      <c r="B24" s="10" t="s">
        <v>49</v>
      </c>
      <c r="C24" s="10" t="s">
        <v>53</v>
      </c>
      <c r="D24" s="13" t="s">
        <v>51</v>
      </c>
      <c r="E24" s="9" t="s">
        <v>50</v>
      </c>
      <c r="F24" s="4">
        <v>2</v>
      </c>
      <c r="G24" s="4">
        <v>2</v>
      </c>
      <c r="H24" s="4">
        <v>1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7">
        <v>0</v>
      </c>
      <c r="R24" s="7">
        <v>0</v>
      </c>
      <c r="S24" s="7">
        <v>1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6">
        <v>0</v>
      </c>
      <c r="Z24" s="6">
        <v>0</v>
      </c>
      <c r="AA24" s="6">
        <v>1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14">
        <f t="shared" si="0"/>
        <v>0</v>
      </c>
      <c r="AH24" s="14">
        <f t="shared" si="1"/>
        <v>0.5</v>
      </c>
      <c r="AI24" s="14">
        <f t="shared" si="2"/>
        <v>0</v>
      </c>
      <c r="AJ24" s="14">
        <f t="shared" si="3"/>
        <v>0</v>
      </c>
      <c r="AK24" s="5">
        <v>0</v>
      </c>
      <c r="AL24" s="5">
        <v>0</v>
      </c>
      <c r="AM24" s="5">
        <v>0</v>
      </c>
      <c r="AN24" s="4">
        <v>1</v>
      </c>
      <c r="AO24" s="4">
        <v>22</v>
      </c>
      <c r="AP24" s="4">
        <v>1</v>
      </c>
      <c r="AQ24" s="5">
        <v>1</v>
      </c>
    </row>
    <row r="25" spans="1:43" ht="15.75" customHeight="1" x14ac:dyDescent="0.25">
      <c r="A25" s="7">
        <v>144</v>
      </c>
      <c r="B25" s="10" t="s">
        <v>49</v>
      </c>
      <c r="C25" s="10" t="s">
        <v>53</v>
      </c>
      <c r="D25" s="13" t="s">
        <v>51</v>
      </c>
      <c r="E25" s="9" t="s">
        <v>50</v>
      </c>
      <c r="F25" s="4">
        <v>1</v>
      </c>
      <c r="G25" s="4">
        <v>2</v>
      </c>
      <c r="H25" s="4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14">
        <f t="shared" si="0"/>
        <v>0</v>
      </c>
      <c r="AH25" s="14">
        <f t="shared" si="1"/>
        <v>0</v>
      </c>
      <c r="AI25" s="14">
        <f t="shared" si="2"/>
        <v>0</v>
      </c>
      <c r="AJ25" s="14">
        <f t="shared" si="3"/>
        <v>0</v>
      </c>
      <c r="AK25" s="5">
        <v>0</v>
      </c>
      <c r="AL25" s="5">
        <v>0</v>
      </c>
      <c r="AM25" s="5">
        <v>0</v>
      </c>
      <c r="AN25" s="4">
        <v>2</v>
      </c>
      <c r="AO25" s="4">
        <v>18</v>
      </c>
      <c r="AP25" s="4">
        <v>1</v>
      </c>
      <c r="AQ25" s="5">
        <v>1</v>
      </c>
    </row>
    <row r="26" spans="1:43" ht="15.75" customHeight="1" x14ac:dyDescent="0.25">
      <c r="A26" s="7">
        <v>145</v>
      </c>
      <c r="B26" s="10" t="s">
        <v>49</v>
      </c>
      <c r="C26" s="10" t="s">
        <v>53</v>
      </c>
      <c r="D26" s="13" t="s">
        <v>51</v>
      </c>
      <c r="E26" s="9" t="s">
        <v>50</v>
      </c>
      <c r="F26" s="4">
        <v>2</v>
      </c>
      <c r="G26" s="4">
        <v>4</v>
      </c>
      <c r="H26" s="4">
        <v>1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0</v>
      </c>
      <c r="X26" s="7">
        <v>0</v>
      </c>
      <c r="Y26" s="6">
        <v>0</v>
      </c>
      <c r="Z26" s="6">
        <v>0</v>
      </c>
      <c r="AA26" s="6">
        <v>0</v>
      </c>
      <c r="AB26" s="6">
        <v>0</v>
      </c>
      <c r="AC26" s="6">
        <v>1</v>
      </c>
      <c r="AD26" s="6">
        <v>0</v>
      </c>
      <c r="AE26" s="6">
        <v>0</v>
      </c>
      <c r="AF26" s="6">
        <v>0</v>
      </c>
      <c r="AG26" s="14">
        <f t="shared" si="0"/>
        <v>0</v>
      </c>
      <c r="AH26" s="14">
        <f t="shared" si="1"/>
        <v>0</v>
      </c>
      <c r="AI26" s="14">
        <f t="shared" si="2"/>
        <v>0.5</v>
      </c>
      <c r="AJ26" s="14">
        <f t="shared" si="3"/>
        <v>0</v>
      </c>
      <c r="AK26" s="5">
        <v>0</v>
      </c>
      <c r="AL26" s="5">
        <v>0</v>
      </c>
      <c r="AM26" s="5">
        <v>0</v>
      </c>
      <c r="AN26" s="4">
        <v>1</v>
      </c>
      <c r="AO26" s="4">
        <v>18</v>
      </c>
      <c r="AP26" s="4">
        <v>1</v>
      </c>
      <c r="AQ26" s="5">
        <v>1</v>
      </c>
    </row>
    <row r="27" spans="1:43" ht="15.75" customHeight="1" x14ac:dyDescent="0.25">
      <c r="A27" s="7">
        <v>146</v>
      </c>
      <c r="B27" s="10" t="s">
        <v>49</v>
      </c>
      <c r="C27" s="10" t="s">
        <v>53</v>
      </c>
      <c r="D27" s="13" t="s">
        <v>51</v>
      </c>
      <c r="E27" s="9" t="s">
        <v>50</v>
      </c>
      <c r="F27" s="4">
        <v>1</v>
      </c>
      <c r="G27" s="4">
        <v>1</v>
      </c>
      <c r="H27" s="4">
        <v>2</v>
      </c>
      <c r="I27" s="6">
        <v>1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7">
        <v>1</v>
      </c>
      <c r="R27" s="7">
        <v>0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1</v>
      </c>
      <c r="Y27" s="6">
        <v>1</v>
      </c>
      <c r="Z27" s="6">
        <v>0</v>
      </c>
      <c r="AA27" s="6">
        <v>1</v>
      </c>
      <c r="AB27" s="6">
        <v>0</v>
      </c>
      <c r="AC27" s="6">
        <v>0</v>
      </c>
      <c r="AD27" s="6">
        <v>0</v>
      </c>
      <c r="AE27" s="6">
        <v>0</v>
      </c>
      <c r="AF27" s="6">
        <v>1</v>
      </c>
      <c r="AG27" s="14">
        <f t="shared" si="0"/>
        <v>0.5</v>
      </c>
      <c r="AH27" s="14">
        <f t="shared" si="1"/>
        <v>0.5</v>
      </c>
      <c r="AI27" s="14">
        <f t="shared" si="2"/>
        <v>0</v>
      </c>
      <c r="AJ27" s="14">
        <f t="shared" si="3"/>
        <v>0.5</v>
      </c>
      <c r="AK27" s="5">
        <v>0</v>
      </c>
      <c r="AL27" s="5">
        <v>0</v>
      </c>
      <c r="AM27" s="5">
        <v>0</v>
      </c>
      <c r="AN27" s="4">
        <v>2</v>
      </c>
      <c r="AO27" s="4">
        <v>18</v>
      </c>
      <c r="AP27" s="4">
        <v>3</v>
      </c>
      <c r="AQ27" s="5">
        <v>1</v>
      </c>
    </row>
    <row r="28" spans="1:43" ht="15.75" customHeight="1" x14ac:dyDescent="0.25">
      <c r="A28" s="7">
        <v>147</v>
      </c>
      <c r="B28" s="10" t="s">
        <v>49</v>
      </c>
      <c r="C28" s="10" t="s">
        <v>53</v>
      </c>
      <c r="D28" s="13" t="s">
        <v>51</v>
      </c>
      <c r="E28" s="9" t="s">
        <v>50</v>
      </c>
      <c r="F28" s="4">
        <v>2</v>
      </c>
      <c r="G28" s="4">
        <v>2</v>
      </c>
      <c r="H28" s="4">
        <v>1</v>
      </c>
      <c r="I28" s="6" t="s">
        <v>45</v>
      </c>
      <c r="J28" s="8" t="s">
        <v>45</v>
      </c>
      <c r="K28" s="8" t="s">
        <v>45</v>
      </c>
      <c r="L28" s="8" t="s">
        <v>45</v>
      </c>
      <c r="M28" s="8" t="s">
        <v>45</v>
      </c>
      <c r="N28" s="8" t="s">
        <v>45</v>
      </c>
      <c r="O28" s="8" t="s">
        <v>45</v>
      </c>
      <c r="P28" s="8" t="s">
        <v>45</v>
      </c>
      <c r="Q28" s="5" t="s">
        <v>45</v>
      </c>
      <c r="R28" s="5" t="s">
        <v>45</v>
      </c>
      <c r="S28" s="5" t="s">
        <v>45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6" t="s">
        <v>45</v>
      </c>
      <c r="Z28" s="8" t="s">
        <v>45</v>
      </c>
      <c r="AA28" s="8" t="s">
        <v>45</v>
      </c>
      <c r="AB28" s="8" t="s">
        <v>45</v>
      </c>
      <c r="AC28" s="8" t="s">
        <v>45</v>
      </c>
      <c r="AD28" s="8" t="s">
        <v>45</v>
      </c>
      <c r="AE28" s="8" t="s">
        <v>45</v>
      </c>
      <c r="AF28" s="8" t="s">
        <v>45</v>
      </c>
      <c r="AG28" s="15" t="s">
        <v>45</v>
      </c>
      <c r="AH28" s="15" t="s">
        <v>45</v>
      </c>
      <c r="AI28" s="15" t="s">
        <v>45</v>
      </c>
      <c r="AJ28" s="15" t="s">
        <v>45</v>
      </c>
      <c r="AK28" s="5">
        <v>0</v>
      </c>
      <c r="AL28" s="5">
        <v>0</v>
      </c>
      <c r="AM28" s="5">
        <v>0</v>
      </c>
      <c r="AN28" s="4">
        <v>1</v>
      </c>
      <c r="AO28" s="4">
        <v>19</v>
      </c>
      <c r="AP28" s="4">
        <v>1</v>
      </c>
      <c r="AQ28" s="5">
        <v>1</v>
      </c>
    </row>
    <row r="29" spans="1:43" ht="15.75" customHeight="1" x14ac:dyDescent="0.25">
      <c r="A29" s="7">
        <v>148</v>
      </c>
      <c r="B29" s="10" t="s">
        <v>49</v>
      </c>
      <c r="C29" s="10" t="s">
        <v>53</v>
      </c>
      <c r="D29" s="13" t="s">
        <v>51</v>
      </c>
      <c r="E29" s="9" t="s">
        <v>50</v>
      </c>
      <c r="F29" s="4">
        <v>1</v>
      </c>
      <c r="G29" s="4">
        <v>1</v>
      </c>
      <c r="H29" s="4">
        <v>2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1</v>
      </c>
      <c r="AG29" s="14">
        <f t="shared" si="0"/>
        <v>0</v>
      </c>
      <c r="AH29" s="14">
        <f t="shared" si="1"/>
        <v>0</v>
      </c>
      <c r="AI29" s="14">
        <f t="shared" si="2"/>
        <v>0</v>
      </c>
      <c r="AJ29" s="14">
        <f t="shared" si="3"/>
        <v>0.5</v>
      </c>
      <c r="AK29" s="5">
        <v>0</v>
      </c>
      <c r="AL29" s="5">
        <v>0</v>
      </c>
      <c r="AM29" s="5">
        <v>0</v>
      </c>
      <c r="AN29" s="4">
        <v>2</v>
      </c>
      <c r="AO29" s="4">
        <v>19</v>
      </c>
      <c r="AP29" s="4">
        <v>2</v>
      </c>
      <c r="AQ29" s="5">
        <v>1</v>
      </c>
    </row>
    <row r="30" spans="1:43" ht="15.75" customHeight="1" x14ac:dyDescent="0.25">
      <c r="A30" s="7">
        <v>149</v>
      </c>
      <c r="B30" s="10" t="s">
        <v>49</v>
      </c>
      <c r="C30" s="10" t="s">
        <v>53</v>
      </c>
      <c r="D30" s="13" t="s">
        <v>51</v>
      </c>
      <c r="E30" s="9" t="s">
        <v>50</v>
      </c>
      <c r="F30" s="4">
        <v>2</v>
      </c>
      <c r="G30" s="4">
        <v>3</v>
      </c>
      <c r="H30" s="4">
        <v>1</v>
      </c>
      <c r="I30" s="6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5" t="s">
        <v>45</v>
      </c>
      <c r="R30" s="5" t="s">
        <v>45</v>
      </c>
      <c r="S30" s="5" t="s">
        <v>45</v>
      </c>
      <c r="T30" s="5" t="s">
        <v>45</v>
      </c>
      <c r="U30" s="5" t="s">
        <v>45</v>
      </c>
      <c r="V30" s="5" t="s">
        <v>45</v>
      </c>
      <c r="W30" s="5" t="s">
        <v>45</v>
      </c>
      <c r="X30" s="5" t="s">
        <v>45</v>
      </c>
      <c r="Y30" s="6" t="s">
        <v>45</v>
      </c>
      <c r="Z30" s="8" t="s">
        <v>45</v>
      </c>
      <c r="AA30" s="8" t="s">
        <v>45</v>
      </c>
      <c r="AB30" s="8" t="s">
        <v>45</v>
      </c>
      <c r="AC30" s="8" t="s">
        <v>45</v>
      </c>
      <c r="AD30" s="8" t="s">
        <v>45</v>
      </c>
      <c r="AE30" s="8" t="s">
        <v>45</v>
      </c>
      <c r="AF30" s="8" t="s">
        <v>45</v>
      </c>
      <c r="AG30" s="15" t="s">
        <v>45</v>
      </c>
      <c r="AH30" s="15" t="s">
        <v>45</v>
      </c>
      <c r="AI30" s="15" t="s">
        <v>45</v>
      </c>
      <c r="AJ30" s="15" t="s">
        <v>45</v>
      </c>
      <c r="AK30" s="5">
        <v>0</v>
      </c>
      <c r="AL30" s="5">
        <v>0</v>
      </c>
      <c r="AM30" s="5">
        <v>0</v>
      </c>
      <c r="AN30" s="4">
        <v>1</v>
      </c>
      <c r="AO30" s="4">
        <v>18</v>
      </c>
      <c r="AP30" s="4">
        <v>1</v>
      </c>
      <c r="AQ30" s="5">
        <v>1</v>
      </c>
    </row>
    <row r="31" spans="1:43" ht="15.75" customHeight="1" x14ac:dyDescent="0.25">
      <c r="A31" s="7">
        <v>150</v>
      </c>
      <c r="B31" s="10" t="s">
        <v>49</v>
      </c>
      <c r="C31" s="10" t="s">
        <v>53</v>
      </c>
      <c r="D31" s="13" t="s">
        <v>51</v>
      </c>
      <c r="E31" s="9" t="s">
        <v>50</v>
      </c>
      <c r="F31" s="4">
        <v>1</v>
      </c>
      <c r="G31" s="4">
        <v>4</v>
      </c>
      <c r="H31" s="4">
        <v>2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0</v>
      </c>
      <c r="X31" s="7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</v>
      </c>
      <c r="AE31" s="6">
        <v>0</v>
      </c>
      <c r="AF31" s="6">
        <v>0</v>
      </c>
      <c r="AG31" s="14">
        <f t="shared" si="0"/>
        <v>0</v>
      </c>
      <c r="AH31" s="14">
        <f t="shared" si="1"/>
        <v>0</v>
      </c>
      <c r="AI31" s="14">
        <f t="shared" si="2"/>
        <v>0.5</v>
      </c>
      <c r="AJ31" s="14">
        <f t="shared" si="3"/>
        <v>0</v>
      </c>
      <c r="AK31" s="5">
        <v>0</v>
      </c>
      <c r="AL31" s="5">
        <v>0</v>
      </c>
      <c r="AM31" s="5">
        <v>0</v>
      </c>
      <c r="AN31" s="4">
        <v>2</v>
      </c>
      <c r="AO31" s="4">
        <v>20</v>
      </c>
      <c r="AP31" s="4">
        <v>1</v>
      </c>
      <c r="AQ31" s="5">
        <v>1</v>
      </c>
    </row>
    <row r="32" spans="1:43" ht="15.75" customHeight="1" x14ac:dyDescent="0.25">
      <c r="A32" s="7">
        <v>151</v>
      </c>
      <c r="B32" s="10" t="s">
        <v>49</v>
      </c>
      <c r="C32" s="10" t="s">
        <v>53</v>
      </c>
      <c r="D32" s="13" t="s">
        <v>51</v>
      </c>
      <c r="E32" s="9" t="s">
        <v>50</v>
      </c>
      <c r="F32" s="4">
        <v>2</v>
      </c>
      <c r="G32" s="4">
        <v>1</v>
      </c>
      <c r="H32" s="4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14">
        <f t="shared" si="0"/>
        <v>0</v>
      </c>
      <c r="AH32" s="14">
        <f t="shared" si="1"/>
        <v>0</v>
      </c>
      <c r="AI32" s="14">
        <f t="shared" si="2"/>
        <v>0</v>
      </c>
      <c r="AJ32" s="14">
        <f t="shared" si="3"/>
        <v>0</v>
      </c>
      <c r="AK32" s="5">
        <v>0</v>
      </c>
      <c r="AL32" s="5">
        <v>0</v>
      </c>
      <c r="AM32" s="5">
        <v>0</v>
      </c>
      <c r="AN32" s="4">
        <v>1</v>
      </c>
      <c r="AO32" s="4">
        <v>19</v>
      </c>
      <c r="AP32" s="4">
        <v>1</v>
      </c>
      <c r="AQ32" s="5">
        <v>1</v>
      </c>
    </row>
    <row r="33" spans="1:43" ht="15.75" customHeight="1" x14ac:dyDescent="0.25">
      <c r="A33" s="7">
        <v>152</v>
      </c>
      <c r="B33" s="10" t="s">
        <v>49</v>
      </c>
      <c r="C33" s="10" t="s">
        <v>53</v>
      </c>
      <c r="D33" s="13" t="s">
        <v>51</v>
      </c>
      <c r="E33" s="9" t="s">
        <v>50</v>
      </c>
      <c r="F33" s="4">
        <v>2</v>
      </c>
      <c r="G33" s="4">
        <v>4</v>
      </c>
      <c r="H33" s="4">
        <v>1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7">
        <v>0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6">
        <v>0</v>
      </c>
      <c r="Z33" s="6">
        <v>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14">
        <f t="shared" si="0"/>
        <v>0.5</v>
      </c>
      <c r="AH33" s="14">
        <f t="shared" si="1"/>
        <v>0</v>
      </c>
      <c r="AI33" s="14">
        <f t="shared" si="2"/>
        <v>0</v>
      </c>
      <c r="AJ33" s="14">
        <f t="shared" si="3"/>
        <v>0</v>
      </c>
      <c r="AK33" s="5">
        <v>1</v>
      </c>
      <c r="AL33" s="5">
        <v>1</v>
      </c>
      <c r="AM33" s="5">
        <v>1</v>
      </c>
      <c r="AN33" s="4">
        <v>2</v>
      </c>
      <c r="AO33" s="4">
        <v>18</v>
      </c>
      <c r="AP33" s="4">
        <v>1</v>
      </c>
      <c r="AQ33" s="5">
        <v>1</v>
      </c>
    </row>
    <row r="34" spans="1:43" ht="15.75" customHeight="1" x14ac:dyDescent="0.25">
      <c r="A34" s="7">
        <v>153</v>
      </c>
      <c r="B34" s="10" t="s">
        <v>49</v>
      </c>
      <c r="C34" s="10" t="s">
        <v>53</v>
      </c>
      <c r="D34" s="13" t="s">
        <v>51</v>
      </c>
      <c r="E34" s="9" t="s">
        <v>50</v>
      </c>
      <c r="F34" s="4">
        <v>1</v>
      </c>
      <c r="G34" s="4">
        <v>1</v>
      </c>
      <c r="H34" s="4">
        <v>1</v>
      </c>
      <c r="I34" s="6">
        <v>0</v>
      </c>
      <c r="J34" s="6">
        <v>0</v>
      </c>
      <c r="K34" s="6">
        <v>0</v>
      </c>
      <c r="L34" s="6">
        <v>1</v>
      </c>
      <c r="M34" s="6">
        <v>1</v>
      </c>
      <c r="N34" s="6">
        <v>0</v>
      </c>
      <c r="O34" s="6">
        <v>1</v>
      </c>
      <c r="P34" s="6">
        <v>1</v>
      </c>
      <c r="Q34" s="7">
        <v>0</v>
      </c>
      <c r="R34" s="7">
        <v>0</v>
      </c>
      <c r="S34" s="7">
        <v>0</v>
      </c>
      <c r="T34" s="7">
        <v>1</v>
      </c>
      <c r="U34" s="7">
        <v>1</v>
      </c>
      <c r="V34" s="7">
        <v>0</v>
      </c>
      <c r="W34" s="7">
        <v>1</v>
      </c>
      <c r="X34" s="7">
        <v>1</v>
      </c>
      <c r="Y34" s="6">
        <v>0</v>
      </c>
      <c r="Z34" s="6">
        <v>0</v>
      </c>
      <c r="AA34" s="6">
        <v>0</v>
      </c>
      <c r="AB34" s="6">
        <v>1</v>
      </c>
      <c r="AC34" s="6">
        <v>1</v>
      </c>
      <c r="AD34" s="6">
        <v>0</v>
      </c>
      <c r="AE34" s="6">
        <v>1</v>
      </c>
      <c r="AF34" s="6">
        <v>1</v>
      </c>
      <c r="AG34" s="14">
        <f t="shared" si="0"/>
        <v>0</v>
      </c>
      <c r="AH34" s="14">
        <f t="shared" si="1"/>
        <v>0.5</v>
      </c>
      <c r="AI34" s="14">
        <f t="shared" si="2"/>
        <v>0.5</v>
      </c>
      <c r="AJ34" s="14">
        <f t="shared" si="3"/>
        <v>1</v>
      </c>
      <c r="AK34" s="5">
        <v>0</v>
      </c>
      <c r="AL34" s="5">
        <v>0</v>
      </c>
      <c r="AM34" s="5">
        <v>0</v>
      </c>
      <c r="AN34" s="4">
        <v>2</v>
      </c>
      <c r="AO34" s="4">
        <v>18</v>
      </c>
      <c r="AP34" s="4">
        <v>2</v>
      </c>
      <c r="AQ34" s="5">
        <v>1</v>
      </c>
    </row>
    <row r="35" spans="1:43" ht="15.75" customHeight="1" x14ac:dyDescent="0.25">
      <c r="A35" s="7">
        <v>154</v>
      </c>
      <c r="B35" s="10" t="s">
        <v>49</v>
      </c>
      <c r="C35" s="10" t="s">
        <v>53</v>
      </c>
      <c r="D35" s="13" t="s">
        <v>51</v>
      </c>
      <c r="E35" s="9" t="s">
        <v>50</v>
      </c>
      <c r="F35" s="4">
        <v>1</v>
      </c>
      <c r="G35" s="4">
        <v>3</v>
      </c>
      <c r="H35" s="4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1</v>
      </c>
      <c r="W35" s="7">
        <v>0</v>
      </c>
      <c r="X35" s="7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</v>
      </c>
      <c r="AE35" s="6">
        <v>0</v>
      </c>
      <c r="AF35" s="6">
        <v>0</v>
      </c>
      <c r="AG35" s="14">
        <f t="shared" si="0"/>
        <v>0</v>
      </c>
      <c r="AH35" s="14">
        <f t="shared" si="1"/>
        <v>0</v>
      </c>
      <c r="AI35" s="14">
        <f t="shared" si="2"/>
        <v>0.5</v>
      </c>
      <c r="AJ35" s="14">
        <f t="shared" si="3"/>
        <v>0</v>
      </c>
      <c r="AK35" s="5">
        <v>0</v>
      </c>
      <c r="AL35" s="5">
        <v>0</v>
      </c>
      <c r="AM35" s="5">
        <v>0</v>
      </c>
      <c r="AN35" s="4">
        <v>2</v>
      </c>
      <c r="AO35" s="4">
        <v>20</v>
      </c>
      <c r="AP35" s="4">
        <v>1</v>
      </c>
      <c r="AQ35" s="5">
        <v>1</v>
      </c>
    </row>
    <row r="36" spans="1:43" ht="15.75" customHeight="1" x14ac:dyDescent="0.25">
      <c r="A36" s="7">
        <v>155</v>
      </c>
      <c r="B36" s="10" t="s">
        <v>49</v>
      </c>
      <c r="C36" s="10" t="s">
        <v>53</v>
      </c>
      <c r="D36" s="13" t="s">
        <v>51</v>
      </c>
      <c r="E36" s="9" t="s">
        <v>50</v>
      </c>
      <c r="F36" s="4">
        <v>1</v>
      </c>
      <c r="G36" s="4">
        <v>1</v>
      </c>
      <c r="H36" s="4">
        <v>2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1</v>
      </c>
      <c r="AG36" s="14">
        <f t="shared" si="0"/>
        <v>0</v>
      </c>
      <c r="AH36" s="14">
        <f t="shared" si="1"/>
        <v>0</v>
      </c>
      <c r="AI36" s="14">
        <f t="shared" si="2"/>
        <v>0</v>
      </c>
      <c r="AJ36" s="14">
        <f t="shared" si="3"/>
        <v>0.5</v>
      </c>
      <c r="AK36" s="5">
        <v>0</v>
      </c>
      <c r="AL36" s="5">
        <v>0</v>
      </c>
      <c r="AM36" s="5">
        <v>0</v>
      </c>
      <c r="AN36" s="4">
        <v>2</v>
      </c>
      <c r="AO36" s="4">
        <v>19</v>
      </c>
      <c r="AP36" s="4">
        <v>2</v>
      </c>
      <c r="AQ36" s="5">
        <v>1</v>
      </c>
    </row>
    <row r="37" spans="1:43" ht="15.75" customHeight="1" x14ac:dyDescent="0.25">
      <c r="A37" s="7">
        <v>156</v>
      </c>
      <c r="B37" s="10" t="s">
        <v>49</v>
      </c>
      <c r="C37" s="10" t="s">
        <v>53</v>
      </c>
      <c r="D37" s="13" t="s">
        <v>51</v>
      </c>
      <c r="E37" s="9" t="s">
        <v>50</v>
      </c>
      <c r="F37" s="4">
        <v>1</v>
      </c>
      <c r="G37" s="4">
        <v>3</v>
      </c>
      <c r="H37" s="4">
        <v>2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14">
        <f t="shared" si="0"/>
        <v>0</v>
      </c>
      <c r="AH37" s="14">
        <f t="shared" si="1"/>
        <v>0</v>
      </c>
      <c r="AI37" s="14">
        <f t="shared" si="2"/>
        <v>0</v>
      </c>
      <c r="AJ37" s="14">
        <f t="shared" si="3"/>
        <v>0</v>
      </c>
      <c r="AK37" s="5">
        <v>0</v>
      </c>
      <c r="AL37" s="5">
        <v>0</v>
      </c>
      <c r="AM37" s="5">
        <v>0</v>
      </c>
      <c r="AN37" s="4">
        <v>2</v>
      </c>
      <c r="AO37" s="4">
        <v>19</v>
      </c>
      <c r="AP37" s="4">
        <v>1</v>
      </c>
      <c r="AQ37" s="5">
        <v>1</v>
      </c>
    </row>
    <row r="38" spans="1:43" ht="15.75" customHeight="1" x14ac:dyDescent="0.25">
      <c r="A38" s="7">
        <v>157</v>
      </c>
      <c r="B38" s="10" t="s">
        <v>49</v>
      </c>
      <c r="C38" s="10" t="s">
        <v>53</v>
      </c>
      <c r="D38" s="13" t="s">
        <v>51</v>
      </c>
      <c r="E38" s="9" t="s">
        <v>50</v>
      </c>
      <c r="F38" s="4">
        <v>1</v>
      </c>
      <c r="G38" s="4">
        <v>2</v>
      </c>
      <c r="H38" s="4">
        <v>1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14">
        <f t="shared" si="0"/>
        <v>0</v>
      </c>
      <c r="AH38" s="14">
        <f t="shared" si="1"/>
        <v>0</v>
      </c>
      <c r="AI38" s="14">
        <f t="shared" si="2"/>
        <v>0</v>
      </c>
      <c r="AJ38" s="14">
        <f t="shared" si="3"/>
        <v>0</v>
      </c>
      <c r="AK38" s="5">
        <v>0</v>
      </c>
      <c r="AL38" s="5">
        <v>0</v>
      </c>
      <c r="AM38" s="5">
        <v>0</v>
      </c>
      <c r="AN38" s="4">
        <v>2</v>
      </c>
      <c r="AO38" s="4">
        <v>18</v>
      </c>
      <c r="AP38" s="4">
        <v>1</v>
      </c>
      <c r="AQ38" s="5">
        <v>1</v>
      </c>
    </row>
    <row r="39" spans="1:43" ht="15.75" customHeight="1" x14ac:dyDescent="0.25">
      <c r="A39" s="7">
        <v>158</v>
      </c>
      <c r="B39" s="10" t="s">
        <v>49</v>
      </c>
      <c r="C39" s="10" t="s">
        <v>53</v>
      </c>
      <c r="D39" s="13" t="s">
        <v>51</v>
      </c>
      <c r="E39" s="9" t="s">
        <v>50</v>
      </c>
      <c r="F39" s="4">
        <v>2</v>
      </c>
      <c r="G39" s="4">
        <v>1</v>
      </c>
      <c r="H39" s="4">
        <v>1</v>
      </c>
      <c r="I39" s="6">
        <v>1</v>
      </c>
      <c r="J39" s="6">
        <v>0</v>
      </c>
      <c r="K39" s="6">
        <v>0</v>
      </c>
      <c r="L39" s="6">
        <v>0</v>
      </c>
      <c r="M39" s="6">
        <v>1</v>
      </c>
      <c r="N39" s="6">
        <v>1</v>
      </c>
      <c r="O39" s="6">
        <v>0</v>
      </c>
      <c r="P39" s="6">
        <v>0</v>
      </c>
      <c r="Q39" s="7">
        <v>1</v>
      </c>
      <c r="R39" s="7">
        <v>0</v>
      </c>
      <c r="S39" s="7">
        <v>0</v>
      </c>
      <c r="T39" s="7">
        <v>0</v>
      </c>
      <c r="U39" s="7">
        <v>1</v>
      </c>
      <c r="V39" s="7">
        <v>1</v>
      </c>
      <c r="W39" s="7">
        <v>0</v>
      </c>
      <c r="X39" s="7">
        <v>0</v>
      </c>
      <c r="Y39" s="6">
        <v>1</v>
      </c>
      <c r="Z39" s="6">
        <v>0</v>
      </c>
      <c r="AA39" s="6">
        <v>0</v>
      </c>
      <c r="AB39" s="6">
        <v>0</v>
      </c>
      <c r="AC39" s="6">
        <v>1</v>
      </c>
      <c r="AD39" s="6">
        <v>1</v>
      </c>
      <c r="AE39" s="6">
        <v>0</v>
      </c>
      <c r="AF39" s="6">
        <v>0</v>
      </c>
      <c r="AG39" s="14">
        <f t="shared" si="0"/>
        <v>0.5</v>
      </c>
      <c r="AH39" s="14">
        <f t="shared" si="1"/>
        <v>0</v>
      </c>
      <c r="AI39" s="14">
        <f t="shared" si="2"/>
        <v>1</v>
      </c>
      <c r="AJ39" s="14">
        <f t="shared" si="3"/>
        <v>0</v>
      </c>
      <c r="AK39" s="5">
        <v>0</v>
      </c>
      <c r="AL39" s="5">
        <v>0</v>
      </c>
      <c r="AM39" s="5">
        <v>0</v>
      </c>
      <c r="AN39" s="4">
        <v>1</v>
      </c>
      <c r="AO39" s="4">
        <v>18</v>
      </c>
      <c r="AP39" s="4">
        <v>1</v>
      </c>
      <c r="AQ39" s="5">
        <v>1</v>
      </c>
    </row>
    <row r="40" spans="1:43" ht="15.75" customHeight="1" x14ac:dyDescent="0.25">
      <c r="A40" s="7">
        <v>159</v>
      </c>
      <c r="B40" s="10" t="s">
        <v>49</v>
      </c>
      <c r="C40" s="10" t="s">
        <v>53</v>
      </c>
      <c r="D40" s="13" t="s">
        <v>51</v>
      </c>
      <c r="E40" s="9" t="s">
        <v>50</v>
      </c>
      <c r="F40" s="4">
        <v>2</v>
      </c>
      <c r="G40" s="4">
        <v>2</v>
      </c>
      <c r="H40" s="4">
        <v>2</v>
      </c>
      <c r="I40" s="6">
        <v>1</v>
      </c>
      <c r="J40" s="6">
        <v>0</v>
      </c>
      <c r="K40" s="6">
        <v>1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7">
        <v>1</v>
      </c>
      <c r="R40" s="7">
        <v>0</v>
      </c>
      <c r="S40" s="7">
        <v>1</v>
      </c>
      <c r="T40" s="7">
        <v>0</v>
      </c>
      <c r="U40" s="7">
        <v>1</v>
      </c>
      <c r="V40" s="7">
        <v>1</v>
      </c>
      <c r="W40" s="7">
        <v>0</v>
      </c>
      <c r="X40" s="7">
        <v>0</v>
      </c>
      <c r="Y40" s="6">
        <v>1</v>
      </c>
      <c r="Z40" s="6">
        <v>0</v>
      </c>
      <c r="AA40" s="6">
        <v>1</v>
      </c>
      <c r="AB40" s="6">
        <v>0</v>
      </c>
      <c r="AC40" s="6">
        <v>1</v>
      </c>
      <c r="AD40" s="6">
        <v>0</v>
      </c>
      <c r="AE40" s="6">
        <v>0</v>
      </c>
      <c r="AF40" s="6">
        <v>0</v>
      </c>
      <c r="AG40" s="14">
        <f t="shared" si="0"/>
        <v>0.5</v>
      </c>
      <c r="AH40" s="14">
        <f t="shared" si="1"/>
        <v>0.5</v>
      </c>
      <c r="AI40" s="14">
        <f t="shared" si="2"/>
        <v>0.5</v>
      </c>
      <c r="AJ40" s="14">
        <f t="shared" si="3"/>
        <v>0</v>
      </c>
      <c r="AK40" s="5">
        <v>0</v>
      </c>
      <c r="AL40" s="5">
        <v>0</v>
      </c>
      <c r="AM40" s="5">
        <v>0</v>
      </c>
      <c r="AN40" s="4">
        <v>1</v>
      </c>
      <c r="AO40" s="4">
        <v>19</v>
      </c>
      <c r="AP40" s="4">
        <v>1</v>
      </c>
      <c r="AQ40" s="5">
        <v>1</v>
      </c>
    </row>
    <row r="41" spans="1:43" ht="15.75" customHeight="1" x14ac:dyDescent="0.25">
      <c r="A41" s="7">
        <v>160</v>
      </c>
      <c r="B41" s="10" t="s">
        <v>49</v>
      </c>
      <c r="C41" s="10" t="s">
        <v>53</v>
      </c>
      <c r="D41" s="13" t="s">
        <v>51</v>
      </c>
      <c r="E41" s="9" t="s">
        <v>50</v>
      </c>
      <c r="F41" s="4">
        <v>1</v>
      </c>
      <c r="G41" s="4">
        <v>4</v>
      </c>
      <c r="H41" s="4">
        <v>2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1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</v>
      </c>
      <c r="W41" s="7">
        <v>0</v>
      </c>
      <c r="X41" s="7">
        <v>1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1</v>
      </c>
      <c r="AE41" s="6">
        <v>0</v>
      </c>
      <c r="AF41" s="6">
        <v>1</v>
      </c>
      <c r="AG41" s="14">
        <f t="shared" si="0"/>
        <v>0</v>
      </c>
      <c r="AH41" s="14">
        <f t="shared" si="1"/>
        <v>0</v>
      </c>
      <c r="AI41" s="14">
        <f t="shared" si="2"/>
        <v>0.5</v>
      </c>
      <c r="AJ41" s="14">
        <f t="shared" si="3"/>
        <v>0.5</v>
      </c>
      <c r="AK41" s="5">
        <v>0</v>
      </c>
      <c r="AL41" s="5">
        <v>0</v>
      </c>
      <c r="AM41" s="5">
        <v>0</v>
      </c>
      <c r="AN41" s="4">
        <v>2</v>
      </c>
      <c r="AO41" s="4">
        <v>20</v>
      </c>
      <c r="AP41" s="4">
        <v>2</v>
      </c>
      <c r="AQ41" s="5">
        <v>1</v>
      </c>
    </row>
    <row r="42" spans="1:43" ht="15.75" customHeight="1" x14ac:dyDescent="0.25">
      <c r="A42" s="7">
        <v>161</v>
      </c>
      <c r="B42" s="10" t="s">
        <v>49</v>
      </c>
      <c r="C42" s="10" t="s">
        <v>53</v>
      </c>
      <c r="D42" s="13" t="s">
        <v>51</v>
      </c>
      <c r="E42" s="9" t="s">
        <v>50</v>
      </c>
      <c r="F42" s="4">
        <v>1</v>
      </c>
      <c r="G42" s="4">
        <v>3</v>
      </c>
      <c r="H42" s="4">
        <v>2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1</v>
      </c>
      <c r="AG42" s="14">
        <f t="shared" si="0"/>
        <v>0</v>
      </c>
      <c r="AH42" s="14">
        <f t="shared" si="1"/>
        <v>0</v>
      </c>
      <c r="AI42" s="14">
        <f t="shared" si="2"/>
        <v>0</v>
      </c>
      <c r="AJ42" s="14">
        <f t="shared" si="3"/>
        <v>0.5</v>
      </c>
      <c r="AK42" s="5">
        <v>0</v>
      </c>
      <c r="AL42" s="5">
        <v>0</v>
      </c>
      <c r="AM42" s="5">
        <v>0</v>
      </c>
      <c r="AN42" s="4">
        <v>2</v>
      </c>
      <c r="AO42" s="4">
        <v>22</v>
      </c>
      <c r="AP42" s="4">
        <v>1</v>
      </c>
      <c r="AQ42" s="5">
        <v>1</v>
      </c>
    </row>
    <row r="43" spans="1:43" ht="15.75" customHeight="1" x14ac:dyDescent="0.25">
      <c r="A43" s="7">
        <v>162</v>
      </c>
      <c r="B43" s="10" t="s">
        <v>49</v>
      </c>
      <c r="C43" s="10" t="s">
        <v>53</v>
      </c>
      <c r="D43" s="13" t="s">
        <v>51</v>
      </c>
      <c r="E43" s="9" t="s">
        <v>50</v>
      </c>
      <c r="F43" s="4">
        <v>1</v>
      </c>
      <c r="G43" s="4">
        <v>1</v>
      </c>
      <c r="H43" s="4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1</v>
      </c>
      <c r="P43" s="6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1</v>
      </c>
      <c r="X43" s="7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1</v>
      </c>
      <c r="AE43" s="6">
        <v>1</v>
      </c>
      <c r="AF43" s="6">
        <v>0</v>
      </c>
      <c r="AG43" s="14">
        <f t="shared" si="0"/>
        <v>0</v>
      </c>
      <c r="AH43" s="14">
        <f t="shared" si="1"/>
        <v>0</v>
      </c>
      <c r="AI43" s="14">
        <f t="shared" si="2"/>
        <v>0.5</v>
      </c>
      <c r="AJ43" s="14">
        <f t="shared" si="3"/>
        <v>0.5</v>
      </c>
      <c r="AK43" s="5">
        <v>0</v>
      </c>
      <c r="AL43" s="5">
        <v>0</v>
      </c>
      <c r="AM43" s="5">
        <v>0</v>
      </c>
      <c r="AN43" s="4">
        <v>2</v>
      </c>
      <c r="AO43" s="4">
        <v>20</v>
      </c>
      <c r="AP43" s="4">
        <v>2</v>
      </c>
      <c r="AQ43" s="5">
        <v>1</v>
      </c>
    </row>
    <row r="44" spans="1:43" ht="15.75" customHeight="1" x14ac:dyDescent="0.25">
      <c r="A44" s="7">
        <v>163</v>
      </c>
      <c r="B44" s="10" t="s">
        <v>49</v>
      </c>
      <c r="C44" s="10" t="s">
        <v>53</v>
      </c>
      <c r="D44" s="13" t="s">
        <v>51</v>
      </c>
      <c r="E44" s="9" t="s">
        <v>50</v>
      </c>
      <c r="F44" s="4">
        <v>2</v>
      </c>
      <c r="G44" s="4">
        <v>3</v>
      </c>
      <c r="H44" s="4">
        <v>1</v>
      </c>
      <c r="I44" s="6">
        <v>1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>
        <v>1</v>
      </c>
      <c r="R44" s="7">
        <v>0</v>
      </c>
      <c r="S44" s="7">
        <v>1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6">
        <v>1</v>
      </c>
      <c r="Z44" s="6">
        <v>0</v>
      </c>
      <c r="AA44" s="6">
        <v>1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14">
        <f t="shared" si="0"/>
        <v>0.5</v>
      </c>
      <c r="AH44" s="14">
        <f t="shared" si="1"/>
        <v>0.5</v>
      </c>
      <c r="AI44" s="14">
        <f t="shared" si="2"/>
        <v>0</v>
      </c>
      <c r="AJ44" s="14">
        <f t="shared" si="3"/>
        <v>0</v>
      </c>
      <c r="AK44" s="5">
        <v>0</v>
      </c>
      <c r="AL44" s="5">
        <v>0</v>
      </c>
      <c r="AM44" s="5">
        <v>0</v>
      </c>
      <c r="AN44" s="4">
        <v>1</v>
      </c>
      <c r="AO44" s="4">
        <v>18</v>
      </c>
      <c r="AP44" s="4">
        <v>4</v>
      </c>
      <c r="AQ44" s="5">
        <v>1</v>
      </c>
    </row>
    <row r="45" spans="1:43" ht="15.75" customHeight="1" x14ac:dyDescent="0.25">
      <c r="A45" s="7">
        <v>164</v>
      </c>
      <c r="B45" s="10" t="s">
        <v>49</v>
      </c>
      <c r="C45" s="10" t="s">
        <v>53</v>
      </c>
      <c r="D45" s="13" t="s">
        <v>51</v>
      </c>
      <c r="E45" s="9" t="s">
        <v>50</v>
      </c>
      <c r="F45" s="4">
        <v>2</v>
      </c>
      <c r="G45" s="4">
        <v>3</v>
      </c>
      <c r="H45" s="4">
        <v>2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6">
        <v>1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14">
        <f t="shared" si="0"/>
        <v>0.5</v>
      </c>
      <c r="AH45" s="14">
        <f t="shared" si="1"/>
        <v>0</v>
      </c>
      <c r="AI45" s="14">
        <f t="shared" si="2"/>
        <v>0</v>
      </c>
      <c r="AJ45" s="14">
        <f t="shared" si="3"/>
        <v>0</v>
      </c>
      <c r="AK45" s="5">
        <v>0</v>
      </c>
      <c r="AL45" s="5">
        <v>0</v>
      </c>
      <c r="AM45" s="5">
        <v>0</v>
      </c>
      <c r="AN45" s="4">
        <v>1</v>
      </c>
      <c r="AO45" s="4">
        <v>36</v>
      </c>
      <c r="AP45" s="4">
        <v>2</v>
      </c>
      <c r="AQ45" s="5">
        <v>1</v>
      </c>
    </row>
    <row r="46" spans="1:43" ht="15.75" customHeight="1" x14ac:dyDescent="0.25">
      <c r="A46" s="7">
        <v>165</v>
      </c>
      <c r="B46" s="10" t="s">
        <v>49</v>
      </c>
      <c r="C46" s="10" t="s">
        <v>53</v>
      </c>
      <c r="D46" s="13" t="s">
        <v>51</v>
      </c>
      <c r="E46" s="9" t="s">
        <v>50</v>
      </c>
      <c r="F46" s="4">
        <v>2</v>
      </c>
      <c r="G46" s="4">
        <v>2</v>
      </c>
      <c r="H46" s="4">
        <v>2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  <c r="P46" s="6">
        <v>1</v>
      </c>
      <c r="Q46" s="7">
        <v>0</v>
      </c>
      <c r="R46" s="7">
        <v>0</v>
      </c>
      <c r="S46" s="7">
        <v>1</v>
      </c>
      <c r="T46" s="7">
        <v>0</v>
      </c>
      <c r="U46" s="7">
        <v>0</v>
      </c>
      <c r="V46" s="7">
        <v>0</v>
      </c>
      <c r="W46" s="7">
        <v>0</v>
      </c>
      <c r="X46" s="7">
        <v>1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0</v>
      </c>
      <c r="AE46" s="6">
        <v>0</v>
      </c>
      <c r="AF46" s="6">
        <v>1</v>
      </c>
      <c r="AG46" s="14">
        <f t="shared" si="0"/>
        <v>0</v>
      </c>
      <c r="AH46" s="14">
        <f t="shared" si="1"/>
        <v>0.5</v>
      </c>
      <c r="AI46" s="14">
        <f t="shared" si="2"/>
        <v>0</v>
      </c>
      <c r="AJ46" s="14">
        <f t="shared" si="3"/>
        <v>0.5</v>
      </c>
      <c r="AK46" s="5">
        <v>0</v>
      </c>
      <c r="AL46" s="5">
        <v>0</v>
      </c>
      <c r="AM46" s="5">
        <v>0</v>
      </c>
      <c r="AN46" s="4">
        <v>1</v>
      </c>
      <c r="AO46" s="4">
        <v>18</v>
      </c>
      <c r="AP46" s="4">
        <v>2</v>
      </c>
      <c r="AQ46" s="5">
        <v>1</v>
      </c>
    </row>
    <row r="47" spans="1:43" ht="15.75" customHeight="1" x14ac:dyDescent="0.25">
      <c r="A47" s="7">
        <v>166</v>
      </c>
      <c r="B47" s="10" t="s">
        <v>49</v>
      </c>
      <c r="C47" s="10" t="s">
        <v>53</v>
      </c>
      <c r="D47" s="13" t="s">
        <v>51</v>
      </c>
      <c r="E47" s="9" t="s">
        <v>50</v>
      </c>
      <c r="F47" s="4">
        <v>2</v>
      </c>
      <c r="G47" s="4">
        <v>1</v>
      </c>
      <c r="H47" s="4">
        <v>1</v>
      </c>
      <c r="I47" s="6">
        <v>0</v>
      </c>
      <c r="J47" s="6">
        <v>0</v>
      </c>
      <c r="K47" s="6">
        <v>1</v>
      </c>
      <c r="L47" s="6">
        <v>1</v>
      </c>
      <c r="M47" s="6">
        <v>0</v>
      </c>
      <c r="N47" s="6">
        <v>0</v>
      </c>
      <c r="O47" s="6">
        <v>1</v>
      </c>
      <c r="P47" s="6">
        <v>0</v>
      </c>
      <c r="Q47" s="7">
        <v>0</v>
      </c>
      <c r="R47" s="7">
        <v>0</v>
      </c>
      <c r="S47" s="7">
        <v>1</v>
      </c>
      <c r="T47" s="7">
        <v>1</v>
      </c>
      <c r="U47" s="7">
        <v>0</v>
      </c>
      <c r="V47" s="7">
        <v>0</v>
      </c>
      <c r="W47" s="7">
        <v>1</v>
      </c>
      <c r="X47" s="7">
        <v>0</v>
      </c>
      <c r="Y47" s="6">
        <v>0</v>
      </c>
      <c r="Z47" s="6">
        <v>0</v>
      </c>
      <c r="AA47" s="6">
        <v>1</v>
      </c>
      <c r="AB47" s="6">
        <v>1</v>
      </c>
      <c r="AC47" s="6">
        <v>0</v>
      </c>
      <c r="AD47" s="6">
        <v>0</v>
      </c>
      <c r="AE47" s="6">
        <v>1</v>
      </c>
      <c r="AF47" s="6">
        <v>0</v>
      </c>
      <c r="AG47" s="14">
        <f t="shared" si="0"/>
        <v>0</v>
      </c>
      <c r="AH47" s="14">
        <f t="shared" si="1"/>
        <v>1</v>
      </c>
      <c r="AI47" s="14">
        <f t="shared" si="2"/>
        <v>0</v>
      </c>
      <c r="AJ47" s="14">
        <f t="shared" si="3"/>
        <v>0.5</v>
      </c>
      <c r="AK47" s="5">
        <v>0</v>
      </c>
      <c r="AL47" s="5">
        <v>0</v>
      </c>
      <c r="AM47" s="5">
        <v>0</v>
      </c>
      <c r="AN47" s="4">
        <v>1</v>
      </c>
      <c r="AO47" s="4">
        <v>21</v>
      </c>
      <c r="AP47" s="4">
        <v>1</v>
      </c>
      <c r="AQ47" s="5">
        <v>1</v>
      </c>
    </row>
    <row r="48" spans="1:43" ht="15.75" customHeight="1" x14ac:dyDescent="0.25">
      <c r="A48" s="7">
        <v>167</v>
      </c>
      <c r="B48" s="10" t="s">
        <v>49</v>
      </c>
      <c r="C48" s="10" t="s">
        <v>53</v>
      </c>
      <c r="D48" s="13" t="s">
        <v>51</v>
      </c>
      <c r="E48" s="9" t="s">
        <v>50</v>
      </c>
      <c r="F48" s="4">
        <v>1</v>
      </c>
      <c r="G48" s="4">
        <v>1</v>
      </c>
      <c r="H48" s="4">
        <v>2</v>
      </c>
      <c r="I48" s="6">
        <v>1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6">
        <v>1</v>
      </c>
      <c r="Q48" s="7">
        <v>1</v>
      </c>
      <c r="R48" s="7">
        <v>0</v>
      </c>
      <c r="S48" s="7">
        <v>0</v>
      </c>
      <c r="T48" s="7">
        <v>0</v>
      </c>
      <c r="U48" s="7">
        <v>1</v>
      </c>
      <c r="V48" s="7">
        <v>0</v>
      </c>
      <c r="W48" s="7">
        <v>0</v>
      </c>
      <c r="X48" s="7">
        <v>1</v>
      </c>
      <c r="Y48" s="6">
        <v>1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1</v>
      </c>
      <c r="AG48" s="14">
        <f t="shared" si="0"/>
        <v>0.5</v>
      </c>
      <c r="AH48" s="14">
        <f t="shared" si="1"/>
        <v>0</v>
      </c>
      <c r="AI48" s="14">
        <f t="shared" si="2"/>
        <v>0.5</v>
      </c>
      <c r="AJ48" s="14">
        <f t="shared" si="3"/>
        <v>0.5</v>
      </c>
      <c r="AK48" s="5">
        <v>0</v>
      </c>
      <c r="AL48" s="5">
        <v>0</v>
      </c>
      <c r="AM48" s="5">
        <v>0</v>
      </c>
      <c r="AN48" s="4">
        <v>2</v>
      </c>
      <c r="AO48" s="4">
        <v>20</v>
      </c>
      <c r="AP48" s="4">
        <v>1</v>
      </c>
      <c r="AQ48" s="5">
        <v>1</v>
      </c>
    </row>
    <row r="49" spans="1:43" ht="15.75" customHeight="1" x14ac:dyDescent="0.25">
      <c r="A49" s="7">
        <v>168</v>
      </c>
      <c r="B49" s="10" t="s">
        <v>49</v>
      </c>
      <c r="C49" s="10" t="s">
        <v>53</v>
      </c>
      <c r="D49" s="13" t="s">
        <v>51</v>
      </c>
      <c r="E49" s="9" t="s">
        <v>50</v>
      </c>
      <c r="F49" s="4">
        <v>1</v>
      </c>
      <c r="G49" s="4">
        <v>2</v>
      </c>
      <c r="H49" s="4">
        <v>2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6">
        <v>1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14">
        <f t="shared" si="0"/>
        <v>0.5</v>
      </c>
      <c r="AH49" s="14">
        <f t="shared" si="1"/>
        <v>0</v>
      </c>
      <c r="AI49" s="14">
        <f t="shared" si="2"/>
        <v>0</v>
      </c>
      <c r="AJ49" s="14">
        <f t="shared" si="3"/>
        <v>0</v>
      </c>
      <c r="AK49" s="5">
        <v>0</v>
      </c>
      <c r="AL49" s="5">
        <v>0</v>
      </c>
      <c r="AM49" s="5">
        <v>0</v>
      </c>
      <c r="AN49" s="4">
        <v>2</v>
      </c>
      <c r="AO49" s="4">
        <v>20</v>
      </c>
      <c r="AP49" s="4">
        <v>1</v>
      </c>
      <c r="AQ49" s="5">
        <v>1</v>
      </c>
    </row>
    <row r="50" spans="1:43" ht="15.75" customHeight="1" x14ac:dyDescent="0.25">
      <c r="A50" s="7">
        <v>169</v>
      </c>
      <c r="B50" s="10" t="s">
        <v>49</v>
      </c>
      <c r="C50" s="10" t="s">
        <v>53</v>
      </c>
      <c r="D50" s="13" t="s">
        <v>51</v>
      </c>
      <c r="E50" s="9" t="s">
        <v>50</v>
      </c>
      <c r="F50" s="4">
        <v>2</v>
      </c>
      <c r="G50" s="4">
        <v>1</v>
      </c>
      <c r="H50" s="4">
        <v>1</v>
      </c>
      <c r="I50" s="6">
        <v>0</v>
      </c>
      <c r="J50" s="6">
        <v>1</v>
      </c>
      <c r="K50" s="6">
        <v>0</v>
      </c>
      <c r="L50" s="6">
        <v>0</v>
      </c>
      <c r="M50" s="6">
        <v>1</v>
      </c>
      <c r="N50" s="6">
        <v>0</v>
      </c>
      <c r="O50" s="6">
        <v>1</v>
      </c>
      <c r="P50" s="6">
        <v>0</v>
      </c>
      <c r="Q50" s="7">
        <v>0</v>
      </c>
      <c r="R50" s="7">
        <v>1</v>
      </c>
      <c r="S50" s="7">
        <v>0</v>
      </c>
      <c r="T50" s="7">
        <v>0</v>
      </c>
      <c r="U50" s="7">
        <v>1</v>
      </c>
      <c r="V50" s="7">
        <v>0</v>
      </c>
      <c r="W50" s="7">
        <v>1</v>
      </c>
      <c r="X50" s="7">
        <v>0</v>
      </c>
      <c r="Y50" s="6">
        <v>0</v>
      </c>
      <c r="Z50" s="6">
        <v>1</v>
      </c>
      <c r="AA50" s="6">
        <v>0</v>
      </c>
      <c r="AB50" s="6">
        <v>0</v>
      </c>
      <c r="AC50" s="6">
        <v>1</v>
      </c>
      <c r="AD50" s="6">
        <v>0</v>
      </c>
      <c r="AE50" s="6">
        <v>1</v>
      </c>
      <c r="AF50" s="6">
        <v>0</v>
      </c>
      <c r="AG50" s="14">
        <f t="shared" si="0"/>
        <v>0.5</v>
      </c>
      <c r="AH50" s="14">
        <f t="shared" si="1"/>
        <v>0</v>
      </c>
      <c r="AI50" s="14">
        <f t="shared" si="2"/>
        <v>0.5</v>
      </c>
      <c r="AJ50" s="14">
        <f t="shared" si="3"/>
        <v>0.5</v>
      </c>
      <c r="AK50" s="5">
        <v>0</v>
      </c>
      <c r="AL50" s="5">
        <v>0</v>
      </c>
      <c r="AM50" s="5">
        <v>0</v>
      </c>
      <c r="AN50" s="4">
        <v>1</v>
      </c>
      <c r="AO50" s="4">
        <v>20</v>
      </c>
      <c r="AP50" s="4">
        <v>2</v>
      </c>
      <c r="AQ50" s="5">
        <v>1</v>
      </c>
    </row>
    <row r="51" spans="1:43" ht="15.75" customHeight="1" x14ac:dyDescent="0.25">
      <c r="A51" s="7">
        <v>170</v>
      </c>
      <c r="B51" s="10" t="s">
        <v>49</v>
      </c>
      <c r="C51" s="10" t="s">
        <v>53</v>
      </c>
      <c r="D51" s="13" t="s">
        <v>51</v>
      </c>
      <c r="E51" s="9" t="s">
        <v>50</v>
      </c>
      <c r="F51" s="4">
        <v>1</v>
      </c>
      <c r="G51" s="4">
        <v>2</v>
      </c>
      <c r="H51" s="4">
        <v>2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14">
        <f t="shared" si="0"/>
        <v>0</v>
      </c>
      <c r="AH51" s="14">
        <f t="shared" si="1"/>
        <v>0</v>
      </c>
      <c r="AI51" s="14">
        <f t="shared" si="2"/>
        <v>0</v>
      </c>
      <c r="AJ51" s="14">
        <f t="shared" si="3"/>
        <v>0</v>
      </c>
      <c r="AK51" s="5">
        <v>0</v>
      </c>
      <c r="AL51" s="5">
        <v>0</v>
      </c>
      <c r="AM51" s="5">
        <v>0</v>
      </c>
      <c r="AN51" s="4">
        <v>2</v>
      </c>
      <c r="AO51" s="4">
        <v>19</v>
      </c>
      <c r="AP51" s="4">
        <v>2</v>
      </c>
      <c r="AQ51" s="5">
        <v>1</v>
      </c>
    </row>
    <row r="52" spans="1:43" ht="15.75" customHeight="1" x14ac:dyDescent="0.25">
      <c r="A52" s="7">
        <v>171</v>
      </c>
      <c r="B52" s="10" t="s">
        <v>49</v>
      </c>
      <c r="C52" s="10" t="s">
        <v>53</v>
      </c>
      <c r="D52" s="13" t="s">
        <v>51</v>
      </c>
      <c r="E52" s="9" t="s">
        <v>50</v>
      </c>
      <c r="F52" s="4">
        <v>1</v>
      </c>
      <c r="G52" s="4">
        <v>3</v>
      </c>
      <c r="H52" s="4">
        <v>1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1</v>
      </c>
      <c r="P52" s="6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0</v>
      </c>
      <c r="W52" s="7">
        <v>1</v>
      </c>
      <c r="X52" s="7">
        <v>0</v>
      </c>
      <c r="Y52" s="6">
        <v>0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1</v>
      </c>
      <c r="AF52" s="6">
        <v>0</v>
      </c>
      <c r="AG52" s="14">
        <f t="shared" si="0"/>
        <v>0</v>
      </c>
      <c r="AH52" s="14">
        <f t="shared" si="1"/>
        <v>0</v>
      </c>
      <c r="AI52" s="14">
        <f t="shared" si="2"/>
        <v>0.5</v>
      </c>
      <c r="AJ52" s="14">
        <f t="shared" si="3"/>
        <v>0.5</v>
      </c>
      <c r="AK52" s="5">
        <v>0</v>
      </c>
      <c r="AL52" s="5">
        <v>0</v>
      </c>
      <c r="AM52" s="5">
        <v>0</v>
      </c>
      <c r="AN52" s="4">
        <v>1</v>
      </c>
      <c r="AO52" s="4">
        <v>19</v>
      </c>
      <c r="AP52" s="4">
        <v>2</v>
      </c>
      <c r="AQ52" s="5">
        <v>1</v>
      </c>
    </row>
    <row r="53" spans="1:43" ht="15.75" customHeight="1" x14ac:dyDescent="0.25">
      <c r="A53" s="7">
        <v>172</v>
      </c>
      <c r="B53" s="10" t="s">
        <v>49</v>
      </c>
      <c r="C53" s="10" t="s">
        <v>53</v>
      </c>
      <c r="D53" s="13" t="s">
        <v>51</v>
      </c>
      <c r="E53" s="9" t="s">
        <v>50</v>
      </c>
      <c r="F53" s="4">
        <v>2</v>
      </c>
      <c r="G53" s="4">
        <v>3</v>
      </c>
      <c r="H53" s="4">
        <v>1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1</v>
      </c>
      <c r="P53" s="6">
        <v>0</v>
      </c>
      <c r="Q53" s="7">
        <v>0</v>
      </c>
      <c r="R53" s="7">
        <v>0</v>
      </c>
      <c r="S53" s="7">
        <v>0</v>
      </c>
      <c r="T53" s="7">
        <v>0</v>
      </c>
      <c r="U53" s="7">
        <v>1</v>
      </c>
      <c r="V53" s="7">
        <v>0</v>
      </c>
      <c r="W53" s="7">
        <v>1</v>
      </c>
      <c r="X53" s="7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1</v>
      </c>
      <c r="AF53" s="6">
        <v>0</v>
      </c>
      <c r="AG53" s="14">
        <f t="shared" si="0"/>
        <v>0</v>
      </c>
      <c r="AH53" s="14">
        <f t="shared" si="1"/>
        <v>0</v>
      </c>
      <c r="AI53" s="14">
        <f t="shared" si="2"/>
        <v>0.5</v>
      </c>
      <c r="AJ53" s="14">
        <f t="shared" si="3"/>
        <v>0.5</v>
      </c>
      <c r="AK53" s="5">
        <v>1</v>
      </c>
      <c r="AL53" s="5">
        <v>1</v>
      </c>
      <c r="AM53" s="5">
        <v>1</v>
      </c>
      <c r="AN53" s="4">
        <v>2</v>
      </c>
      <c r="AO53" s="4">
        <v>19</v>
      </c>
      <c r="AP53" s="4">
        <v>1</v>
      </c>
      <c r="AQ53" s="5">
        <v>1</v>
      </c>
    </row>
    <row r="54" spans="1:43" ht="15.75" customHeight="1" x14ac:dyDescent="0.25">
      <c r="A54" s="7">
        <v>173</v>
      </c>
      <c r="B54" s="10" t="s">
        <v>49</v>
      </c>
      <c r="C54" s="10" t="s">
        <v>53</v>
      </c>
      <c r="D54" s="13" t="s">
        <v>51</v>
      </c>
      <c r="E54" s="9" t="s">
        <v>50</v>
      </c>
      <c r="F54" s="4">
        <v>1</v>
      </c>
      <c r="G54" s="4">
        <v>1</v>
      </c>
      <c r="H54" s="4">
        <v>2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7">
        <v>0</v>
      </c>
      <c r="R54" s="7">
        <v>0</v>
      </c>
      <c r="S54" s="7">
        <v>0</v>
      </c>
      <c r="T54" s="7">
        <v>0</v>
      </c>
      <c r="U54" s="7">
        <v>1</v>
      </c>
      <c r="V54" s="7">
        <v>0</v>
      </c>
      <c r="W54" s="7">
        <v>0</v>
      </c>
      <c r="X54" s="7">
        <v>0</v>
      </c>
      <c r="Y54" s="6">
        <v>0</v>
      </c>
      <c r="Z54" s="6">
        <v>0</v>
      </c>
      <c r="AA54" s="6">
        <v>0</v>
      </c>
      <c r="AB54" s="6">
        <v>0</v>
      </c>
      <c r="AC54" s="6">
        <v>1</v>
      </c>
      <c r="AD54" s="6">
        <v>0</v>
      </c>
      <c r="AE54" s="6">
        <v>0</v>
      </c>
      <c r="AF54" s="6">
        <v>0</v>
      </c>
      <c r="AG54" s="14">
        <f t="shared" si="0"/>
        <v>0</v>
      </c>
      <c r="AH54" s="14">
        <f t="shared" si="1"/>
        <v>0</v>
      </c>
      <c r="AI54" s="14">
        <f t="shared" si="2"/>
        <v>0.5</v>
      </c>
      <c r="AJ54" s="14">
        <f t="shared" si="3"/>
        <v>0</v>
      </c>
      <c r="AK54" s="5">
        <v>0</v>
      </c>
      <c r="AL54" s="5">
        <v>0</v>
      </c>
      <c r="AM54" s="5">
        <v>0</v>
      </c>
      <c r="AN54" s="4">
        <v>2</v>
      </c>
      <c r="AO54" s="4">
        <v>21</v>
      </c>
      <c r="AP54" s="4">
        <v>2</v>
      </c>
      <c r="AQ54" s="5">
        <v>1</v>
      </c>
    </row>
    <row r="55" spans="1:43" ht="15.75" customHeight="1" x14ac:dyDescent="0.25">
      <c r="A55" s="7">
        <v>174</v>
      </c>
      <c r="B55" s="10" t="s">
        <v>49</v>
      </c>
      <c r="C55" s="10" t="s">
        <v>53</v>
      </c>
      <c r="D55" s="13" t="s">
        <v>51</v>
      </c>
      <c r="E55" s="9" t="s">
        <v>50</v>
      </c>
      <c r="F55" s="4">
        <v>2</v>
      </c>
      <c r="G55" s="4">
        <v>1</v>
      </c>
      <c r="H55" s="4">
        <v>1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7">
        <v>0</v>
      </c>
      <c r="R55" s="7">
        <v>0</v>
      </c>
      <c r="S55" s="7">
        <v>0</v>
      </c>
      <c r="T55" s="7">
        <v>1</v>
      </c>
      <c r="U55" s="7">
        <v>0</v>
      </c>
      <c r="V55" s="7">
        <v>0</v>
      </c>
      <c r="W55" s="7">
        <v>0</v>
      </c>
      <c r="X55" s="7">
        <v>0</v>
      </c>
      <c r="Y55" s="6">
        <v>0</v>
      </c>
      <c r="Z55" s="6">
        <v>0</v>
      </c>
      <c r="AA55" s="6">
        <v>0</v>
      </c>
      <c r="AB55" s="6">
        <v>1</v>
      </c>
      <c r="AC55" s="6">
        <v>0</v>
      </c>
      <c r="AD55" s="6">
        <v>0</v>
      </c>
      <c r="AE55" s="6">
        <v>0</v>
      </c>
      <c r="AF55" s="6">
        <v>0</v>
      </c>
      <c r="AG55" s="14">
        <f t="shared" si="0"/>
        <v>0</v>
      </c>
      <c r="AH55" s="14">
        <f t="shared" si="1"/>
        <v>0.5</v>
      </c>
      <c r="AI55" s="14">
        <f t="shared" si="2"/>
        <v>0</v>
      </c>
      <c r="AJ55" s="14">
        <f t="shared" si="3"/>
        <v>0</v>
      </c>
      <c r="AK55" s="5">
        <v>0</v>
      </c>
      <c r="AL55" s="5">
        <v>0</v>
      </c>
      <c r="AM55" s="5">
        <v>0</v>
      </c>
      <c r="AN55" s="4">
        <v>1</v>
      </c>
      <c r="AO55" s="4">
        <v>19</v>
      </c>
      <c r="AP55" s="4">
        <v>1</v>
      </c>
      <c r="AQ55" s="5">
        <v>1</v>
      </c>
    </row>
    <row r="56" spans="1:43" ht="15.75" customHeight="1" x14ac:dyDescent="0.25">
      <c r="A56" s="7">
        <v>175</v>
      </c>
      <c r="B56" s="10" t="s">
        <v>49</v>
      </c>
      <c r="C56" s="10" t="s">
        <v>53</v>
      </c>
      <c r="D56" s="13" t="s">
        <v>51</v>
      </c>
      <c r="E56" s="9" t="s">
        <v>50</v>
      </c>
      <c r="F56" s="4">
        <v>1</v>
      </c>
      <c r="G56" s="4">
        <v>1</v>
      </c>
      <c r="H56" s="4">
        <v>2</v>
      </c>
      <c r="I56" s="6">
        <v>0</v>
      </c>
      <c r="J56" s="6">
        <v>0</v>
      </c>
      <c r="K56" s="6">
        <v>0</v>
      </c>
      <c r="L56" s="6">
        <v>0</v>
      </c>
      <c r="M56" s="6">
        <v>1</v>
      </c>
      <c r="N56" s="6">
        <v>1</v>
      </c>
      <c r="O56" s="6">
        <v>0</v>
      </c>
      <c r="P56" s="6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  <c r="W56" s="7">
        <v>0</v>
      </c>
      <c r="X56" s="7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1</v>
      </c>
      <c r="AE56" s="6">
        <v>0</v>
      </c>
      <c r="AF56" s="6">
        <v>0</v>
      </c>
      <c r="AG56" s="14">
        <f t="shared" si="0"/>
        <v>0</v>
      </c>
      <c r="AH56" s="14">
        <f t="shared" si="1"/>
        <v>0</v>
      </c>
      <c r="AI56" s="14">
        <f t="shared" si="2"/>
        <v>1</v>
      </c>
      <c r="AJ56" s="14">
        <f t="shared" si="3"/>
        <v>0</v>
      </c>
      <c r="AK56" s="5">
        <v>0</v>
      </c>
      <c r="AL56" s="5">
        <v>0</v>
      </c>
      <c r="AM56" s="5">
        <v>0</v>
      </c>
      <c r="AN56" s="4">
        <v>2</v>
      </c>
      <c r="AO56" s="4">
        <v>18</v>
      </c>
      <c r="AP56" s="4">
        <v>2</v>
      </c>
      <c r="AQ56" s="5">
        <v>1</v>
      </c>
    </row>
    <row r="57" spans="1:43" ht="15.75" customHeight="1" x14ac:dyDescent="0.25">
      <c r="A57" s="7">
        <v>176</v>
      </c>
      <c r="B57" s="10" t="s">
        <v>49</v>
      </c>
      <c r="C57" s="10" t="s">
        <v>53</v>
      </c>
      <c r="D57" s="13" t="s">
        <v>51</v>
      </c>
      <c r="E57" s="9" t="s">
        <v>50</v>
      </c>
      <c r="F57" s="4">
        <v>2</v>
      </c>
      <c r="G57" s="4">
        <v>1</v>
      </c>
      <c r="H57" s="4">
        <v>1</v>
      </c>
      <c r="I57" s="6">
        <v>0</v>
      </c>
      <c r="J57" s="6">
        <v>0</v>
      </c>
      <c r="K57" s="6">
        <v>0</v>
      </c>
      <c r="L57" s="6">
        <v>1</v>
      </c>
      <c r="M57" s="6">
        <v>0</v>
      </c>
      <c r="N57" s="6">
        <v>0</v>
      </c>
      <c r="O57" s="6">
        <v>0</v>
      </c>
      <c r="P57" s="6">
        <v>1</v>
      </c>
      <c r="Q57" s="7">
        <v>0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1</v>
      </c>
      <c r="Y57" s="6">
        <v>0</v>
      </c>
      <c r="Z57" s="6">
        <v>0</v>
      </c>
      <c r="AA57" s="6">
        <v>0</v>
      </c>
      <c r="AB57" s="6">
        <v>1</v>
      </c>
      <c r="AC57" s="6">
        <v>0</v>
      </c>
      <c r="AD57" s="6">
        <v>0</v>
      </c>
      <c r="AE57" s="6">
        <v>0</v>
      </c>
      <c r="AF57" s="6">
        <v>1</v>
      </c>
      <c r="AG57" s="14">
        <f t="shared" si="0"/>
        <v>0</v>
      </c>
      <c r="AH57" s="14">
        <f t="shared" si="1"/>
        <v>0.5</v>
      </c>
      <c r="AI57" s="14">
        <f t="shared" si="2"/>
        <v>0</v>
      </c>
      <c r="AJ57" s="14">
        <f t="shared" si="3"/>
        <v>0.5</v>
      </c>
      <c r="AK57" s="5">
        <v>0</v>
      </c>
      <c r="AL57" s="5">
        <v>0</v>
      </c>
      <c r="AM57" s="5">
        <v>0</v>
      </c>
      <c r="AN57" s="4">
        <v>1</v>
      </c>
      <c r="AO57" s="4">
        <v>19</v>
      </c>
      <c r="AP57" s="4">
        <v>2</v>
      </c>
      <c r="AQ57" s="5">
        <v>1</v>
      </c>
    </row>
    <row r="58" spans="1:43" ht="15.75" customHeight="1" x14ac:dyDescent="0.25">
      <c r="A58" s="7">
        <v>177</v>
      </c>
      <c r="B58" s="10" t="s">
        <v>49</v>
      </c>
      <c r="C58" s="10" t="s">
        <v>53</v>
      </c>
      <c r="D58" s="13" t="s">
        <v>51</v>
      </c>
      <c r="E58" s="9" t="s">
        <v>50</v>
      </c>
      <c r="F58" s="4">
        <v>1</v>
      </c>
      <c r="G58" s="4">
        <v>2</v>
      </c>
      <c r="H58" s="4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14">
        <f t="shared" si="0"/>
        <v>0</v>
      </c>
      <c r="AH58" s="14">
        <f t="shared" si="1"/>
        <v>0</v>
      </c>
      <c r="AI58" s="14">
        <f t="shared" si="2"/>
        <v>0</v>
      </c>
      <c r="AJ58" s="14">
        <f t="shared" si="3"/>
        <v>0</v>
      </c>
      <c r="AK58" s="5">
        <v>0</v>
      </c>
      <c r="AL58" s="5">
        <v>0</v>
      </c>
      <c r="AM58" s="5">
        <v>0</v>
      </c>
      <c r="AN58" s="4">
        <v>2</v>
      </c>
      <c r="AO58" s="4">
        <v>21</v>
      </c>
      <c r="AP58" s="4">
        <v>1</v>
      </c>
      <c r="AQ58" s="5">
        <v>1</v>
      </c>
    </row>
    <row r="59" spans="1:43" ht="15.75" customHeight="1" x14ac:dyDescent="0.25">
      <c r="A59" s="7">
        <v>178</v>
      </c>
      <c r="B59" s="10" t="s">
        <v>49</v>
      </c>
      <c r="C59" s="10" t="s">
        <v>53</v>
      </c>
      <c r="D59" s="13" t="s">
        <v>51</v>
      </c>
      <c r="E59" s="9" t="s">
        <v>50</v>
      </c>
      <c r="F59" s="4">
        <v>1</v>
      </c>
      <c r="G59" s="4">
        <v>3</v>
      </c>
      <c r="H59" s="4">
        <v>2</v>
      </c>
      <c r="I59" s="6">
        <v>0</v>
      </c>
      <c r="J59" s="6">
        <v>0</v>
      </c>
      <c r="K59" s="6">
        <v>1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7">
        <v>0</v>
      </c>
      <c r="R59" s="7">
        <v>0</v>
      </c>
      <c r="S59" s="7">
        <v>1</v>
      </c>
      <c r="T59" s="7">
        <v>0</v>
      </c>
      <c r="U59" s="7">
        <v>1</v>
      </c>
      <c r="V59" s="7">
        <v>0</v>
      </c>
      <c r="W59" s="7">
        <v>0</v>
      </c>
      <c r="X59" s="7">
        <v>0</v>
      </c>
      <c r="Y59" s="6">
        <v>0</v>
      </c>
      <c r="Z59" s="6">
        <v>0</v>
      </c>
      <c r="AA59" s="6">
        <v>1</v>
      </c>
      <c r="AB59" s="6">
        <v>0</v>
      </c>
      <c r="AC59" s="6">
        <v>1</v>
      </c>
      <c r="AD59" s="6">
        <v>0</v>
      </c>
      <c r="AE59" s="6">
        <v>0</v>
      </c>
      <c r="AF59" s="6">
        <v>0</v>
      </c>
      <c r="AG59" s="14">
        <f t="shared" si="0"/>
        <v>0</v>
      </c>
      <c r="AH59" s="14">
        <f t="shared" si="1"/>
        <v>0.5</v>
      </c>
      <c r="AI59" s="14">
        <f t="shared" si="2"/>
        <v>0.5</v>
      </c>
      <c r="AJ59" s="14">
        <f t="shared" si="3"/>
        <v>0</v>
      </c>
      <c r="AK59" s="5">
        <v>0</v>
      </c>
      <c r="AL59" s="5">
        <v>0</v>
      </c>
      <c r="AM59" s="5">
        <v>0</v>
      </c>
      <c r="AN59" s="4">
        <v>2</v>
      </c>
      <c r="AO59" s="4">
        <v>21</v>
      </c>
      <c r="AP59" s="4">
        <v>1</v>
      </c>
      <c r="AQ59" s="5">
        <v>1</v>
      </c>
    </row>
    <row r="60" spans="1:43" ht="15.75" customHeight="1" x14ac:dyDescent="0.25">
      <c r="A60" s="7">
        <v>179</v>
      </c>
      <c r="B60" s="10" t="s">
        <v>49</v>
      </c>
      <c r="C60" s="10" t="s">
        <v>53</v>
      </c>
      <c r="D60" s="13" t="s">
        <v>51</v>
      </c>
      <c r="E60" s="9" t="s">
        <v>50</v>
      </c>
      <c r="F60" s="4">
        <v>2</v>
      </c>
      <c r="G60" s="4">
        <v>1</v>
      </c>
      <c r="H60" s="4">
        <v>1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0</v>
      </c>
      <c r="Y60" s="6">
        <v>0</v>
      </c>
      <c r="Z60" s="6">
        <v>0</v>
      </c>
      <c r="AA60" s="6">
        <v>0</v>
      </c>
      <c r="AB60" s="6">
        <v>0</v>
      </c>
      <c r="AC60" s="6">
        <v>1</v>
      </c>
      <c r="AD60" s="6">
        <v>0</v>
      </c>
      <c r="AE60" s="6">
        <v>0</v>
      </c>
      <c r="AF60" s="6">
        <v>0</v>
      </c>
      <c r="AG60" s="14">
        <f t="shared" si="0"/>
        <v>0</v>
      </c>
      <c r="AH60" s="14">
        <f t="shared" si="1"/>
        <v>0</v>
      </c>
      <c r="AI60" s="14">
        <f t="shared" si="2"/>
        <v>0.5</v>
      </c>
      <c r="AJ60" s="14">
        <f t="shared" si="3"/>
        <v>0</v>
      </c>
      <c r="AK60" s="5">
        <v>0</v>
      </c>
      <c r="AL60" s="5">
        <v>0</v>
      </c>
      <c r="AM60" s="5">
        <v>0</v>
      </c>
      <c r="AN60" s="4">
        <v>1</v>
      </c>
      <c r="AO60" s="4">
        <v>21</v>
      </c>
      <c r="AP60" s="4">
        <v>1</v>
      </c>
      <c r="AQ60" s="5">
        <v>1</v>
      </c>
    </row>
    <row r="61" spans="1:43" ht="15.75" customHeight="1" x14ac:dyDescent="0.25">
      <c r="A61" s="7">
        <v>180</v>
      </c>
      <c r="B61" s="10" t="s">
        <v>49</v>
      </c>
      <c r="C61" s="10" t="s">
        <v>53</v>
      </c>
      <c r="D61" s="13" t="s">
        <v>51</v>
      </c>
      <c r="E61" s="9" t="s">
        <v>50</v>
      </c>
      <c r="F61" s="4">
        <v>2</v>
      </c>
      <c r="G61" s="4">
        <v>3</v>
      </c>
      <c r="H61" s="4">
        <v>2</v>
      </c>
      <c r="I61" s="8" t="s">
        <v>45</v>
      </c>
      <c r="J61" s="8" t="s">
        <v>45</v>
      </c>
      <c r="K61" s="8" t="s">
        <v>45</v>
      </c>
      <c r="L61" s="8" t="s">
        <v>45</v>
      </c>
      <c r="M61" s="8" t="s">
        <v>45</v>
      </c>
      <c r="N61" s="8" t="s">
        <v>45</v>
      </c>
      <c r="O61" s="8" t="s">
        <v>45</v>
      </c>
      <c r="P61" s="8" t="s">
        <v>45</v>
      </c>
      <c r="Q61" s="5" t="s">
        <v>45</v>
      </c>
      <c r="R61" s="5" t="s">
        <v>45</v>
      </c>
      <c r="S61" s="5" t="s">
        <v>45</v>
      </c>
      <c r="T61" s="5" t="s">
        <v>45</v>
      </c>
      <c r="U61" s="5" t="s">
        <v>45</v>
      </c>
      <c r="V61" s="5" t="s">
        <v>45</v>
      </c>
      <c r="W61" s="5" t="s">
        <v>45</v>
      </c>
      <c r="X61" s="5" t="s">
        <v>45</v>
      </c>
      <c r="Y61" s="8" t="s">
        <v>45</v>
      </c>
      <c r="Z61" s="8" t="s">
        <v>45</v>
      </c>
      <c r="AA61" s="8" t="s">
        <v>45</v>
      </c>
      <c r="AB61" s="8" t="s">
        <v>45</v>
      </c>
      <c r="AC61" s="8" t="s">
        <v>45</v>
      </c>
      <c r="AD61" s="8" t="s">
        <v>45</v>
      </c>
      <c r="AE61" s="8" t="s">
        <v>45</v>
      </c>
      <c r="AF61" s="8" t="s">
        <v>45</v>
      </c>
      <c r="AG61" s="15" t="e">
        <f t="shared" si="0"/>
        <v>#DIV/0!</v>
      </c>
      <c r="AH61" s="15" t="e">
        <f t="shared" si="1"/>
        <v>#DIV/0!</v>
      </c>
      <c r="AI61" s="15" t="e">
        <f t="shared" si="2"/>
        <v>#DIV/0!</v>
      </c>
      <c r="AJ61" s="15" t="e">
        <f t="shared" si="3"/>
        <v>#DIV/0!</v>
      </c>
      <c r="AK61" s="5">
        <v>0</v>
      </c>
      <c r="AL61" s="5">
        <v>0</v>
      </c>
      <c r="AM61" s="5">
        <v>0</v>
      </c>
      <c r="AN61" s="4">
        <v>1</v>
      </c>
      <c r="AO61" s="4">
        <v>19</v>
      </c>
      <c r="AP61" s="4">
        <v>2</v>
      </c>
      <c r="AQ61" s="5">
        <v>1</v>
      </c>
    </row>
    <row r="62" spans="1:43" ht="15.75" customHeight="1" x14ac:dyDescent="0.25">
      <c r="A62" s="7">
        <v>181</v>
      </c>
      <c r="B62" s="10" t="s">
        <v>49</v>
      </c>
      <c r="C62" s="10" t="s">
        <v>53</v>
      </c>
      <c r="D62" s="13" t="s">
        <v>51</v>
      </c>
      <c r="E62" s="9" t="s">
        <v>50</v>
      </c>
      <c r="F62" s="4">
        <v>2</v>
      </c>
      <c r="G62" s="4">
        <v>2</v>
      </c>
      <c r="H62" s="4">
        <v>1</v>
      </c>
      <c r="I62" s="6">
        <v>1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7">
        <v>1</v>
      </c>
      <c r="R62" s="7">
        <v>0</v>
      </c>
      <c r="S62" s="7">
        <v>1</v>
      </c>
      <c r="T62" s="7">
        <v>0</v>
      </c>
      <c r="U62" s="7">
        <v>0</v>
      </c>
      <c r="V62" s="7">
        <v>1</v>
      </c>
      <c r="W62" s="7">
        <v>0</v>
      </c>
      <c r="X62" s="7">
        <v>0</v>
      </c>
      <c r="Y62" s="6">
        <v>1</v>
      </c>
      <c r="Z62" s="6">
        <v>0</v>
      </c>
      <c r="AA62" s="6">
        <v>1</v>
      </c>
      <c r="AB62" s="6">
        <v>0</v>
      </c>
      <c r="AC62" s="6">
        <v>0</v>
      </c>
      <c r="AD62" s="6">
        <v>1</v>
      </c>
      <c r="AE62" s="6">
        <v>0</v>
      </c>
      <c r="AF62" s="6">
        <v>0</v>
      </c>
      <c r="AG62" s="14">
        <f t="shared" si="0"/>
        <v>0.5</v>
      </c>
      <c r="AH62" s="14">
        <f t="shared" si="1"/>
        <v>0.5</v>
      </c>
      <c r="AI62" s="14">
        <f t="shared" si="2"/>
        <v>0.5</v>
      </c>
      <c r="AJ62" s="14">
        <f t="shared" si="3"/>
        <v>0</v>
      </c>
      <c r="AK62" s="5">
        <v>0</v>
      </c>
      <c r="AL62" s="5">
        <v>0</v>
      </c>
      <c r="AM62" s="5">
        <v>0</v>
      </c>
      <c r="AN62" s="4">
        <v>1</v>
      </c>
      <c r="AO62" s="4">
        <v>23</v>
      </c>
      <c r="AP62" s="4">
        <v>1</v>
      </c>
      <c r="AQ62" s="5">
        <v>1</v>
      </c>
    </row>
    <row r="63" spans="1:43" ht="15.75" customHeight="1" x14ac:dyDescent="0.25">
      <c r="A63" s="7">
        <v>182</v>
      </c>
      <c r="B63" s="10" t="s">
        <v>49</v>
      </c>
      <c r="C63" s="10" t="s">
        <v>53</v>
      </c>
      <c r="D63" s="13" t="s">
        <v>51</v>
      </c>
      <c r="E63" s="9" t="s">
        <v>50</v>
      </c>
      <c r="F63" s="4">
        <v>1</v>
      </c>
      <c r="G63" s="4">
        <v>2</v>
      </c>
      <c r="H63" s="4">
        <v>2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1</v>
      </c>
      <c r="P63" s="6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1</v>
      </c>
      <c r="X63" s="7">
        <v>0</v>
      </c>
      <c r="Y63" s="6">
        <v>0</v>
      </c>
      <c r="Z63" s="6">
        <v>0</v>
      </c>
      <c r="AA63" s="6">
        <v>0</v>
      </c>
      <c r="AB63" s="6">
        <v>0</v>
      </c>
      <c r="AC63" s="6">
        <v>1</v>
      </c>
      <c r="AD63" s="6">
        <v>0</v>
      </c>
      <c r="AE63" s="6">
        <v>1</v>
      </c>
      <c r="AF63" s="6">
        <v>0</v>
      </c>
      <c r="AG63" s="14">
        <f t="shared" si="0"/>
        <v>0</v>
      </c>
      <c r="AH63" s="14">
        <f t="shared" si="1"/>
        <v>0</v>
      </c>
      <c r="AI63" s="14">
        <f t="shared" si="2"/>
        <v>0.5</v>
      </c>
      <c r="AJ63" s="14">
        <f t="shared" si="3"/>
        <v>0.5</v>
      </c>
      <c r="AK63" s="5">
        <v>0</v>
      </c>
      <c r="AL63" s="5">
        <v>0</v>
      </c>
      <c r="AM63" s="5">
        <v>0</v>
      </c>
      <c r="AN63" s="4">
        <v>2</v>
      </c>
      <c r="AO63" s="4">
        <v>21</v>
      </c>
      <c r="AP63" s="4">
        <v>1</v>
      </c>
      <c r="AQ63" s="5">
        <v>1</v>
      </c>
    </row>
    <row r="64" spans="1:43" ht="15.75" customHeight="1" x14ac:dyDescent="0.25">
      <c r="A64" s="7">
        <v>183</v>
      </c>
      <c r="B64" s="10" t="s">
        <v>49</v>
      </c>
      <c r="C64" s="10" t="s">
        <v>53</v>
      </c>
      <c r="D64" s="13" t="s">
        <v>51</v>
      </c>
      <c r="E64" s="9" t="s">
        <v>50</v>
      </c>
      <c r="F64" s="4">
        <v>1</v>
      </c>
      <c r="G64" s="4">
        <v>2</v>
      </c>
      <c r="H64" s="4">
        <v>2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6">
        <v>1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14">
        <f t="shared" si="0"/>
        <v>0.5</v>
      </c>
      <c r="AH64" s="14">
        <f t="shared" si="1"/>
        <v>0</v>
      </c>
      <c r="AI64" s="14">
        <f t="shared" si="2"/>
        <v>0</v>
      </c>
      <c r="AJ64" s="14">
        <f t="shared" si="3"/>
        <v>0</v>
      </c>
      <c r="AK64" s="5">
        <v>0</v>
      </c>
      <c r="AL64" s="5">
        <v>0</v>
      </c>
      <c r="AM64" s="5">
        <v>0</v>
      </c>
      <c r="AN64" s="4">
        <v>2</v>
      </c>
      <c r="AO64" s="4">
        <v>20</v>
      </c>
      <c r="AP64" s="4">
        <v>1</v>
      </c>
      <c r="AQ64" s="5">
        <v>1</v>
      </c>
    </row>
    <row r="65" spans="1:43" ht="15.75" customHeight="1" x14ac:dyDescent="0.25">
      <c r="A65" s="7">
        <v>184</v>
      </c>
      <c r="B65" s="10" t="s">
        <v>49</v>
      </c>
      <c r="C65" s="10" t="s">
        <v>53</v>
      </c>
      <c r="D65" s="13" t="s">
        <v>51</v>
      </c>
      <c r="E65" s="9" t="s">
        <v>50</v>
      </c>
      <c r="F65" s="4">
        <v>1</v>
      </c>
      <c r="G65" s="4">
        <v>4</v>
      </c>
      <c r="H65" s="4">
        <v>1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7">
        <v>0</v>
      </c>
      <c r="R65" s="7">
        <v>0</v>
      </c>
      <c r="S65" s="7">
        <v>1</v>
      </c>
      <c r="T65" s="7">
        <v>0</v>
      </c>
      <c r="U65" s="7">
        <v>0</v>
      </c>
      <c r="V65" s="7">
        <v>1</v>
      </c>
      <c r="W65" s="7">
        <v>0</v>
      </c>
      <c r="X65" s="7">
        <v>0</v>
      </c>
      <c r="Y65" s="6">
        <v>0</v>
      </c>
      <c r="Z65" s="6">
        <v>0</v>
      </c>
      <c r="AA65" s="6">
        <v>1</v>
      </c>
      <c r="AB65" s="6">
        <v>0</v>
      </c>
      <c r="AC65" s="6">
        <v>0</v>
      </c>
      <c r="AD65" s="6">
        <v>1</v>
      </c>
      <c r="AE65" s="6">
        <v>0</v>
      </c>
      <c r="AF65" s="6">
        <v>0</v>
      </c>
      <c r="AG65" s="14">
        <f t="shared" si="0"/>
        <v>0</v>
      </c>
      <c r="AH65" s="14">
        <f t="shared" si="1"/>
        <v>0.5</v>
      </c>
      <c r="AI65" s="14">
        <f t="shared" si="2"/>
        <v>0.5</v>
      </c>
      <c r="AJ65" s="14">
        <f t="shared" si="3"/>
        <v>0</v>
      </c>
      <c r="AK65" s="5">
        <v>0</v>
      </c>
      <c r="AL65" s="5">
        <v>0</v>
      </c>
      <c r="AM65" s="5">
        <v>0</v>
      </c>
      <c r="AN65" s="4">
        <v>2</v>
      </c>
      <c r="AO65" s="4">
        <v>19</v>
      </c>
      <c r="AP65" s="4">
        <v>2</v>
      </c>
      <c r="AQ65" s="5">
        <v>1</v>
      </c>
    </row>
    <row r="66" spans="1:43" ht="15.75" customHeight="1" x14ac:dyDescent="0.25">
      <c r="A66" s="7">
        <v>185</v>
      </c>
      <c r="B66" s="10" t="s">
        <v>49</v>
      </c>
      <c r="C66" s="10" t="s">
        <v>53</v>
      </c>
      <c r="D66" s="13" t="s">
        <v>51</v>
      </c>
      <c r="E66" s="9" t="s">
        <v>50</v>
      </c>
      <c r="F66" s="4">
        <v>2</v>
      </c>
      <c r="G66" s="4">
        <v>4</v>
      </c>
      <c r="H66" s="4">
        <v>1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7">
        <v>1</v>
      </c>
      <c r="R66" s="7">
        <v>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6">
        <v>1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14">
        <f t="shared" si="0"/>
        <v>1</v>
      </c>
      <c r="AH66" s="14">
        <f t="shared" si="1"/>
        <v>0</v>
      </c>
      <c r="AI66" s="14">
        <f t="shared" si="2"/>
        <v>0</v>
      </c>
      <c r="AJ66" s="14">
        <f t="shared" si="3"/>
        <v>0</v>
      </c>
      <c r="AK66" s="5">
        <v>0</v>
      </c>
      <c r="AL66" s="5">
        <v>0</v>
      </c>
      <c r="AM66" s="5">
        <v>0</v>
      </c>
      <c r="AN66" s="4">
        <v>1</v>
      </c>
      <c r="AO66" s="4">
        <v>18</v>
      </c>
      <c r="AP66" s="4">
        <v>2</v>
      </c>
      <c r="AQ66" s="5">
        <v>1</v>
      </c>
    </row>
    <row r="67" spans="1:43" ht="15.75" customHeight="1" x14ac:dyDescent="0.25">
      <c r="A67" s="7">
        <v>186</v>
      </c>
      <c r="B67" s="10" t="s">
        <v>49</v>
      </c>
      <c r="C67" s="10" t="s">
        <v>53</v>
      </c>
      <c r="D67" s="13" t="s">
        <v>51</v>
      </c>
      <c r="E67" s="9" t="s">
        <v>50</v>
      </c>
      <c r="F67" s="4">
        <v>2</v>
      </c>
      <c r="G67" s="4">
        <v>4</v>
      </c>
      <c r="H67" s="4">
        <v>1</v>
      </c>
      <c r="I67" s="6">
        <v>0</v>
      </c>
      <c r="J67" s="6">
        <v>0</v>
      </c>
      <c r="K67" s="6">
        <v>1</v>
      </c>
      <c r="L67" s="6">
        <v>1</v>
      </c>
      <c r="M67" s="6">
        <v>1</v>
      </c>
      <c r="N67" s="6">
        <v>0</v>
      </c>
      <c r="O67" s="6">
        <v>0</v>
      </c>
      <c r="P67" s="6">
        <v>0</v>
      </c>
      <c r="Q67" s="7">
        <v>0</v>
      </c>
      <c r="R67" s="7">
        <v>0</v>
      </c>
      <c r="S67" s="7">
        <v>1</v>
      </c>
      <c r="T67" s="7">
        <v>1</v>
      </c>
      <c r="U67" s="7">
        <v>1</v>
      </c>
      <c r="V67" s="7">
        <v>0</v>
      </c>
      <c r="W67" s="7">
        <v>0</v>
      </c>
      <c r="X67" s="7">
        <v>0</v>
      </c>
      <c r="Y67" s="6">
        <v>0</v>
      </c>
      <c r="Z67" s="6">
        <v>0</v>
      </c>
      <c r="AA67" s="6">
        <v>1</v>
      </c>
      <c r="AB67" s="6">
        <v>1</v>
      </c>
      <c r="AC67" s="6">
        <v>1</v>
      </c>
      <c r="AD67" s="6">
        <v>0</v>
      </c>
      <c r="AE67" s="6">
        <v>0</v>
      </c>
      <c r="AF67" s="6">
        <v>0</v>
      </c>
      <c r="AG67" s="14">
        <f t="shared" si="0"/>
        <v>0</v>
      </c>
      <c r="AH67" s="14">
        <f t="shared" si="1"/>
        <v>1</v>
      </c>
      <c r="AI67" s="14">
        <f t="shared" si="2"/>
        <v>0.5</v>
      </c>
      <c r="AJ67" s="14">
        <f t="shared" si="3"/>
        <v>0</v>
      </c>
      <c r="AK67" s="5">
        <v>0</v>
      </c>
      <c r="AL67" s="5">
        <v>0</v>
      </c>
      <c r="AM67" s="5">
        <v>0</v>
      </c>
      <c r="AN67" s="4">
        <v>1</v>
      </c>
      <c r="AO67" s="4">
        <v>19</v>
      </c>
      <c r="AP67" s="4">
        <v>1</v>
      </c>
      <c r="AQ67" s="5">
        <v>1</v>
      </c>
    </row>
    <row r="68" spans="1:43" ht="15.75" customHeight="1" x14ac:dyDescent="0.25">
      <c r="A68" s="7">
        <v>187</v>
      </c>
      <c r="B68" s="10" t="s">
        <v>49</v>
      </c>
      <c r="C68" s="10" t="s">
        <v>53</v>
      </c>
      <c r="D68" s="13" t="s">
        <v>51</v>
      </c>
      <c r="E68" s="9" t="s">
        <v>50</v>
      </c>
      <c r="F68" s="4">
        <v>1</v>
      </c>
      <c r="G68" s="4">
        <v>2</v>
      </c>
      <c r="H68" s="4">
        <v>1</v>
      </c>
      <c r="I68" s="6">
        <v>0</v>
      </c>
      <c r="J68" s="6">
        <v>1</v>
      </c>
      <c r="K68" s="6">
        <v>1</v>
      </c>
      <c r="L68" s="6">
        <v>1</v>
      </c>
      <c r="M68" s="6">
        <v>0</v>
      </c>
      <c r="N68" s="6">
        <v>1</v>
      </c>
      <c r="O68" s="6">
        <v>0</v>
      </c>
      <c r="P68" s="6">
        <v>0</v>
      </c>
      <c r="Q68" s="7">
        <v>0</v>
      </c>
      <c r="R68" s="7">
        <v>1</v>
      </c>
      <c r="S68" s="7">
        <v>1</v>
      </c>
      <c r="T68" s="7">
        <v>1</v>
      </c>
      <c r="U68" s="7">
        <v>0</v>
      </c>
      <c r="V68" s="7">
        <v>1</v>
      </c>
      <c r="W68" s="7">
        <v>0</v>
      </c>
      <c r="X68" s="7">
        <v>0</v>
      </c>
      <c r="Y68" s="6">
        <v>0</v>
      </c>
      <c r="Z68" s="6">
        <v>1</v>
      </c>
      <c r="AA68" s="6">
        <v>1</v>
      </c>
      <c r="AB68" s="6">
        <v>1</v>
      </c>
      <c r="AC68" s="6">
        <v>0</v>
      </c>
      <c r="AD68" s="6">
        <v>1</v>
      </c>
      <c r="AE68" s="6">
        <v>0</v>
      </c>
      <c r="AF68" s="6">
        <v>0</v>
      </c>
      <c r="AG68" s="14">
        <f t="shared" si="0"/>
        <v>0.5</v>
      </c>
      <c r="AH68" s="14">
        <f t="shared" si="1"/>
        <v>1</v>
      </c>
      <c r="AI68" s="14">
        <f t="shared" si="2"/>
        <v>0.5</v>
      </c>
      <c r="AJ68" s="14">
        <f t="shared" si="3"/>
        <v>0</v>
      </c>
      <c r="AK68" s="5">
        <v>0</v>
      </c>
      <c r="AL68" s="5">
        <v>0</v>
      </c>
      <c r="AM68" s="5">
        <v>0</v>
      </c>
      <c r="AN68" s="4">
        <v>2</v>
      </c>
      <c r="AO68" s="4">
        <v>19</v>
      </c>
      <c r="AP68" s="4">
        <v>1</v>
      </c>
      <c r="AQ68" s="5">
        <v>1</v>
      </c>
    </row>
    <row r="69" spans="1:43" ht="15.75" customHeight="1" x14ac:dyDescent="0.25">
      <c r="A69" s="7">
        <v>188</v>
      </c>
      <c r="B69" s="10" t="s">
        <v>49</v>
      </c>
      <c r="C69" s="10" t="s">
        <v>53</v>
      </c>
      <c r="D69" s="13" t="s">
        <v>51</v>
      </c>
      <c r="E69" s="9" t="s">
        <v>50</v>
      </c>
      <c r="F69" s="4">
        <v>2</v>
      </c>
      <c r="G69" s="4">
        <v>4</v>
      </c>
      <c r="H69" s="4">
        <v>2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1</v>
      </c>
      <c r="O69" s="6">
        <v>0</v>
      </c>
      <c r="P69" s="6">
        <v>1</v>
      </c>
      <c r="Q69" s="7">
        <v>0</v>
      </c>
      <c r="R69" s="7">
        <v>0</v>
      </c>
      <c r="S69" s="7">
        <v>1</v>
      </c>
      <c r="T69" s="7">
        <v>0</v>
      </c>
      <c r="U69" s="7">
        <v>0</v>
      </c>
      <c r="V69" s="7">
        <v>1</v>
      </c>
      <c r="W69" s="7">
        <v>0</v>
      </c>
      <c r="X69" s="7">
        <v>1</v>
      </c>
      <c r="Y69" s="6">
        <v>0</v>
      </c>
      <c r="Z69" s="6">
        <v>0</v>
      </c>
      <c r="AA69" s="6">
        <v>1</v>
      </c>
      <c r="AB69" s="6">
        <v>0</v>
      </c>
      <c r="AC69" s="6">
        <v>0</v>
      </c>
      <c r="AD69" s="6">
        <v>1</v>
      </c>
      <c r="AE69" s="6">
        <v>0</v>
      </c>
      <c r="AF69" s="6">
        <v>1</v>
      </c>
      <c r="AG69" s="14">
        <f t="shared" si="0"/>
        <v>0</v>
      </c>
      <c r="AH69" s="14">
        <f t="shared" si="1"/>
        <v>0.5</v>
      </c>
      <c r="AI69" s="14">
        <f t="shared" si="2"/>
        <v>0.5</v>
      </c>
      <c r="AJ69" s="14">
        <f t="shared" si="3"/>
        <v>0.5</v>
      </c>
      <c r="AK69" s="5">
        <v>0</v>
      </c>
      <c r="AL69" s="5">
        <v>0</v>
      </c>
      <c r="AM69" s="5">
        <v>0</v>
      </c>
      <c r="AN69" s="4">
        <v>1</v>
      </c>
      <c r="AO69" s="4">
        <v>20</v>
      </c>
      <c r="AP69" s="4">
        <v>2</v>
      </c>
      <c r="AQ69" s="5">
        <v>1</v>
      </c>
    </row>
    <row r="70" spans="1:43" ht="15.75" customHeight="1" x14ac:dyDescent="0.25">
      <c r="A70" s="7">
        <v>189</v>
      </c>
      <c r="B70" s="10" t="s">
        <v>49</v>
      </c>
      <c r="C70" s="10" t="s">
        <v>53</v>
      </c>
      <c r="D70" s="13" t="s">
        <v>51</v>
      </c>
      <c r="E70" s="9" t="s">
        <v>50</v>
      </c>
      <c r="F70" s="4">
        <v>1</v>
      </c>
      <c r="G70" s="4">
        <v>1</v>
      </c>
      <c r="H70" s="4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</v>
      </c>
      <c r="W70" s="7">
        <v>0</v>
      </c>
      <c r="X70" s="7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1</v>
      </c>
      <c r="AE70" s="6">
        <v>0</v>
      </c>
      <c r="AF70" s="6">
        <v>0</v>
      </c>
      <c r="AG70" s="14">
        <f t="shared" si="0"/>
        <v>0</v>
      </c>
      <c r="AH70" s="14">
        <f t="shared" si="1"/>
        <v>0</v>
      </c>
      <c r="AI70" s="14">
        <f t="shared" si="2"/>
        <v>0.5</v>
      </c>
      <c r="AJ70" s="14">
        <f t="shared" si="3"/>
        <v>0</v>
      </c>
      <c r="AK70" s="5">
        <v>0</v>
      </c>
      <c r="AL70" s="5">
        <v>0</v>
      </c>
      <c r="AM70" s="5">
        <v>0</v>
      </c>
      <c r="AN70" s="4">
        <v>2</v>
      </c>
      <c r="AO70" s="4">
        <v>18</v>
      </c>
      <c r="AP70" s="4">
        <v>2</v>
      </c>
      <c r="AQ70" s="5">
        <v>1</v>
      </c>
    </row>
    <row r="71" spans="1:43" ht="15.75" customHeight="1" x14ac:dyDescent="0.25">
      <c r="A71" s="7">
        <v>190</v>
      </c>
      <c r="B71" s="10" t="s">
        <v>49</v>
      </c>
      <c r="C71" s="10" t="s">
        <v>53</v>
      </c>
      <c r="D71" s="13" t="s">
        <v>51</v>
      </c>
      <c r="E71" s="9" t="s">
        <v>50</v>
      </c>
      <c r="F71" s="4">
        <v>1</v>
      </c>
      <c r="G71" s="4">
        <v>2</v>
      </c>
      <c r="H71" s="4">
        <v>1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7">
        <v>0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14">
        <f t="shared" si="0"/>
        <v>0</v>
      </c>
      <c r="AH71" s="14">
        <f t="shared" si="1"/>
        <v>0.5</v>
      </c>
      <c r="AI71" s="14">
        <f t="shared" si="2"/>
        <v>0</v>
      </c>
      <c r="AJ71" s="14">
        <f t="shared" si="3"/>
        <v>0</v>
      </c>
      <c r="AK71" s="5">
        <v>0</v>
      </c>
      <c r="AL71" s="5">
        <v>0</v>
      </c>
      <c r="AM71" s="5">
        <v>0</v>
      </c>
      <c r="AN71" s="4">
        <v>2</v>
      </c>
      <c r="AO71" s="4">
        <v>20</v>
      </c>
      <c r="AP71" s="4">
        <v>2</v>
      </c>
      <c r="AQ71" s="5">
        <v>1</v>
      </c>
    </row>
    <row r="72" spans="1:43" ht="15.75" customHeight="1" x14ac:dyDescent="0.25">
      <c r="A72" s="7">
        <v>191</v>
      </c>
      <c r="B72" s="10" t="s">
        <v>49</v>
      </c>
      <c r="C72" s="10" t="s">
        <v>53</v>
      </c>
      <c r="D72" s="13" t="s">
        <v>51</v>
      </c>
      <c r="E72" s="9" t="s">
        <v>50</v>
      </c>
      <c r="F72" s="4">
        <v>2</v>
      </c>
      <c r="G72" s="4">
        <v>3</v>
      </c>
      <c r="H72" s="4">
        <v>1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6">
        <v>1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14">
        <f t="shared" si="0"/>
        <v>0.5</v>
      </c>
      <c r="AH72" s="14">
        <f t="shared" si="1"/>
        <v>0</v>
      </c>
      <c r="AI72" s="14">
        <f t="shared" si="2"/>
        <v>0</v>
      </c>
      <c r="AJ72" s="14">
        <f t="shared" si="3"/>
        <v>0</v>
      </c>
      <c r="AK72" s="5">
        <v>0</v>
      </c>
      <c r="AL72" s="5">
        <v>0</v>
      </c>
      <c r="AM72" s="5">
        <v>0</v>
      </c>
      <c r="AN72" s="4">
        <v>1</v>
      </c>
      <c r="AO72" s="4">
        <v>21</v>
      </c>
      <c r="AP72" s="4">
        <v>2</v>
      </c>
      <c r="AQ72" s="5">
        <v>1</v>
      </c>
    </row>
    <row r="73" spans="1:43" ht="15.75" customHeight="1" x14ac:dyDescent="0.25">
      <c r="A73" s="7">
        <v>192</v>
      </c>
      <c r="B73" s="10" t="s">
        <v>49</v>
      </c>
      <c r="C73" s="10" t="s">
        <v>53</v>
      </c>
      <c r="D73" s="13" t="s">
        <v>51</v>
      </c>
      <c r="E73" s="9" t="s">
        <v>50</v>
      </c>
      <c r="F73" s="4">
        <v>1</v>
      </c>
      <c r="G73" s="4">
        <v>3</v>
      </c>
      <c r="H73" s="4">
        <v>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1</v>
      </c>
      <c r="X73" s="7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</v>
      </c>
      <c r="AF73" s="6">
        <v>0</v>
      </c>
      <c r="AG73" s="14">
        <f t="shared" si="0"/>
        <v>0</v>
      </c>
      <c r="AH73" s="14">
        <f t="shared" si="1"/>
        <v>0</v>
      </c>
      <c r="AI73" s="14">
        <f t="shared" si="2"/>
        <v>0</v>
      </c>
      <c r="AJ73" s="14">
        <f t="shared" si="3"/>
        <v>0.5</v>
      </c>
      <c r="AK73" s="5">
        <v>0</v>
      </c>
      <c r="AL73" s="5">
        <v>0</v>
      </c>
      <c r="AM73" s="5">
        <v>0</v>
      </c>
      <c r="AN73" s="4">
        <v>2</v>
      </c>
      <c r="AO73" s="4">
        <v>19</v>
      </c>
      <c r="AP73" s="4">
        <v>1</v>
      </c>
      <c r="AQ73" s="5">
        <v>1</v>
      </c>
    </row>
    <row r="74" spans="1:43" ht="15.75" customHeight="1" x14ac:dyDescent="0.25">
      <c r="A74" s="7">
        <v>193</v>
      </c>
      <c r="B74" s="10" t="s">
        <v>49</v>
      </c>
      <c r="C74" s="10" t="s">
        <v>53</v>
      </c>
      <c r="D74" s="13" t="s">
        <v>51</v>
      </c>
      <c r="E74" s="9" t="s">
        <v>50</v>
      </c>
      <c r="F74" s="4">
        <v>1</v>
      </c>
      <c r="G74" s="4">
        <v>1</v>
      </c>
      <c r="H74" s="4">
        <v>2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1</v>
      </c>
      <c r="W74" s="7">
        <v>0</v>
      </c>
      <c r="X74" s="7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1</v>
      </c>
      <c r="AE74" s="6">
        <v>0</v>
      </c>
      <c r="AF74" s="6">
        <v>1</v>
      </c>
      <c r="AG74" s="14">
        <f t="shared" si="0"/>
        <v>0</v>
      </c>
      <c r="AH74" s="14">
        <f t="shared" si="1"/>
        <v>0</v>
      </c>
      <c r="AI74" s="14">
        <f t="shared" si="2"/>
        <v>0.5</v>
      </c>
      <c r="AJ74" s="14">
        <f t="shared" si="3"/>
        <v>0.5</v>
      </c>
      <c r="AK74" s="5">
        <v>0</v>
      </c>
      <c r="AL74" s="5">
        <v>0</v>
      </c>
      <c r="AM74" s="5">
        <v>0</v>
      </c>
      <c r="AN74" s="4">
        <v>2</v>
      </c>
      <c r="AO74" s="4">
        <v>18</v>
      </c>
      <c r="AP74" s="4">
        <v>1</v>
      </c>
      <c r="AQ74" s="5">
        <v>1</v>
      </c>
    </row>
    <row r="75" spans="1:43" ht="15.75" customHeight="1" x14ac:dyDescent="0.25">
      <c r="A75" s="7">
        <v>194</v>
      </c>
      <c r="B75" s="10" t="s">
        <v>49</v>
      </c>
      <c r="C75" s="10" t="s">
        <v>53</v>
      </c>
      <c r="D75" s="13" t="s">
        <v>51</v>
      </c>
      <c r="E75" s="9" t="s">
        <v>50</v>
      </c>
      <c r="F75" s="4">
        <v>1</v>
      </c>
      <c r="G75" s="4">
        <v>3</v>
      </c>
      <c r="H75" s="4">
        <v>1</v>
      </c>
      <c r="I75" s="6">
        <v>0</v>
      </c>
      <c r="J75" s="6">
        <v>1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7">
        <v>0</v>
      </c>
      <c r="R75" s="7">
        <v>1</v>
      </c>
      <c r="S75" s="7">
        <v>1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6">
        <v>0</v>
      </c>
      <c r="Z75" s="6">
        <v>1</v>
      </c>
      <c r="AA75" s="6">
        <v>1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14">
        <f t="shared" si="0"/>
        <v>0.5</v>
      </c>
      <c r="AH75" s="14">
        <f t="shared" si="1"/>
        <v>0.5</v>
      </c>
      <c r="AI75" s="14">
        <f t="shared" si="2"/>
        <v>0</v>
      </c>
      <c r="AJ75" s="14">
        <f t="shared" si="3"/>
        <v>0</v>
      </c>
      <c r="AK75" s="5">
        <v>0</v>
      </c>
      <c r="AL75" s="5">
        <v>0</v>
      </c>
      <c r="AM75" s="5">
        <v>0</v>
      </c>
      <c r="AN75" s="4">
        <v>2</v>
      </c>
      <c r="AO75" s="4">
        <v>19</v>
      </c>
      <c r="AP75" s="4">
        <v>2</v>
      </c>
      <c r="AQ75" s="5">
        <v>1</v>
      </c>
    </row>
    <row r="76" spans="1:43" ht="15.75" customHeight="1" x14ac:dyDescent="0.25">
      <c r="A76" s="7">
        <v>195</v>
      </c>
      <c r="B76" s="10" t="s">
        <v>49</v>
      </c>
      <c r="C76" s="10" t="s">
        <v>53</v>
      </c>
      <c r="D76" s="13" t="s">
        <v>51</v>
      </c>
      <c r="E76" s="9" t="s">
        <v>50</v>
      </c>
      <c r="F76" s="4">
        <v>2</v>
      </c>
      <c r="G76" s="4">
        <v>4</v>
      </c>
      <c r="H76" s="4">
        <v>1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7">
        <v>0</v>
      </c>
      <c r="R76" s="7">
        <v>0</v>
      </c>
      <c r="S76" s="7">
        <v>1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6">
        <v>0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14">
        <f t="shared" si="0"/>
        <v>0</v>
      </c>
      <c r="AH76" s="14">
        <f t="shared" si="1"/>
        <v>0.5</v>
      </c>
      <c r="AI76" s="14">
        <f t="shared" si="2"/>
        <v>0</v>
      </c>
      <c r="AJ76" s="14">
        <f t="shared" si="3"/>
        <v>0</v>
      </c>
      <c r="AK76" s="5">
        <v>0</v>
      </c>
      <c r="AL76" s="5">
        <v>0</v>
      </c>
      <c r="AM76" s="5">
        <v>0</v>
      </c>
      <c r="AN76" s="4">
        <v>1</v>
      </c>
      <c r="AO76" s="4">
        <v>19</v>
      </c>
      <c r="AP76" s="4">
        <v>1</v>
      </c>
      <c r="AQ76" s="5">
        <v>1</v>
      </c>
    </row>
    <row r="77" spans="1:43" ht="15.75" customHeight="1" x14ac:dyDescent="0.25">
      <c r="A77" s="7">
        <v>196</v>
      </c>
      <c r="B77" s="10" t="s">
        <v>49</v>
      </c>
      <c r="C77" s="10" t="s">
        <v>53</v>
      </c>
      <c r="D77" s="13" t="s">
        <v>51</v>
      </c>
      <c r="E77" s="9" t="s">
        <v>50</v>
      </c>
      <c r="F77" s="4">
        <v>2</v>
      </c>
      <c r="G77" s="4">
        <v>2</v>
      </c>
      <c r="H77" s="4">
        <v>1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7">
        <v>1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6">
        <v>1</v>
      </c>
      <c r="Z77" s="6">
        <v>0</v>
      </c>
      <c r="AA77" s="6">
        <v>1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14">
        <f t="shared" si="0"/>
        <v>0.5</v>
      </c>
      <c r="AH77" s="14">
        <f t="shared" si="1"/>
        <v>0.5</v>
      </c>
      <c r="AI77" s="14">
        <f t="shared" si="2"/>
        <v>0</v>
      </c>
      <c r="AJ77" s="14">
        <f t="shared" si="3"/>
        <v>0</v>
      </c>
      <c r="AK77" s="5">
        <v>0</v>
      </c>
      <c r="AL77" s="5">
        <v>0</v>
      </c>
      <c r="AM77" s="5">
        <v>0</v>
      </c>
      <c r="AN77" s="4">
        <v>1</v>
      </c>
      <c r="AO77" s="4">
        <v>18</v>
      </c>
      <c r="AP77" s="4">
        <v>1</v>
      </c>
      <c r="AQ77" s="5">
        <v>1</v>
      </c>
    </row>
    <row r="78" spans="1:43" ht="15.75" customHeight="1" x14ac:dyDescent="0.25">
      <c r="A78" s="7">
        <v>197</v>
      </c>
      <c r="B78" s="10" t="s">
        <v>49</v>
      </c>
      <c r="C78" s="10" t="s">
        <v>53</v>
      </c>
      <c r="D78" s="13" t="s">
        <v>51</v>
      </c>
      <c r="E78" s="9" t="s">
        <v>50</v>
      </c>
      <c r="F78" s="4">
        <v>1</v>
      </c>
      <c r="G78" s="4">
        <v>3</v>
      </c>
      <c r="H78" s="4">
        <v>2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14">
        <f t="shared" si="0"/>
        <v>0</v>
      </c>
      <c r="AH78" s="14">
        <f t="shared" si="1"/>
        <v>0</v>
      </c>
      <c r="AI78" s="14">
        <f t="shared" si="2"/>
        <v>0</v>
      </c>
      <c r="AJ78" s="14">
        <f t="shared" si="3"/>
        <v>0</v>
      </c>
      <c r="AK78" s="5">
        <v>0</v>
      </c>
      <c r="AL78" s="5">
        <v>0</v>
      </c>
      <c r="AM78" s="5">
        <v>0</v>
      </c>
      <c r="AN78" s="4">
        <v>2</v>
      </c>
      <c r="AO78" s="4">
        <v>19</v>
      </c>
      <c r="AP78" s="4">
        <v>2</v>
      </c>
      <c r="AQ78" s="5">
        <v>1</v>
      </c>
    </row>
    <row r="79" spans="1:43" ht="15.75" customHeight="1" x14ac:dyDescent="0.25">
      <c r="A79" s="7">
        <v>198</v>
      </c>
      <c r="B79" s="10" t="s">
        <v>49</v>
      </c>
      <c r="C79" s="10" t="s">
        <v>53</v>
      </c>
      <c r="D79" s="13" t="s">
        <v>51</v>
      </c>
      <c r="E79" s="9" t="s">
        <v>50</v>
      </c>
      <c r="F79" s="4">
        <v>2</v>
      </c>
      <c r="G79" s="4">
        <v>4</v>
      </c>
      <c r="H79" s="4">
        <v>2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1</v>
      </c>
      <c r="W79" s="7">
        <v>0</v>
      </c>
      <c r="X79" s="7">
        <v>0</v>
      </c>
      <c r="Y79" s="6">
        <v>1</v>
      </c>
      <c r="Z79" s="6">
        <v>0</v>
      </c>
      <c r="AA79" s="6">
        <v>0</v>
      </c>
      <c r="AB79" s="6">
        <v>0</v>
      </c>
      <c r="AC79" s="6">
        <v>0</v>
      </c>
      <c r="AD79" s="6">
        <v>1</v>
      </c>
      <c r="AE79" s="6">
        <v>0</v>
      </c>
      <c r="AF79" s="6">
        <v>0</v>
      </c>
      <c r="AG79" s="14">
        <f t="shared" si="0"/>
        <v>0.5</v>
      </c>
      <c r="AH79" s="14">
        <f t="shared" si="1"/>
        <v>0</v>
      </c>
      <c r="AI79" s="14">
        <f t="shared" si="2"/>
        <v>0.5</v>
      </c>
      <c r="AJ79" s="14">
        <f t="shared" si="3"/>
        <v>0</v>
      </c>
      <c r="AK79" s="5">
        <v>1</v>
      </c>
      <c r="AL79" s="5">
        <v>1</v>
      </c>
      <c r="AM79" s="5">
        <v>1</v>
      </c>
      <c r="AN79" s="4">
        <v>2</v>
      </c>
      <c r="AO79" s="4">
        <v>18</v>
      </c>
      <c r="AP79" s="4">
        <v>2</v>
      </c>
      <c r="AQ79" s="5">
        <v>1</v>
      </c>
    </row>
    <row r="80" spans="1:43" ht="15.75" customHeight="1" x14ac:dyDescent="0.25">
      <c r="A80" s="7">
        <v>199</v>
      </c>
      <c r="B80" s="10" t="s">
        <v>49</v>
      </c>
      <c r="C80" s="10" t="s">
        <v>53</v>
      </c>
      <c r="D80" s="13" t="s">
        <v>51</v>
      </c>
      <c r="E80" s="9" t="s">
        <v>50</v>
      </c>
      <c r="F80" s="4">
        <v>2</v>
      </c>
      <c r="G80" s="4">
        <v>4</v>
      </c>
      <c r="H80" s="4">
        <v>2</v>
      </c>
      <c r="I80" s="6">
        <v>0</v>
      </c>
      <c r="J80" s="6">
        <v>1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7">
        <v>0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1</v>
      </c>
      <c r="Y80" s="6">
        <v>0</v>
      </c>
      <c r="Z80" s="6">
        <v>1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14">
        <f t="shared" si="0"/>
        <v>0.5</v>
      </c>
      <c r="AH80" s="14">
        <f t="shared" si="1"/>
        <v>0</v>
      </c>
      <c r="AI80" s="14">
        <f t="shared" si="2"/>
        <v>0</v>
      </c>
      <c r="AJ80" s="14">
        <f t="shared" si="3"/>
        <v>0.5</v>
      </c>
      <c r="AK80" s="5">
        <v>0</v>
      </c>
      <c r="AL80" s="5">
        <v>0</v>
      </c>
      <c r="AM80" s="5">
        <v>0</v>
      </c>
      <c r="AN80" s="4">
        <v>1</v>
      </c>
      <c r="AO80" s="4">
        <v>18</v>
      </c>
      <c r="AP80" s="4">
        <v>2</v>
      </c>
      <c r="AQ80" s="5">
        <v>1</v>
      </c>
    </row>
    <row r="81" spans="1:43" ht="15.75" customHeight="1" x14ac:dyDescent="0.25">
      <c r="A81" s="7">
        <v>200</v>
      </c>
      <c r="B81" s="10" t="s">
        <v>49</v>
      </c>
      <c r="C81" s="10" t="s">
        <v>53</v>
      </c>
      <c r="D81" s="13" t="s">
        <v>51</v>
      </c>
      <c r="E81" s="9" t="s">
        <v>50</v>
      </c>
      <c r="F81" s="4">
        <v>2</v>
      </c>
      <c r="G81" s="4">
        <v>2</v>
      </c>
      <c r="H81" s="4">
        <v>2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1</v>
      </c>
      <c r="W81" s="7">
        <v>0</v>
      </c>
      <c r="X81" s="7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1</v>
      </c>
      <c r="AE81" s="6">
        <v>0</v>
      </c>
      <c r="AF81" s="6">
        <v>0</v>
      </c>
      <c r="AG81" s="14">
        <f t="shared" si="0"/>
        <v>0</v>
      </c>
      <c r="AH81" s="14">
        <f t="shared" si="1"/>
        <v>0</v>
      </c>
      <c r="AI81" s="14">
        <f t="shared" si="2"/>
        <v>0.5</v>
      </c>
      <c r="AJ81" s="14">
        <f t="shared" si="3"/>
        <v>0</v>
      </c>
      <c r="AK81" s="5">
        <v>0</v>
      </c>
      <c r="AL81" s="5">
        <v>0</v>
      </c>
      <c r="AM81" s="5">
        <v>0</v>
      </c>
      <c r="AN81" s="4">
        <v>1</v>
      </c>
      <c r="AO81" s="4">
        <v>18</v>
      </c>
      <c r="AP81" s="4">
        <v>2</v>
      </c>
      <c r="AQ81" s="5">
        <v>1</v>
      </c>
    </row>
    <row r="82" spans="1:43" ht="15.75" customHeight="1" x14ac:dyDescent="0.25">
      <c r="A82" s="7">
        <v>201</v>
      </c>
      <c r="B82" s="10" t="s">
        <v>49</v>
      </c>
      <c r="C82" s="10" t="s">
        <v>53</v>
      </c>
      <c r="D82" s="13" t="s">
        <v>51</v>
      </c>
      <c r="E82" s="9" t="s">
        <v>50</v>
      </c>
      <c r="F82" s="4">
        <v>2</v>
      </c>
      <c r="G82" s="4">
        <v>3</v>
      </c>
      <c r="H82" s="4">
        <v>1</v>
      </c>
      <c r="I82" s="6">
        <v>0</v>
      </c>
      <c r="J82" s="6">
        <v>1</v>
      </c>
      <c r="K82" s="6">
        <v>0</v>
      </c>
      <c r="L82" s="6">
        <v>0</v>
      </c>
      <c r="M82" s="6">
        <v>1</v>
      </c>
      <c r="N82" s="6">
        <v>1</v>
      </c>
      <c r="O82" s="6">
        <v>0</v>
      </c>
      <c r="P82" s="6">
        <v>0</v>
      </c>
      <c r="Q82" s="7">
        <v>0</v>
      </c>
      <c r="R82" s="7">
        <v>1</v>
      </c>
      <c r="S82" s="7">
        <v>0</v>
      </c>
      <c r="T82" s="7">
        <v>0</v>
      </c>
      <c r="U82" s="7">
        <v>1</v>
      </c>
      <c r="V82" s="7">
        <v>1</v>
      </c>
      <c r="W82" s="7">
        <v>0</v>
      </c>
      <c r="X82" s="7">
        <v>0</v>
      </c>
      <c r="Y82" s="6">
        <v>0</v>
      </c>
      <c r="Z82" s="6">
        <v>1</v>
      </c>
      <c r="AA82" s="6">
        <v>0</v>
      </c>
      <c r="AB82" s="6">
        <v>0</v>
      </c>
      <c r="AC82" s="6">
        <v>1</v>
      </c>
      <c r="AD82" s="6">
        <v>1</v>
      </c>
      <c r="AE82" s="6">
        <v>0</v>
      </c>
      <c r="AF82" s="6">
        <v>0</v>
      </c>
      <c r="AG82" s="14">
        <f t="shared" si="0"/>
        <v>0.5</v>
      </c>
      <c r="AH82" s="14">
        <f t="shared" si="1"/>
        <v>0</v>
      </c>
      <c r="AI82" s="14">
        <f t="shared" si="2"/>
        <v>1</v>
      </c>
      <c r="AJ82" s="14">
        <f t="shared" si="3"/>
        <v>0</v>
      </c>
      <c r="AK82" s="5">
        <v>0</v>
      </c>
      <c r="AL82" s="5">
        <v>0</v>
      </c>
      <c r="AM82" s="5">
        <v>0</v>
      </c>
      <c r="AN82" s="4">
        <v>1</v>
      </c>
      <c r="AO82" s="4">
        <v>24</v>
      </c>
      <c r="AP82" s="4">
        <v>2</v>
      </c>
      <c r="AQ82" s="5">
        <v>1</v>
      </c>
    </row>
    <row r="83" spans="1:43" ht="15.75" customHeight="1" x14ac:dyDescent="0.25">
      <c r="A83" s="7">
        <v>202</v>
      </c>
      <c r="B83" s="10" t="s">
        <v>49</v>
      </c>
      <c r="C83" s="10" t="s">
        <v>53</v>
      </c>
      <c r="D83" s="13" t="s">
        <v>51</v>
      </c>
      <c r="E83" s="9" t="s">
        <v>50</v>
      </c>
      <c r="F83" s="4">
        <v>1</v>
      </c>
      <c r="G83" s="4">
        <v>2</v>
      </c>
      <c r="H83" s="4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14">
        <f t="shared" si="0"/>
        <v>0</v>
      </c>
      <c r="AH83" s="14">
        <f t="shared" si="1"/>
        <v>0</v>
      </c>
      <c r="AI83" s="14">
        <f t="shared" si="2"/>
        <v>0</v>
      </c>
      <c r="AJ83" s="14">
        <f t="shared" si="3"/>
        <v>0</v>
      </c>
      <c r="AK83" s="5">
        <v>0</v>
      </c>
      <c r="AL83" s="5">
        <v>0</v>
      </c>
      <c r="AM83" s="5">
        <v>0</v>
      </c>
      <c r="AN83" s="4">
        <v>2</v>
      </c>
      <c r="AO83" s="4">
        <v>22</v>
      </c>
      <c r="AP83" s="4">
        <v>1</v>
      </c>
      <c r="AQ83" s="5">
        <v>1</v>
      </c>
    </row>
    <row r="84" spans="1:43" ht="15.75" customHeight="1" x14ac:dyDescent="0.25">
      <c r="A84" s="7">
        <v>202.2</v>
      </c>
      <c r="B84" s="10" t="s">
        <v>49</v>
      </c>
      <c r="C84" s="10" t="s">
        <v>53</v>
      </c>
      <c r="D84" s="13" t="s">
        <v>51</v>
      </c>
      <c r="E84" s="9" t="s">
        <v>50</v>
      </c>
      <c r="F84" s="4">
        <v>1</v>
      </c>
      <c r="G84" s="4">
        <v>1</v>
      </c>
      <c r="H84" s="4">
        <v>2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14">
        <f t="shared" si="0"/>
        <v>0</v>
      </c>
      <c r="AH84" s="14">
        <f t="shared" si="1"/>
        <v>0</v>
      </c>
      <c r="AI84" s="14">
        <f t="shared" si="2"/>
        <v>0</v>
      </c>
      <c r="AJ84" s="14">
        <f t="shared" si="3"/>
        <v>0</v>
      </c>
      <c r="AK84" s="5">
        <v>1</v>
      </c>
      <c r="AL84" s="5">
        <v>1</v>
      </c>
      <c r="AM84" s="5">
        <v>1</v>
      </c>
      <c r="AN84" s="4">
        <v>1</v>
      </c>
      <c r="AO84" s="4">
        <v>20</v>
      </c>
      <c r="AP84" s="4">
        <v>1</v>
      </c>
      <c r="AQ84" s="5">
        <v>1</v>
      </c>
    </row>
    <row r="85" spans="1:43" ht="15.75" customHeight="1" x14ac:dyDescent="0.25">
      <c r="A85" s="7">
        <v>203</v>
      </c>
      <c r="B85" s="10" t="s">
        <v>49</v>
      </c>
      <c r="C85" s="10" t="s">
        <v>53</v>
      </c>
      <c r="D85" s="13" t="s">
        <v>51</v>
      </c>
      <c r="E85" s="9" t="s">
        <v>50</v>
      </c>
      <c r="F85" s="4">
        <v>1</v>
      </c>
      <c r="G85" s="4">
        <v>3</v>
      </c>
      <c r="H85" s="4">
        <v>1</v>
      </c>
      <c r="I85" s="6">
        <v>0</v>
      </c>
      <c r="J85" s="6">
        <v>1</v>
      </c>
      <c r="K85" s="6">
        <v>0</v>
      </c>
      <c r="L85" s="6">
        <v>0</v>
      </c>
      <c r="M85" s="6">
        <v>1</v>
      </c>
      <c r="N85" s="6">
        <v>0</v>
      </c>
      <c r="O85" s="6">
        <v>1</v>
      </c>
      <c r="P85" s="6">
        <v>0</v>
      </c>
      <c r="Q85" s="7">
        <v>0</v>
      </c>
      <c r="R85" s="7">
        <v>1</v>
      </c>
      <c r="S85" s="7">
        <v>0</v>
      </c>
      <c r="T85" s="7">
        <v>0</v>
      </c>
      <c r="U85" s="7">
        <v>1</v>
      </c>
      <c r="V85" s="7">
        <v>0</v>
      </c>
      <c r="W85" s="7">
        <v>1</v>
      </c>
      <c r="X85" s="7">
        <v>0</v>
      </c>
      <c r="Y85" s="6">
        <v>0</v>
      </c>
      <c r="Z85" s="6">
        <v>1</v>
      </c>
      <c r="AA85" s="6">
        <v>0</v>
      </c>
      <c r="AB85" s="6">
        <v>0</v>
      </c>
      <c r="AC85" s="6">
        <v>1</v>
      </c>
      <c r="AD85" s="6">
        <v>0</v>
      </c>
      <c r="AE85" s="6">
        <v>1</v>
      </c>
      <c r="AF85" s="6">
        <v>0</v>
      </c>
      <c r="AG85" s="14">
        <f t="shared" si="0"/>
        <v>0.5</v>
      </c>
      <c r="AH85" s="14">
        <f t="shared" si="1"/>
        <v>0</v>
      </c>
      <c r="AI85" s="14">
        <f t="shared" si="2"/>
        <v>0.5</v>
      </c>
      <c r="AJ85" s="14">
        <f t="shared" si="3"/>
        <v>0.5</v>
      </c>
      <c r="AK85" s="5">
        <v>0</v>
      </c>
      <c r="AL85" s="5">
        <v>0</v>
      </c>
      <c r="AM85" s="5">
        <v>0</v>
      </c>
      <c r="AN85" s="4">
        <v>2</v>
      </c>
      <c r="AO85" s="4">
        <v>22</v>
      </c>
      <c r="AP85" s="4">
        <v>1</v>
      </c>
      <c r="AQ85" s="5">
        <v>1</v>
      </c>
    </row>
    <row r="86" spans="1:43" ht="15.75" customHeight="1" x14ac:dyDescent="0.25">
      <c r="A86" s="7">
        <v>204</v>
      </c>
      <c r="B86" s="10" t="s">
        <v>49</v>
      </c>
      <c r="C86" s="10" t="s">
        <v>53</v>
      </c>
      <c r="D86" s="13" t="s">
        <v>51</v>
      </c>
      <c r="E86" s="9" t="s">
        <v>50</v>
      </c>
      <c r="F86" s="4">
        <v>1</v>
      </c>
      <c r="G86" s="4">
        <v>3</v>
      </c>
      <c r="H86" s="4">
        <v>2</v>
      </c>
      <c r="I86" s="6">
        <v>0</v>
      </c>
      <c r="J86" s="6">
        <v>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7">
        <v>0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6">
        <v>0</v>
      </c>
      <c r="Z86" s="6">
        <v>1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14">
        <f t="shared" si="0"/>
        <v>0.5</v>
      </c>
      <c r="AH86" s="14">
        <f t="shared" si="1"/>
        <v>0</v>
      </c>
      <c r="AI86" s="14">
        <f t="shared" si="2"/>
        <v>0</v>
      </c>
      <c r="AJ86" s="14">
        <f t="shared" si="3"/>
        <v>0</v>
      </c>
      <c r="AK86" s="5">
        <v>0</v>
      </c>
      <c r="AL86" s="5">
        <v>0</v>
      </c>
      <c r="AM86" s="5">
        <v>0</v>
      </c>
      <c r="AN86" s="4">
        <v>2</v>
      </c>
      <c r="AO86" s="4">
        <v>22</v>
      </c>
      <c r="AP86" s="4">
        <v>2</v>
      </c>
      <c r="AQ86" s="5">
        <v>1</v>
      </c>
    </row>
    <row r="87" spans="1:43" ht="15.75" customHeight="1" x14ac:dyDescent="0.25">
      <c r="A87" s="4">
        <v>205</v>
      </c>
      <c r="B87" s="10" t="s">
        <v>49</v>
      </c>
      <c r="C87" s="10" t="s">
        <v>53</v>
      </c>
      <c r="D87" s="13" t="s">
        <v>51</v>
      </c>
      <c r="E87" s="9" t="s">
        <v>50</v>
      </c>
      <c r="F87" s="4">
        <v>1</v>
      </c>
      <c r="G87" s="4">
        <v>3</v>
      </c>
      <c r="H87" s="4">
        <v>2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14">
        <f t="shared" si="0"/>
        <v>0</v>
      </c>
      <c r="AH87" s="14">
        <f t="shared" si="1"/>
        <v>0</v>
      </c>
      <c r="AI87" s="14">
        <f t="shared" si="2"/>
        <v>0</v>
      </c>
      <c r="AJ87" s="14">
        <f t="shared" si="3"/>
        <v>0</v>
      </c>
      <c r="AK87" s="5">
        <v>0</v>
      </c>
      <c r="AL87" s="5">
        <v>0</v>
      </c>
      <c r="AM87" s="5">
        <v>0</v>
      </c>
      <c r="AN87" s="4">
        <v>2</v>
      </c>
      <c r="AO87" s="4">
        <v>20</v>
      </c>
      <c r="AP87" s="4">
        <v>1</v>
      </c>
      <c r="AQ87" s="5">
        <v>1</v>
      </c>
    </row>
    <row r="88" spans="1:43" ht="15.75" customHeight="1" x14ac:dyDescent="0.25">
      <c r="A88" s="4">
        <v>206</v>
      </c>
      <c r="B88" s="10" t="s">
        <v>49</v>
      </c>
      <c r="C88" s="10" t="s">
        <v>53</v>
      </c>
      <c r="D88" s="13" t="s">
        <v>51</v>
      </c>
      <c r="E88" s="9" t="s">
        <v>50</v>
      </c>
      <c r="F88" s="4">
        <v>2</v>
      </c>
      <c r="G88" s="4">
        <v>1</v>
      </c>
      <c r="H88" s="4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1</v>
      </c>
      <c r="W88" s="7">
        <v>0</v>
      </c>
      <c r="X88" s="7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1</v>
      </c>
      <c r="AE88" s="6">
        <v>0</v>
      </c>
      <c r="AF88" s="6">
        <v>0</v>
      </c>
      <c r="AG88" s="14">
        <f t="shared" si="0"/>
        <v>0</v>
      </c>
      <c r="AH88" s="14">
        <f t="shared" si="1"/>
        <v>0</v>
      </c>
      <c r="AI88" s="14">
        <f t="shared" si="2"/>
        <v>0.5</v>
      </c>
      <c r="AJ88" s="14">
        <f t="shared" si="3"/>
        <v>0</v>
      </c>
      <c r="AK88" s="5">
        <v>0</v>
      </c>
      <c r="AL88" s="5">
        <v>0</v>
      </c>
      <c r="AM88" s="5">
        <v>0</v>
      </c>
      <c r="AN88" s="4">
        <v>2</v>
      </c>
      <c r="AO88" s="4">
        <v>21</v>
      </c>
      <c r="AP88" s="4">
        <v>2</v>
      </c>
      <c r="AQ88" s="5">
        <v>1</v>
      </c>
    </row>
    <row r="89" spans="1:43" ht="15.75" customHeight="1" x14ac:dyDescent="0.25">
      <c r="A89" s="4">
        <v>207</v>
      </c>
      <c r="B89" s="10" t="s">
        <v>49</v>
      </c>
      <c r="C89" s="10" t="s">
        <v>53</v>
      </c>
      <c r="D89" s="13" t="s">
        <v>51</v>
      </c>
      <c r="E89" s="9" t="s">
        <v>50</v>
      </c>
      <c r="F89" s="4">
        <v>2</v>
      </c>
      <c r="G89" s="4">
        <v>4</v>
      </c>
      <c r="H89" s="4">
        <v>1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7">
        <v>0</v>
      </c>
      <c r="R89" s="7">
        <v>0</v>
      </c>
      <c r="S89" s="7">
        <v>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6">
        <v>0</v>
      </c>
      <c r="Z89" s="6">
        <v>0</v>
      </c>
      <c r="AA89" s="6">
        <v>1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14">
        <f t="shared" si="0"/>
        <v>0</v>
      </c>
      <c r="AH89" s="14">
        <f t="shared" si="1"/>
        <v>0.5</v>
      </c>
      <c r="AI89" s="14">
        <f t="shared" si="2"/>
        <v>0</v>
      </c>
      <c r="AJ89" s="14">
        <f t="shared" si="3"/>
        <v>0</v>
      </c>
      <c r="AK89" s="5">
        <v>0</v>
      </c>
      <c r="AL89" s="5">
        <v>0</v>
      </c>
      <c r="AM89" s="5">
        <v>0</v>
      </c>
      <c r="AN89" s="4">
        <v>1</v>
      </c>
      <c r="AO89" s="4">
        <v>20</v>
      </c>
      <c r="AP89" s="4">
        <v>1</v>
      </c>
      <c r="AQ89" s="5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17.5703125" customWidth="1"/>
    <col min="2" max="2" width="13.42578125" customWidth="1"/>
    <col min="3" max="3" width="11.7109375" customWidth="1"/>
    <col min="4" max="26" width="8.85546875" customWidth="1"/>
  </cols>
  <sheetData>
    <row r="1" spans="1:3" x14ac:dyDescent="0.25">
      <c r="A1" s="1" t="s">
        <v>39</v>
      </c>
    </row>
    <row r="2" spans="1:3" x14ac:dyDescent="0.25">
      <c r="A2" s="2"/>
      <c r="B2" s="2" t="s">
        <v>40</v>
      </c>
      <c r="C2" s="2" t="s">
        <v>41</v>
      </c>
    </row>
    <row r="3" spans="1:3" x14ac:dyDescent="0.25">
      <c r="A3" s="2" t="s">
        <v>42</v>
      </c>
      <c r="B3" s="3" t="e">
        <f>AVERAGEIF(testdata!$F$2:$F$89, "Concentration", testdata!AH2:AH89)</f>
        <v>#DIV/0!</v>
      </c>
      <c r="C3" s="3" t="e">
        <f>AVERAGEIF(testdata!$F$2:$F$89, "Suppression", testdata!AH2:AH89)</f>
        <v>#DIV/0!</v>
      </c>
    </row>
    <row r="4" spans="1:3" x14ac:dyDescent="0.25">
      <c r="A4" s="2" t="s">
        <v>43</v>
      </c>
      <c r="B4" s="3" t="e">
        <f>AVERAGEIF(testdata!$F$2:$F$89, "Concentration", testdata!AG2:AG89)</f>
        <v>#DIV/0!</v>
      </c>
      <c r="C4" s="3" t="e">
        <f>AVERAGEIF(testdata!$F$2:$F$89, "Suppression", testdata!AG2:AG89)</f>
        <v>#DIV/0!</v>
      </c>
    </row>
    <row r="6" spans="1:3" x14ac:dyDescent="0.25">
      <c r="A6" s="1" t="s">
        <v>44</v>
      </c>
    </row>
    <row r="7" spans="1:3" x14ac:dyDescent="0.25">
      <c r="A7" s="2"/>
      <c r="B7" s="2" t="s">
        <v>40</v>
      </c>
      <c r="C7" s="2" t="s">
        <v>41</v>
      </c>
    </row>
    <row r="8" spans="1:3" x14ac:dyDescent="0.25">
      <c r="A8" s="2" t="s">
        <v>42</v>
      </c>
      <c r="B8" s="3" t="e">
        <f>AVERAGEIF(testdata!$F$2:$F$89, "Concentration", testdata!AJ2:AJ89)</f>
        <v>#DIV/0!</v>
      </c>
      <c r="C8" s="3" t="e">
        <f>AVERAGEIF(testdata!$F$2:$F$89, "Suppression", testdata!AJ2:AJ89)</f>
        <v>#DIV/0!</v>
      </c>
    </row>
    <row r="9" spans="1:3" x14ac:dyDescent="0.25">
      <c r="A9" s="2" t="s">
        <v>43</v>
      </c>
      <c r="B9" s="3" t="e">
        <f>AVERAGEIF(testdata!$F$2:$F$89, "Concentration", testdata!AI2:AI89)</f>
        <v>#DIV/0!</v>
      </c>
      <c r="C9" s="3" t="e">
        <f>AVERAGEIF(testdata!$F$2:$F$89, "Suppression", testdata!AI2:AI89)</f>
        <v>#DIV/0!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2025-08-08T06:49:05Z</dcterms:modified>
</cp:coreProperties>
</file>