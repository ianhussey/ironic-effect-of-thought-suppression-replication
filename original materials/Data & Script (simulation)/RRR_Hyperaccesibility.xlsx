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ropbox\RRR (Adam Wang)\"/>
    </mc:Choice>
  </mc:AlternateContent>
  <bookViews>
    <workbookView xWindow="0" yWindow="0" windowWidth="20490" windowHeight="6870" activeTab="1"/>
  </bookViews>
  <sheets>
    <sheet name="testdata_W&amp;E'92_origstim" sheetId="1" r:id="rId1"/>
    <sheet name="testdata_W&amp;E'92_singlelab" sheetId="3" r:id="rId2"/>
    <sheet name="testdata_Wegner'87_singlelab" sheetId="7" r:id="rId3"/>
    <sheet name="testdata_W&amp;E'92_multilab" sheetId="4" r:id="rId4"/>
    <sheet name="testdata_Wegner'87_multilab" sheetId="8" r:id="rId5"/>
    <sheet name="forestplot" sheetId="6" r:id="rId6"/>
    <sheet name="forestplotd1d2" sheetId="11" r:id="rId7"/>
    <sheet name="forestplotd3" sheetId="1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8" l="1"/>
  <c r="I9" i="8"/>
  <c r="J8" i="8"/>
  <c r="I8" i="8"/>
  <c r="J7" i="8"/>
  <c r="I7" i="8"/>
  <c r="J6" i="8"/>
  <c r="I6" i="8"/>
  <c r="J5" i="8"/>
  <c r="I5" i="8"/>
  <c r="J4" i="8"/>
  <c r="I4" i="8"/>
  <c r="J3" i="8"/>
  <c r="I3" i="8"/>
  <c r="J2" i="8"/>
  <c r="I2" i="8"/>
  <c r="O3" i="4"/>
  <c r="P3" i="4"/>
  <c r="O4" i="4"/>
  <c r="P4" i="4"/>
  <c r="O5" i="4"/>
  <c r="P5" i="4"/>
  <c r="O6" i="4"/>
  <c r="P6" i="4"/>
  <c r="O7" i="4"/>
  <c r="P7" i="4"/>
  <c r="O8" i="4"/>
  <c r="P8" i="4"/>
  <c r="O9" i="4"/>
  <c r="P9" i="4"/>
  <c r="P2" i="4"/>
  <c r="C3" i="7" l="1"/>
  <c r="D3" i="7"/>
  <c r="C4" i="7"/>
  <c r="D4" i="7"/>
  <c r="C5" i="7"/>
  <c r="D5" i="7"/>
  <c r="C6" i="7"/>
  <c r="D6" i="7"/>
  <c r="C7" i="7"/>
  <c r="D7" i="7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D2" i="7"/>
  <c r="C2" i="7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2" i="3"/>
  <c r="H33" i="3"/>
  <c r="G33" i="3"/>
  <c r="F33" i="3"/>
  <c r="H32" i="3"/>
  <c r="G32" i="3"/>
  <c r="F32" i="3"/>
  <c r="H31" i="3"/>
  <c r="G31" i="3"/>
  <c r="F31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  <c r="H2" i="3"/>
  <c r="G2" i="3"/>
  <c r="F2" i="3"/>
  <c r="AO2" i="3"/>
  <c r="AP2" i="3"/>
  <c r="AQ2" i="3"/>
  <c r="AO3" i="3"/>
  <c r="AP3" i="3"/>
  <c r="AQ3" i="3"/>
  <c r="AO4" i="3"/>
  <c r="AP4" i="3"/>
  <c r="AQ4" i="3"/>
  <c r="AO5" i="3"/>
  <c r="AP5" i="3"/>
  <c r="AQ5" i="3"/>
  <c r="AO6" i="3"/>
  <c r="AP6" i="3"/>
  <c r="AQ6" i="3"/>
  <c r="AO7" i="3"/>
  <c r="AP7" i="3"/>
  <c r="AQ7" i="3"/>
  <c r="AO8" i="3"/>
  <c r="AP8" i="3"/>
  <c r="AQ8" i="3"/>
  <c r="AO9" i="3"/>
  <c r="AP9" i="3"/>
  <c r="AQ9" i="3"/>
  <c r="AO10" i="3"/>
  <c r="AP10" i="3"/>
  <c r="AQ10" i="3"/>
  <c r="AO11" i="3"/>
  <c r="AP11" i="3"/>
  <c r="AQ11" i="3"/>
  <c r="AO12" i="3"/>
  <c r="AP12" i="3"/>
  <c r="AQ12" i="3"/>
  <c r="AO13" i="3"/>
  <c r="AP13" i="3"/>
  <c r="AQ13" i="3"/>
  <c r="AO14" i="3"/>
  <c r="AP14" i="3"/>
  <c r="AQ14" i="3"/>
  <c r="AO15" i="3"/>
  <c r="AP15" i="3"/>
  <c r="AQ15" i="3"/>
  <c r="AO16" i="3"/>
  <c r="AP16" i="3"/>
  <c r="AQ16" i="3"/>
  <c r="AO17" i="3"/>
  <c r="AP17" i="3"/>
  <c r="AQ17" i="3"/>
  <c r="AO18" i="3"/>
  <c r="AP18" i="3"/>
  <c r="AQ18" i="3"/>
  <c r="AO19" i="3"/>
  <c r="AP19" i="3"/>
  <c r="AQ19" i="3"/>
  <c r="AO20" i="3"/>
  <c r="AP20" i="3"/>
  <c r="AQ20" i="3"/>
  <c r="AO21" i="3"/>
  <c r="AP21" i="3"/>
  <c r="AQ21" i="3"/>
  <c r="AO22" i="3"/>
  <c r="AP22" i="3"/>
  <c r="AQ22" i="3"/>
  <c r="AO23" i="3"/>
  <c r="AP23" i="3"/>
  <c r="AQ23" i="3"/>
  <c r="AO24" i="3"/>
  <c r="AP24" i="3"/>
  <c r="AQ24" i="3"/>
  <c r="AO25" i="3"/>
  <c r="AP25" i="3"/>
  <c r="AQ25" i="3"/>
  <c r="AO26" i="3"/>
  <c r="AP26" i="3"/>
  <c r="AQ26" i="3"/>
  <c r="AO27" i="3"/>
  <c r="AP27" i="3"/>
  <c r="AQ27" i="3"/>
  <c r="AO28" i="3"/>
  <c r="AP28" i="3"/>
  <c r="AQ28" i="3"/>
  <c r="AO29" i="3"/>
  <c r="AP29" i="3"/>
  <c r="AQ29" i="3"/>
  <c r="AO30" i="3"/>
  <c r="AP30" i="3"/>
  <c r="AQ30" i="3"/>
  <c r="AO31" i="3"/>
  <c r="AP31" i="3"/>
  <c r="AQ31" i="3"/>
  <c r="AO32" i="3"/>
  <c r="AP32" i="3"/>
  <c r="AQ32" i="3"/>
  <c r="AO33" i="3"/>
  <c r="AP33" i="3"/>
  <c r="AQ33" i="3"/>
  <c r="AK2" i="3"/>
  <c r="AL2" i="3"/>
  <c r="AM2" i="3"/>
  <c r="AN2" i="3"/>
  <c r="AK3" i="3"/>
  <c r="AL3" i="3"/>
  <c r="AM3" i="3"/>
  <c r="AN3" i="3"/>
  <c r="AK4" i="3"/>
  <c r="AL4" i="3"/>
  <c r="AM4" i="3"/>
  <c r="AN4" i="3"/>
  <c r="AK5" i="3"/>
  <c r="AL5" i="3"/>
  <c r="AM5" i="3"/>
  <c r="AN5" i="3"/>
  <c r="AK6" i="3"/>
  <c r="AL6" i="3"/>
  <c r="AM6" i="3"/>
  <c r="AN6" i="3"/>
  <c r="AK7" i="3"/>
  <c r="AL7" i="3"/>
  <c r="AM7" i="3"/>
  <c r="AN7" i="3"/>
  <c r="AK8" i="3"/>
  <c r="AL8" i="3"/>
  <c r="AM8" i="3"/>
  <c r="AN8" i="3"/>
  <c r="AK9" i="3"/>
  <c r="AL9" i="3"/>
  <c r="AM9" i="3"/>
  <c r="AN9" i="3"/>
  <c r="AK10" i="3"/>
  <c r="AL10" i="3"/>
  <c r="AM10" i="3"/>
  <c r="AN10" i="3"/>
  <c r="AK11" i="3"/>
  <c r="AL11" i="3"/>
  <c r="AM11" i="3"/>
  <c r="AN11" i="3"/>
  <c r="AK12" i="3"/>
  <c r="AL12" i="3"/>
  <c r="AM12" i="3"/>
  <c r="AN12" i="3"/>
  <c r="AK13" i="3"/>
  <c r="AL13" i="3"/>
  <c r="AM13" i="3"/>
  <c r="AN13" i="3"/>
  <c r="AK14" i="3"/>
  <c r="AL14" i="3"/>
  <c r="AM14" i="3"/>
  <c r="AN14" i="3"/>
  <c r="AK15" i="3"/>
  <c r="AL15" i="3"/>
  <c r="AM15" i="3"/>
  <c r="AN15" i="3"/>
  <c r="AK16" i="3"/>
  <c r="AL16" i="3"/>
  <c r="AM16" i="3"/>
  <c r="AN16" i="3"/>
  <c r="AK17" i="3"/>
  <c r="AL17" i="3"/>
  <c r="AM17" i="3"/>
  <c r="AN17" i="3"/>
  <c r="AK18" i="3"/>
  <c r="AL18" i="3"/>
  <c r="AM18" i="3"/>
  <c r="AN18" i="3"/>
  <c r="AK19" i="3"/>
  <c r="AL19" i="3"/>
  <c r="AM19" i="3"/>
  <c r="AN19" i="3"/>
  <c r="AK20" i="3"/>
  <c r="AL20" i="3"/>
  <c r="AM20" i="3"/>
  <c r="AN20" i="3"/>
  <c r="AK21" i="3"/>
  <c r="AL21" i="3"/>
  <c r="AM21" i="3"/>
  <c r="AN21" i="3"/>
  <c r="AK22" i="3"/>
  <c r="AL22" i="3"/>
  <c r="AM22" i="3"/>
  <c r="AN22" i="3"/>
  <c r="AK23" i="3"/>
  <c r="AL23" i="3"/>
  <c r="AM23" i="3"/>
  <c r="AN23" i="3"/>
  <c r="AK24" i="3"/>
  <c r="AL24" i="3"/>
  <c r="AM24" i="3"/>
  <c r="AN24" i="3"/>
  <c r="AK25" i="3"/>
  <c r="AL25" i="3"/>
  <c r="AM25" i="3"/>
  <c r="AN25" i="3"/>
  <c r="AK26" i="3"/>
  <c r="AL26" i="3"/>
  <c r="AM26" i="3"/>
  <c r="AN26" i="3"/>
  <c r="AK27" i="3"/>
  <c r="AL27" i="3"/>
  <c r="AM27" i="3"/>
  <c r="AN27" i="3"/>
  <c r="AK28" i="3"/>
  <c r="AL28" i="3"/>
  <c r="AM28" i="3"/>
  <c r="AN28" i="3"/>
  <c r="AK29" i="3"/>
  <c r="AL29" i="3"/>
  <c r="AM29" i="3"/>
  <c r="AN29" i="3"/>
  <c r="AK30" i="3"/>
  <c r="AL30" i="3"/>
  <c r="AM30" i="3"/>
  <c r="AN30" i="3"/>
  <c r="AK31" i="3"/>
  <c r="AL31" i="3"/>
  <c r="AM31" i="3"/>
  <c r="AN31" i="3"/>
  <c r="AK32" i="3"/>
  <c r="AL32" i="3"/>
  <c r="AM32" i="3"/>
  <c r="AN32" i="3"/>
  <c r="AK33" i="3"/>
  <c r="AL33" i="3"/>
  <c r="AM33" i="3"/>
  <c r="AN33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2" i="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2" i="7"/>
  <c r="AA33" i="3" l="1"/>
  <c r="Z33" i="3"/>
  <c r="Y33" i="3"/>
  <c r="X33" i="3"/>
  <c r="W33" i="3"/>
  <c r="V33" i="3"/>
  <c r="U33" i="3"/>
  <c r="T33" i="3"/>
  <c r="AA32" i="3"/>
  <c r="Z32" i="3"/>
  <c r="Y32" i="3"/>
  <c r="X32" i="3"/>
  <c r="W32" i="3"/>
  <c r="V32" i="3"/>
  <c r="U32" i="3"/>
  <c r="T32" i="3"/>
  <c r="AA31" i="3"/>
  <c r="Z31" i="3"/>
  <c r="Y31" i="3"/>
  <c r="X31" i="3"/>
  <c r="W31" i="3"/>
  <c r="V31" i="3"/>
  <c r="U31" i="3"/>
  <c r="T31" i="3"/>
  <c r="AA30" i="3"/>
  <c r="Z30" i="3"/>
  <c r="Y30" i="3"/>
  <c r="X30" i="3"/>
  <c r="W30" i="3"/>
  <c r="V30" i="3"/>
  <c r="U30" i="3"/>
  <c r="T30" i="3"/>
  <c r="AA29" i="3"/>
  <c r="Z29" i="3"/>
  <c r="Y29" i="3"/>
  <c r="X29" i="3"/>
  <c r="W29" i="3"/>
  <c r="V29" i="3"/>
  <c r="U29" i="3"/>
  <c r="T29" i="3"/>
  <c r="AA28" i="3"/>
  <c r="Z28" i="3"/>
  <c r="Y28" i="3"/>
  <c r="X28" i="3"/>
  <c r="W28" i="3"/>
  <c r="V28" i="3"/>
  <c r="U28" i="3"/>
  <c r="T28" i="3"/>
  <c r="AA27" i="3"/>
  <c r="Z27" i="3"/>
  <c r="Y27" i="3"/>
  <c r="X27" i="3"/>
  <c r="W27" i="3"/>
  <c r="V27" i="3"/>
  <c r="U27" i="3"/>
  <c r="T27" i="3"/>
  <c r="AA26" i="3"/>
  <c r="Z26" i="3"/>
  <c r="Y26" i="3"/>
  <c r="X26" i="3"/>
  <c r="W26" i="3"/>
  <c r="V26" i="3"/>
  <c r="U26" i="3"/>
  <c r="T26" i="3"/>
  <c r="AA25" i="3"/>
  <c r="Z25" i="3"/>
  <c r="Y25" i="3"/>
  <c r="X25" i="3"/>
  <c r="W25" i="3"/>
  <c r="V25" i="3"/>
  <c r="U25" i="3"/>
  <c r="T25" i="3"/>
  <c r="AA24" i="3"/>
  <c r="Z24" i="3"/>
  <c r="Y24" i="3"/>
  <c r="X24" i="3"/>
  <c r="W24" i="3"/>
  <c r="V24" i="3"/>
  <c r="U24" i="3"/>
  <c r="T24" i="3"/>
  <c r="AA23" i="3"/>
  <c r="Z23" i="3"/>
  <c r="Y23" i="3"/>
  <c r="X23" i="3"/>
  <c r="W23" i="3"/>
  <c r="V23" i="3"/>
  <c r="U23" i="3"/>
  <c r="T23" i="3"/>
  <c r="AA22" i="3"/>
  <c r="Z22" i="3"/>
  <c r="Y22" i="3"/>
  <c r="X22" i="3"/>
  <c r="W22" i="3"/>
  <c r="V22" i="3"/>
  <c r="U22" i="3"/>
  <c r="T22" i="3"/>
  <c r="AA21" i="3"/>
  <c r="Z21" i="3"/>
  <c r="Y21" i="3"/>
  <c r="X21" i="3"/>
  <c r="W21" i="3"/>
  <c r="V21" i="3"/>
  <c r="U21" i="3"/>
  <c r="T21" i="3"/>
  <c r="AA20" i="3"/>
  <c r="Z20" i="3"/>
  <c r="Y20" i="3"/>
  <c r="X20" i="3"/>
  <c r="W20" i="3"/>
  <c r="V20" i="3"/>
  <c r="U20" i="3"/>
  <c r="T20" i="3"/>
  <c r="AA19" i="3"/>
  <c r="Z19" i="3"/>
  <c r="Y19" i="3"/>
  <c r="X19" i="3"/>
  <c r="W19" i="3"/>
  <c r="V19" i="3"/>
  <c r="U19" i="3"/>
  <c r="T19" i="3"/>
  <c r="AA18" i="3"/>
  <c r="Z18" i="3"/>
  <c r="Y18" i="3"/>
  <c r="X18" i="3"/>
  <c r="W18" i="3"/>
  <c r="V18" i="3"/>
  <c r="U18" i="3"/>
  <c r="T18" i="3"/>
  <c r="AA17" i="3"/>
  <c r="Z17" i="3"/>
  <c r="Y17" i="3"/>
  <c r="X17" i="3"/>
  <c r="W17" i="3"/>
  <c r="V17" i="3"/>
  <c r="U17" i="3"/>
  <c r="T17" i="3"/>
  <c r="AA16" i="3"/>
  <c r="Z16" i="3"/>
  <c r="Y16" i="3"/>
  <c r="X16" i="3"/>
  <c r="W16" i="3"/>
  <c r="V16" i="3"/>
  <c r="U16" i="3"/>
  <c r="T16" i="3"/>
  <c r="AA15" i="3"/>
  <c r="Z15" i="3"/>
  <c r="Y15" i="3"/>
  <c r="X15" i="3"/>
  <c r="W15" i="3"/>
  <c r="V15" i="3"/>
  <c r="U15" i="3"/>
  <c r="T15" i="3"/>
  <c r="AA14" i="3"/>
  <c r="Z14" i="3"/>
  <c r="Y14" i="3"/>
  <c r="X14" i="3"/>
  <c r="W14" i="3"/>
  <c r="V14" i="3"/>
  <c r="U14" i="3"/>
  <c r="T14" i="3"/>
  <c r="AA13" i="3"/>
  <c r="Z13" i="3"/>
  <c r="Y13" i="3"/>
  <c r="X13" i="3"/>
  <c r="W13" i="3"/>
  <c r="V13" i="3"/>
  <c r="U13" i="3"/>
  <c r="T13" i="3"/>
  <c r="AA12" i="3"/>
  <c r="Z12" i="3"/>
  <c r="Y12" i="3"/>
  <c r="X12" i="3"/>
  <c r="W12" i="3"/>
  <c r="V12" i="3"/>
  <c r="U12" i="3"/>
  <c r="T12" i="3"/>
  <c r="AA11" i="3"/>
  <c r="Z11" i="3"/>
  <c r="Y11" i="3"/>
  <c r="X11" i="3"/>
  <c r="W11" i="3"/>
  <c r="V11" i="3"/>
  <c r="U11" i="3"/>
  <c r="T11" i="3"/>
  <c r="AA10" i="3"/>
  <c r="Z10" i="3"/>
  <c r="Y10" i="3"/>
  <c r="X10" i="3"/>
  <c r="W10" i="3"/>
  <c r="V10" i="3"/>
  <c r="U10" i="3"/>
  <c r="T10" i="3"/>
  <c r="AA9" i="3"/>
  <c r="Z9" i="3"/>
  <c r="Y9" i="3"/>
  <c r="X9" i="3"/>
  <c r="W9" i="3"/>
  <c r="V9" i="3"/>
  <c r="U9" i="3"/>
  <c r="T9" i="3"/>
  <c r="AA8" i="3"/>
  <c r="Z8" i="3"/>
  <c r="Y8" i="3"/>
  <c r="X8" i="3"/>
  <c r="W8" i="3"/>
  <c r="V8" i="3"/>
  <c r="U8" i="3"/>
  <c r="T8" i="3"/>
  <c r="AA7" i="3"/>
  <c r="Z7" i="3"/>
  <c r="Y7" i="3"/>
  <c r="X7" i="3"/>
  <c r="W7" i="3"/>
  <c r="V7" i="3"/>
  <c r="U7" i="3"/>
  <c r="T7" i="3"/>
  <c r="AA6" i="3"/>
  <c r="Z6" i="3"/>
  <c r="Y6" i="3"/>
  <c r="X6" i="3"/>
  <c r="W6" i="3"/>
  <c r="V6" i="3"/>
  <c r="U6" i="3"/>
  <c r="T6" i="3"/>
  <c r="AA5" i="3"/>
  <c r="Z5" i="3"/>
  <c r="Y5" i="3"/>
  <c r="X5" i="3"/>
  <c r="W5" i="3"/>
  <c r="V5" i="3"/>
  <c r="U5" i="3"/>
  <c r="T5" i="3"/>
  <c r="AA4" i="3"/>
  <c r="Z4" i="3"/>
  <c r="Y4" i="3"/>
  <c r="X4" i="3"/>
  <c r="W4" i="3"/>
  <c r="V4" i="3"/>
  <c r="U4" i="3"/>
  <c r="T4" i="3"/>
  <c r="AA3" i="3"/>
  <c r="Z3" i="3"/>
  <c r="Y3" i="3"/>
  <c r="X3" i="3"/>
  <c r="W3" i="3"/>
  <c r="V3" i="3"/>
  <c r="U3" i="3"/>
  <c r="T3" i="3"/>
  <c r="AA2" i="3"/>
  <c r="Z2" i="3"/>
  <c r="Y2" i="3"/>
  <c r="X2" i="3"/>
  <c r="W2" i="3"/>
  <c r="V2" i="3"/>
  <c r="U2" i="3"/>
  <c r="T2" i="3"/>
  <c r="AI33" i="3"/>
  <c r="AH33" i="3"/>
  <c r="AG33" i="3"/>
  <c r="AF33" i="3"/>
  <c r="AE33" i="3"/>
  <c r="AD33" i="3"/>
  <c r="AC33" i="3"/>
  <c r="AB33" i="3"/>
  <c r="AI32" i="3"/>
  <c r="AH32" i="3"/>
  <c r="AG32" i="3"/>
  <c r="AF32" i="3"/>
  <c r="AE32" i="3"/>
  <c r="AD32" i="3"/>
  <c r="AC32" i="3"/>
  <c r="AB32" i="3"/>
  <c r="AI31" i="3"/>
  <c r="AH31" i="3"/>
  <c r="AG31" i="3"/>
  <c r="AF31" i="3"/>
  <c r="AE31" i="3"/>
  <c r="AD31" i="3"/>
  <c r="AC31" i="3"/>
  <c r="AB31" i="3"/>
  <c r="AI30" i="3"/>
  <c r="AH30" i="3"/>
  <c r="AG30" i="3"/>
  <c r="AF30" i="3"/>
  <c r="AE30" i="3"/>
  <c r="AD30" i="3"/>
  <c r="AC30" i="3"/>
  <c r="AB30" i="3"/>
  <c r="AI29" i="3"/>
  <c r="AH29" i="3"/>
  <c r="AG29" i="3"/>
  <c r="AF29" i="3"/>
  <c r="AE29" i="3"/>
  <c r="AD29" i="3"/>
  <c r="AC29" i="3"/>
  <c r="AB29" i="3"/>
  <c r="AI28" i="3"/>
  <c r="AH28" i="3"/>
  <c r="AG28" i="3"/>
  <c r="AF28" i="3"/>
  <c r="AE28" i="3"/>
  <c r="AD28" i="3"/>
  <c r="AC28" i="3"/>
  <c r="AB28" i="3"/>
  <c r="AI27" i="3"/>
  <c r="AH27" i="3"/>
  <c r="AG27" i="3"/>
  <c r="AF27" i="3"/>
  <c r="AE27" i="3"/>
  <c r="AD27" i="3"/>
  <c r="AC27" i="3"/>
  <c r="AB27" i="3"/>
  <c r="AI26" i="3"/>
  <c r="AH26" i="3"/>
  <c r="AG26" i="3"/>
  <c r="AF26" i="3"/>
  <c r="AE26" i="3"/>
  <c r="AD26" i="3"/>
  <c r="AC26" i="3"/>
  <c r="AB26" i="3"/>
  <c r="AI25" i="3"/>
  <c r="AH25" i="3"/>
  <c r="AG25" i="3"/>
  <c r="AF25" i="3"/>
  <c r="AE25" i="3"/>
  <c r="AD25" i="3"/>
  <c r="AC25" i="3"/>
  <c r="AB25" i="3"/>
  <c r="AI24" i="3"/>
  <c r="AH24" i="3"/>
  <c r="AG24" i="3"/>
  <c r="AF24" i="3"/>
  <c r="AE24" i="3"/>
  <c r="AD24" i="3"/>
  <c r="AC24" i="3"/>
  <c r="AB24" i="3"/>
  <c r="AI23" i="3"/>
  <c r="AH23" i="3"/>
  <c r="AG23" i="3"/>
  <c r="AF23" i="3"/>
  <c r="AE23" i="3"/>
  <c r="AD23" i="3"/>
  <c r="AC23" i="3"/>
  <c r="AB23" i="3"/>
  <c r="AI22" i="3"/>
  <c r="AH22" i="3"/>
  <c r="AG22" i="3"/>
  <c r="AF22" i="3"/>
  <c r="AE22" i="3"/>
  <c r="AD22" i="3"/>
  <c r="AC22" i="3"/>
  <c r="AB22" i="3"/>
  <c r="AI21" i="3"/>
  <c r="AH21" i="3"/>
  <c r="AG21" i="3"/>
  <c r="AF21" i="3"/>
  <c r="AE21" i="3"/>
  <c r="AD21" i="3"/>
  <c r="AC21" i="3"/>
  <c r="AB21" i="3"/>
  <c r="AI20" i="3"/>
  <c r="AH20" i="3"/>
  <c r="AG20" i="3"/>
  <c r="AF20" i="3"/>
  <c r="AE20" i="3"/>
  <c r="AD20" i="3"/>
  <c r="AC20" i="3"/>
  <c r="AB20" i="3"/>
  <c r="AI19" i="3"/>
  <c r="AH19" i="3"/>
  <c r="AG19" i="3"/>
  <c r="AF19" i="3"/>
  <c r="AE19" i="3"/>
  <c r="AD19" i="3"/>
  <c r="AC19" i="3"/>
  <c r="AB19" i="3"/>
  <c r="AI18" i="3"/>
  <c r="AH18" i="3"/>
  <c r="AG18" i="3"/>
  <c r="AF18" i="3"/>
  <c r="AE18" i="3"/>
  <c r="AD18" i="3"/>
  <c r="AC18" i="3"/>
  <c r="AB18" i="3"/>
  <c r="AI17" i="3"/>
  <c r="AH17" i="3"/>
  <c r="AG17" i="3"/>
  <c r="AF17" i="3"/>
  <c r="AE17" i="3"/>
  <c r="AD17" i="3"/>
  <c r="AC17" i="3"/>
  <c r="AB17" i="3"/>
  <c r="AI16" i="3"/>
  <c r="AH16" i="3"/>
  <c r="AG16" i="3"/>
  <c r="AF16" i="3"/>
  <c r="AE16" i="3"/>
  <c r="AD16" i="3"/>
  <c r="AC16" i="3"/>
  <c r="AB16" i="3"/>
  <c r="AI15" i="3"/>
  <c r="AH15" i="3"/>
  <c r="AG15" i="3"/>
  <c r="AF15" i="3"/>
  <c r="AE15" i="3"/>
  <c r="AD15" i="3"/>
  <c r="AC15" i="3"/>
  <c r="AB15" i="3"/>
  <c r="AI14" i="3"/>
  <c r="AH14" i="3"/>
  <c r="AG14" i="3"/>
  <c r="AF14" i="3"/>
  <c r="AE14" i="3"/>
  <c r="AD14" i="3"/>
  <c r="AC14" i="3"/>
  <c r="AB14" i="3"/>
  <c r="AI13" i="3"/>
  <c r="AH13" i="3"/>
  <c r="AG13" i="3"/>
  <c r="AF13" i="3"/>
  <c r="AE13" i="3"/>
  <c r="AD13" i="3"/>
  <c r="AC13" i="3"/>
  <c r="AB13" i="3"/>
  <c r="AI12" i="3"/>
  <c r="AH12" i="3"/>
  <c r="AG12" i="3"/>
  <c r="AF12" i="3"/>
  <c r="AE12" i="3"/>
  <c r="AD12" i="3"/>
  <c r="AC12" i="3"/>
  <c r="AB12" i="3"/>
  <c r="AI11" i="3"/>
  <c r="AH11" i="3"/>
  <c r="AG11" i="3"/>
  <c r="AF11" i="3"/>
  <c r="AE11" i="3"/>
  <c r="AD11" i="3"/>
  <c r="AC11" i="3"/>
  <c r="AB11" i="3"/>
  <c r="AI10" i="3"/>
  <c r="AH10" i="3"/>
  <c r="AG10" i="3"/>
  <c r="AF10" i="3"/>
  <c r="AE10" i="3"/>
  <c r="AD10" i="3"/>
  <c r="AC10" i="3"/>
  <c r="AB10" i="3"/>
  <c r="AI9" i="3"/>
  <c r="AH9" i="3"/>
  <c r="AG9" i="3"/>
  <c r="AF9" i="3"/>
  <c r="AE9" i="3"/>
  <c r="AD9" i="3"/>
  <c r="AC9" i="3"/>
  <c r="AB9" i="3"/>
  <c r="AI8" i="3"/>
  <c r="AH8" i="3"/>
  <c r="AG8" i="3"/>
  <c r="AF8" i="3"/>
  <c r="AE8" i="3"/>
  <c r="AD8" i="3"/>
  <c r="AC8" i="3"/>
  <c r="AB8" i="3"/>
  <c r="AI7" i="3"/>
  <c r="AH7" i="3"/>
  <c r="AG7" i="3"/>
  <c r="AF7" i="3"/>
  <c r="AE7" i="3"/>
  <c r="AD7" i="3"/>
  <c r="AC7" i="3"/>
  <c r="AB7" i="3"/>
  <c r="AI6" i="3"/>
  <c r="AH6" i="3"/>
  <c r="AG6" i="3"/>
  <c r="AF6" i="3"/>
  <c r="AE6" i="3"/>
  <c r="AD6" i="3"/>
  <c r="AC6" i="3"/>
  <c r="AB6" i="3"/>
  <c r="AI5" i="3"/>
  <c r="AH5" i="3"/>
  <c r="AG5" i="3"/>
  <c r="AF5" i="3"/>
  <c r="AE5" i="3"/>
  <c r="AD5" i="3"/>
  <c r="AC5" i="3"/>
  <c r="AB5" i="3"/>
  <c r="AI4" i="3"/>
  <c r="AH4" i="3"/>
  <c r="AG4" i="3"/>
  <c r="AF4" i="3"/>
  <c r="AE4" i="3"/>
  <c r="AD4" i="3"/>
  <c r="AC4" i="3"/>
  <c r="AB4" i="3"/>
  <c r="AI3" i="3"/>
  <c r="AH3" i="3"/>
  <c r="AG3" i="3"/>
  <c r="AF3" i="3"/>
  <c r="AE3" i="3"/>
  <c r="AD3" i="3"/>
  <c r="AC3" i="3"/>
  <c r="AB3" i="3"/>
  <c r="AI2" i="3"/>
  <c r="AH2" i="3"/>
  <c r="AG2" i="3"/>
  <c r="AF2" i="3"/>
  <c r="AE2" i="3"/>
  <c r="AD2" i="3"/>
  <c r="AC2" i="3"/>
  <c r="AB2" i="3"/>
  <c r="AF33" i="7" l="1"/>
  <c r="AE33" i="7"/>
  <c r="AD33" i="7"/>
  <c r="AC33" i="7"/>
  <c r="AB33" i="7"/>
  <c r="AA33" i="7"/>
  <c r="AF32" i="7"/>
  <c r="AE32" i="7"/>
  <c r="AD32" i="7"/>
  <c r="AC32" i="7"/>
  <c r="AB32" i="7"/>
  <c r="AA32" i="7"/>
  <c r="AF31" i="7"/>
  <c r="AE31" i="7"/>
  <c r="AD31" i="7"/>
  <c r="AC31" i="7"/>
  <c r="AB31" i="7"/>
  <c r="AA31" i="7"/>
  <c r="AF30" i="7"/>
  <c r="AE30" i="7"/>
  <c r="AD30" i="7"/>
  <c r="AC30" i="7"/>
  <c r="AB30" i="7"/>
  <c r="AA30" i="7"/>
  <c r="AF29" i="7"/>
  <c r="AE29" i="7"/>
  <c r="AD29" i="7"/>
  <c r="AC29" i="7"/>
  <c r="AB29" i="7"/>
  <c r="AA29" i="7"/>
  <c r="AF28" i="7"/>
  <c r="AE28" i="7"/>
  <c r="AD28" i="7"/>
  <c r="AC28" i="7"/>
  <c r="AB28" i="7"/>
  <c r="AA28" i="7"/>
  <c r="AF27" i="7"/>
  <c r="AE27" i="7"/>
  <c r="AD27" i="7"/>
  <c r="AC27" i="7"/>
  <c r="AB27" i="7"/>
  <c r="AA27" i="7"/>
  <c r="AF26" i="7"/>
  <c r="AE26" i="7"/>
  <c r="AD26" i="7"/>
  <c r="AC26" i="7"/>
  <c r="AB26" i="7"/>
  <c r="AA26" i="7"/>
  <c r="AF25" i="7"/>
  <c r="AE25" i="7"/>
  <c r="AD25" i="7"/>
  <c r="AC25" i="7"/>
  <c r="AB25" i="7"/>
  <c r="AA25" i="7"/>
  <c r="AF24" i="7"/>
  <c r="AE24" i="7"/>
  <c r="AD24" i="7"/>
  <c r="AC24" i="7"/>
  <c r="AB24" i="7"/>
  <c r="AA24" i="7"/>
  <c r="AF23" i="7"/>
  <c r="AE23" i="7"/>
  <c r="AD23" i="7"/>
  <c r="AC23" i="7"/>
  <c r="AB23" i="7"/>
  <c r="AA23" i="7"/>
  <c r="AF22" i="7"/>
  <c r="AE22" i="7"/>
  <c r="AD22" i="7"/>
  <c r="AC22" i="7"/>
  <c r="AB22" i="7"/>
  <c r="AA22" i="7"/>
  <c r="AF21" i="7"/>
  <c r="AE21" i="7"/>
  <c r="AD21" i="7"/>
  <c r="AC21" i="7"/>
  <c r="AB21" i="7"/>
  <c r="AA21" i="7"/>
  <c r="AF20" i="7"/>
  <c r="AE20" i="7"/>
  <c r="AD20" i="7"/>
  <c r="AC20" i="7"/>
  <c r="AB20" i="7"/>
  <c r="AA20" i="7"/>
  <c r="AF19" i="7"/>
  <c r="AE19" i="7"/>
  <c r="AD19" i="7"/>
  <c r="AC19" i="7"/>
  <c r="AB19" i="7"/>
  <c r="AA19" i="7"/>
  <c r="AF18" i="7"/>
  <c r="AE18" i="7"/>
  <c r="AD18" i="7"/>
  <c r="AC18" i="7"/>
  <c r="AB18" i="7"/>
  <c r="AA18" i="7"/>
  <c r="AF17" i="7"/>
  <c r="AE17" i="7"/>
  <c r="AD17" i="7"/>
  <c r="AC17" i="7"/>
  <c r="AB17" i="7"/>
  <c r="AA17" i="7"/>
  <c r="AF16" i="7"/>
  <c r="AE16" i="7"/>
  <c r="AD16" i="7"/>
  <c r="AC16" i="7"/>
  <c r="AB16" i="7"/>
  <c r="AA16" i="7"/>
  <c r="AF15" i="7"/>
  <c r="AE15" i="7"/>
  <c r="AD15" i="7"/>
  <c r="AC15" i="7"/>
  <c r="AB15" i="7"/>
  <c r="AA15" i="7"/>
  <c r="AF14" i="7"/>
  <c r="AE14" i="7"/>
  <c r="AD14" i="7"/>
  <c r="AC14" i="7"/>
  <c r="AB14" i="7"/>
  <c r="AA14" i="7"/>
  <c r="AF13" i="7"/>
  <c r="AE13" i="7"/>
  <c r="AD13" i="7"/>
  <c r="AC13" i="7"/>
  <c r="AB13" i="7"/>
  <c r="AA13" i="7"/>
  <c r="AF12" i="7"/>
  <c r="AE12" i="7"/>
  <c r="AD12" i="7"/>
  <c r="AC12" i="7"/>
  <c r="AB12" i="7"/>
  <c r="AA12" i="7"/>
  <c r="AF11" i="7"/>
  <c r="AE11" i="7"/>
  <c r="AD11" i="7"/>
  <c r="AC11" i="7"/>
  <c r="AB11" i="7"/>
  <c r="AA11" i="7"/>
  <c r="AF10" i="7"/>
  <c r="AE10" i="7"/>
  <c r="AD10" i="7"/>
  <c r="AC10" i="7"/>
  <c r="AB10" i="7"/>
  <c r="AA10" i="7"/>
  <c r="AF9" i="7"/>
  <c r="AE9" i="7"/>
  <c r="AD9" i="7"/>
  <c r="AC9" i="7"/>
  <c r="AB9" i="7"/>
  <c r="AA9" i="7"/>
  <c r="AF8" i="7"/>
  <c r="AE8" i="7"/>
  <c r="AD8" i="7"/>
  <c r="AC8" i="7"/>
  <c r="AB8" i="7"/>
  <c r="AA8" i="7"/>
  <c r="AF7" i="7"/>
  <c r="AE7" i="7"/>
  <c r="AD7" i="7"/>
  <c r="AC7" i="7"/>
  <c r="AB7" i="7"/>
  <c r="AA7" i="7"/>
  <c r="AF6" i="7"/>
  <c r="AE6" i="7"/>
  <c r="AD6" i="7"/>
  <c r="AC6" i="7"/>
  <c r="AB6" i="7"/>
  <c r="AA6" i="7"/>
  <c r="AF5" i="7"/>
  <c r="AE5" i="7"/>
  <c r="AD5" i="7"/>
  <c r="AC5" i="7"/>
  <c r="AB5" i="7"/>
  <c r="AA5" i="7"/>
  <c r="AF4" i="7"/>
  <c r="AE4" i="7"/>
  <c r="AD4" i="7"/>
  <c r="AC4" i="7"/>
  <c r="AB4" i="7"/>
  <c r="AA4" i="7"/>
  <c r="AF3" i="7"/>
  <c r="AE3" i="7"/>
  <c r="AD3" i="7"/>
  <c r="AC3" i="7"/>
  <c r="AB3" i="7"/>
  <c r="AA3" i="7"/>
  <c r="AF2" i="7"/>
  <c r="AE2" i="7"/>
  <c r="AD2" i="7"/>
  <c r="AC2" i="7"/>
  <c r="AB2" i="7"/>
  <c r="AA2" i="7"/>
  <c r="X3" i="7" l="1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2" i="7"/>
  <c r="X2" i="7"/>
  <c r="C26" i="12"/>
  <c r="C23" i="12"/>
  <c r="C20" i="12"/>
  <c r="C17" i="12"/>
  <c r="C14" i="12"/>
  <c r="C11" i="12"/>
  <c r="C8" i="12"/>
  <c r="C5" i="12"/>
  <c r="Z28" i="7" l="1"/>
  <c r="Y28" i="7"/>
  <c r="Y20" i="7"/>
  <c r="Z20" i="7"/>
  <c r="Y4" i="7"/>
  <c r="Z4" i="7"/>
  <c r="Z31" i="7"/>
  <c r="Y31" i="7"/>
  <c r="Y27" i="7"/>
  <c r="Z27" i="7"/>
  <c r="Z23" i="7"/>
  <c r="Y23" i="7"/>
  <c r="Y19" i="7"/>
  <c r="Z19" i="7"/>
  <c r="Y15" i="7"/>
  <c r="Z15" i="7"/>
  <c r="Y11" i="7"/>
  <c r="Z11" i="7"/>
  <c r="Y7" i="7"/>
  <c r="Z7" i="7"/>
  <c r="Y3" i="7"/>
  <c r="Z3" i="7"/>
  <c r="Y32" i="7"/>
  <c r="Z32" i="7"/>
  <c r="Z24" i="7"/>
  <c r="Y24" i="7"/>
  <c r="Y12" i="7"/>
  <c r="Z12" i="7"/>
  <c r="Z8" i="7"/>
  <c r="Y8" i="7"/>
  <c r="Y2" i="7"/>
  <c r="Z2" i="7"/>
  <c r="Z30" i="7"/>
  <c r="Y30" i="7"/>
  <c r="Z26" i="7"/>
  <c r="Y26" i="7"/>
  <c r="Z22" i="7"/>
  <c r="Y22" i="7"/>
  <c r="Y18" i="7"/>
  <c r="Z18" i="7"/>
  <c r="Y14" i="7"/>
  <c r="Z14" i="7"/>
  <c r="Y10" i="7"/>
  <c r="Z10" i="7"/>
  <c r="Y6" i="7"/>
  <c r="Z6" i="7"/>
  <c r="Y16" i="7"/>
  <c r="Z16" i="7"/>
  <c r="Z33" i="7"/>
  <c r="Y33" i="7"/>
  <c r="Y29" i="7"/>
  <c r="Z29" i="7"/>
  <c r="Y25" i="7"/>
  <c r="Z25" i="7"/>
  <c r="Y21" i="7"/>
  <c r="Z21" i="7"/>
  <c r="Y17" i="7"/>
  <c r="Z17" i="7"/>
  <c r="Y13" i="7"/>
  <c r="Z13" i="7"/>
  <c r="Z9" i="7"/>
  <c r="Y9" i="7"/>
  <c r="Y5" i="7"/>
  <c r="Z5" i="7"/>
  <c r="V33" i="7"/>
  <c r="U33" i="7"/>
  <c r="V32" i="7"/>
  <c r="U32" i="7"/>
  <c r="V31" i="7"/>
  <c r="U31" i="7"/>
  <c r="V30" i="7"/>
  <c r="U30" i="7"/>
  <c r="V29" i="7"/>
  <c r="U29" i="7"/>
  <c r="V28" i="7"/>
  <c r="U28" i="7"/>
  <c r="V27" i="7"/>
  <c r="U27" i="7"/>
  <c r="V26" i="7"/>
  <c r="U26" i="7"/>
  <c r="V25" i="7"/>
  <c r="U25" i="7"/>
  <c r="V24" i="7"/>
  <c r="U24" i="7"/>
  <c r="V23" i="7"/>
  <c r="U23" i="7"/>
  <c r="V22" i="7"/>
  <c r="U22" i="7"/>
  <c r="V21" i="7"/>
  <c r="U21" i="7"/>
  <c r="V20" i="7"/>
  <c r="U20" i="7"/>
  <c r="V19" i="7"/>
  <c r="U19" i="7"/>
  <c r="V18" i="7"/>
  <c r="U18" i="7"/>
  <c r="V17" i="7"/>
  <c r="U17" i="7"/>
  <c r="V16" i="7"/>
  <c r="U16" i="7"/>
  <c r="V15" i="7"/>
  <c r="U15" i="7"/>
  <c r="V14" i="7"/>
  <c r="U14" i="7"/>
  <c r="V13" i="7"/>
  <c r="U13" i="7"/>
  <c r="V12" i="7"/>
  <c r="U12" i="7"/>
  <c r="V11" i="7"/>
  <c r="U11" i="7"/>
  <c r="V10" i="7"/>
  <c r="U10" i="7"/>
  <c r="V9" i="7"/>
  <c r="U9" i="7"/>
  <c r="V8" i="7"/>
  <c r="U8" i="7"/>
  <c r="V7" i="7"/>
  <c r="U7" i="7"/>
  <c r="V6" i="7"/>
  <c r="U6" i="7"/>
  <c r="V5" i="7"/>
  <c r="U5" i="7"/>
  <c r="V4" i="7"/>
  <c r="U4" i="7"/>
  <c r="V3" i="7"/>
  <c r="U3" i="7"/>
  <c r="V2" i="7"/>
  <c r="U2" i="7"/>
  <c r="T33" i="7"/>
  <c r="R33" i="7" s="1"/>
  <c r="P33" i="7" s="1"/>
  <c r="S33" i="7"/>
  <c r="Q33" i="7" s="1"/>
  <c r="O33" i="7" s="1"/>
  <c r="T32" i="7"/>
  <c r="R32" i="7" s="1"/>
  <c r="S32" i="7"/>
  <c r="T31" i="7"/>
  <c r="R31" i="7" s="1"/>
  <c r="S31" i="7"/>
  <c r="Q31" i="7" s="1"/>
  <c r="T30" i="7"/>
  <c r="S30" i="7"/>
  <c r="T29" i="7"/>
  <c r="R29" i="7" s="1"/>
  <c r="S29" i="7"/>
  <c r="Q29" i="7" s="1"/>
  <c r="T28" i="7"/>
  <c r="R28" i="7" s="1"/>
  <c r="S28" i="7"/>
  <c r="Q28" i="7" s="1"/>
  <c r="T27" i="7"/>
  <c r="R27" i="7" s="1"/>
  <c r="S27" i="7"/>
  <c r="Q27" i="7" s="1"/>
  <c r="T26" i="7"/>
  <c r="R26" i="7" s="1"/>
  <c r="S26" i="7"/>
  <c r="Q26" i="7" s="1"/>
  <c r="T25" i="7"/>
  <c r="R25" i="7" s="1"/>
  <c r="S25" i="7"/>
  <c r="Q25" i="7" s="1"/>
  <c r="T24" i="7"/>
  <c r="R24" i="7" s="1"/>
  <c r="S24" i="7"/>
  <c r="Q24" i="7" s="1"/>
  <c r="T23" i="7"/>
  <c r="R23" i="7" s="1"/>
  <c r="S23" i="7"/>
  <c r="Q23" i="7" s="1"/>
  <c r="T22" i="7"/>
  <c r="R22" i="7" s="1"/>
  <c r="S22" i="7"/>
  <c r="Q22" i="7" s="1"/>
  <c r="T21" i="7"/>
  <c r="R21" i="7" s="1"/>
  <c r="S21" i="7"/>
  <c r="Q21" i="7" s="1"/>
  <c r="T20" i="7"/>
  <c r="R20" i="7" s="1"/>
  <c r="S20" i="7"/>
  <c r="Q20" i="7" s="1"/>
  <c r="T19" i="7"/>
  <c r="R19" i="7" s="1"/>
  <c r="S19" i="7"/>
  <c r="Q19" i="7" s="1"/>
  <c r="T18" i="7"/>
  <c r="R18" i="7" s="1"/>
  <c r="S18" i="7"/>
  <c r="T17" i="7"/>
  <c r="R17" i="7" s="1"/>
  <c r="S17" i="7"/>
  <c r="Q17" i="7" s="1"/>
  <c r="T16" i="7"/>
  <c r="R16" i="7" s="1"/>
  <c r="S16" i="7"/>
  <c r="Q16" i="7" s="1"/>
  <c r="T15" i="7"/>
  <c r="R15" i="7" s="1"/>
  <c r="S15" i="7"/>
  <c r="Q15" i="7" s="1"/>
  <c r="T14" i="7"/>
  <c r="R14" i="7" s="1"/>
  <c r="S14" i="7"/>
  <c r="T13" i="7"/>
  <c r="R13" i="7" s="1"/>
  <c r="S13" i="7"/>
  <c r="Q13" i="7" s="1"/>
  <c r="T12" i="7"/>
  <c r="R12" i="7" s="1"/>
  <c r="S12" i="7"/>
  <c r="Q12" i="7" s="1"/>
  <c r="T11" i="7"/>
  <c r="R11" i="7" s="1"/>
  <c r="S11" i="7"/>
  <c r="Q11" i="7" s="1"/>
  <c r="T10" i="7"/>
  <c r="R10" i="7" s="1"/>
  <c r="S10" i="7"/>
  <c r="Q10" i="7" s="1"/>
  <c r="T9" i="7"/>
  <c r="R9" i="7" s="1"/>
  <c r="P9" i="7" s="1"/>
  <c r="S9" i="7"/>
  <c r="Q9" i="7" s="1"/>
  <c r="T8" i="7"/>
  <c r="R8" i="7" s="1"/>
  <c r="S8" i="7"/>
  <c r="Q8" i="7" s="1"/>
  <c r="T7" i="7"/>
  <c r="R7" i="7" s="1"/>
  <c r="S7" i="7"/>
  <c r="Q7" i="7" s="1"/>
  <c r="T6" i="7"/>
  <c r="R6" i="7" s="1"/>
  <c r="S6" i="7"/>
  <c r="Q6" i="7" s="1"/>
  <c r="T5" i="7"/>
  <c r="R5" i="7" s="1"/>
  <c r="S5" i="7"/>
  <c r="Q5" i="7" s="1"/>
  <c r="T4" i="7"/>
  <c r="R4" i="7" s="1"/>
  <c r="S4" i="7"/>
  <c r="Q4" i="7" s="1"/>
  <c r="T3" i="7"/>
  <c r="R3" i="7" s="1"/>
  <c r="S3" i="7"/>
  <c r="Q3" i="7" s="1"/>
  <c r="O3" i="7" s="1"/>
  <c r="T2" i="7"/>
  <c r="R2" i="7" s="1"/>
  <c r="S2" i="7"/>
  <c r="Q2" i="7" s="1"/>
  <c r="Q18" i="7" l="1"/>
  <c r="O19" i="7"/>
  <c r="O27" i="7"/>
  <c r="Q14" i="7"/>
  <c r="O14" i="7" s="1"/>
  <c r="R30" i="7"/>
  <c r="P30" i="7" s="1"/>
  <c r="Q32" i="7"/>
  <c r="O32" i="7" s="1"/>
  <c r="P4" i="7"/>
  <c r="P8" i="7"/>
  <c r="P14" i="7"/>
  <c r="O26" i="7"/>
  <c r="P26" i="7"/>
  <c r="P28" i="7"/>
  <c r="O11" i="7"/>
  <c r="P24" i="7"/>
  <c r="P6" i="7"/>
  <c r="O9" i="7"/>
  <c r="P22" i="7"/>
  <c r="O17" i="7"/>
  <c r="O25" i="7"/>
  <c r="O2" i="7"/>
  <c r="O4" i="7"/>
  <c r="O6" i="7"/>
  <c r="O8" i="7"/>
  <c r="O10" i="7"/>
  <c r="O12" i="7"/>
  <c r="O16" i="7"/>
  <c r="O18" i="7"/>
  <c r="O20" i="7"/>
  <c r="O22" i="7"/>
  <c r="O24" i="7"/>
  <c r="O28" i="7"/>
  <c r="Q30" i="7"/>
  <c r="O30" i="7" s="1"/>
  <c r="P3" i="7"/>
  <c r="P11" i="7"/>
  <c r="P17" i="7"/>
  <c r="P19" i="7"/>
  <c r="P25" i="7"/>
  <c r="P27" i="7"/>
  <c r="O5" i="7"/>
  <c r="O7" i="7"/>
  <c r="O13" i="7"/>
  <c r="O15" i="7"/>
  <c r="O21" i="7"/>
  <c r="O29" i="7"/>
  <c r="P23" i="7"/>
  <c r="P31" i="7"/>
  <c r="P10" i="7"/>
  <c r="P12" i="7"/>
  <c r="P16" i="7"/>
  <c r="P18" i="7"/>
  <c r="P20" i="7"/>
  <c r="P32" i="7"/>
  <c r="P5" i="7"/>
  <c r="P7" i="7"/>
  <c r="P13" i="7"/>
  <c r="P15" i="7"/>
  <c r="P21" i="7"/>
  <c r="P29" i="7"/>
  <c r="O23" i="7"/>
  <c r="O31" i="7"/>
  <c r="P2" i="7"/>
  <c r="I33" i="7" l="1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2" i="3"/>
  <c r="O2" i="4" l="1"/>
  <c r="E26" i="12" l="1"/>
  <c r="B26" i="12"/>
  <c r="E23" i="12"/>
  <c r="B23" i="12"/>
  <c r="E20" i="12"/>
  <c r="B20" i="12"/>
  <c r="E17" i="12"/>
  <c r="B17" i="12"/>
  <c r="E14" i="12"/>
  <c r="B14" i="12"/>
  <c r="E11" i="12"/>
  <c r="B11" i="12"/>
  <c r="E8" i="12"/>
  <c r="B8" i="12"/>
  <c r="E5" i="12"/>
  <c r="B5" i="12"/>
  <c r="C35" i="11"/>
  <c r="E35" i="11" s="1"/>
  <c r="B35" i="11"/>
  <c r="C34" i="11"/>
  <c r="E34" i="11" s="1"/>
  <c r="B34" i="11"/>
  <c r="C31" i="11"/>
  <c r="E31" i="11" s="1"/>
  <c r="B31" i="11"/>
  <c r="C30" i="11"/>
  <c r="E30" i="11" s="1"/>
  <c r="B30" i="11"/>
  <c r="C27" i="11"/>
  <c r="E27" i="11" s="1"/>
  <c r="B27" i="11"/>
  <c r="C26" i="11"/>
  <c r="E26" i="11" s="1"/>
  <c r="B26" i="11"/>
  <c r="C23" i="11"/>
  <c r="E23" i="11" s="1"/>
  <c r="B23" i="11"/>
  <c r="C22" i="11"/>
  <c r="E22" i="11" s="1"/>
  <c r="B22" i="11"/>
  <c r="C19" i="11"/>
  <c r="E19" i="11" s="1"/>
  <c r="B19" i="11"/>
  <c r="C18" i="11"/>
  <c r="E18" i="11" s="1"/>
  <c r="B18" i="11"/>
  <c r="C15" i="11"/>
  <c r="E15" i="11" s="1"/>
  <c r="B15" i="11"/>
  <c r="C14" i="11"/>
  <c r="E14" i="11" s="1"/>
  <c r="B14" i="11"/>
  <c r="C11" i="11"/>
  <c r="E11" i="11" s="1"/>
  <c r="B11" i="11"/>
  <c r="C10" i="11"/>
  <c r="E10" i="11" s="1"/>
  <c r="B10" i="11"/>
  <c r="C7" i="11"/>
  <c r="E7" i="11" s="1"/>
  <c r="B7" i="11"/>
  <c r="C6" i="11"/>
  <c r="E6" i="11" s="1"/>
  <c r="B6" i="11"/>
  <c r="B2" i="12" l="1"/>
  <c r="C2" i="12"/>
  <c r="E2" i="12" s="1"/>
  <c r="D5" i="12"/>
  <c r="D8" i="12"/>
  <c r="D11" i="12"/>
  <c r="D14" i="12"/>
  <c r="D17" i="12"/>
  <c r="D20" i="12"/>
  <c r="D23" i="12"/>
  <c r="D26" i="12"/>
  <c r="C2" i="11"/>
  <c r="E2" i="11" s="1"/>
  <c r="B3" i="11"/>
  <c r="B2" i="11"/>
  <c r="C3" i="11"/>
  <c r="E3" i="11" s="1"/>
  <c r="D6" i="11"/>
  <c r="D7" i="11"/>
  <c r="D10" i="11"/>
  <c r="D11" i="11"/>
  <c r="D14" i="11"/>
  <c r="D15" i="11"/>
  <c r="D18" i="11"/>
  <c r="D19" i="11"/>
  <c r="D22" i="11"/>
  <c r="D23" i="11"/>
  <c r="D26" i="11"/>
  <c r="D27" i="11"/>
  <c r="D30" i="11"/>
  <c r="D31" i="11"/>
  <c r="D34" i="11"/>
  <c r="D35" i="11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2" i="7"/>
  <c r="D2" i="12" l="1"/>
  <c r="D2" i="11"/>
  <c r="D3" i="1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2" i="7"/>
  <c r="C43" i="6"/>
  <c r="E43" i="6" s="1"/>
  <c r="C38" i="6"/>
  <c r="E38" i="6" s="1"/>
  <c r="C33" i="6"/>
  <c r="E33" i="6" s="1"/>
  <c r="C28" i="6"/>
  <c r="E28" i="6" s="1"/>
  <c r="C23" i="6"/>
  <c r="E23" i="6" s="1"/>
  <c r="C18" i="6"/>
  <c r="E18" i="6" s="1"/>
  <c r="C13" i="6"/>
  <c r="E13" i="6" s="1"/>
  <c r="C8" i="6"/>
  <c r="E8" i="6" s="1"/>
  <c r="F9" i="8"/>
  <c r="H9" i="8" s="1"/>
  <c r="E9" i="8"/>
  <c r="G9" i="8" s="1"/>
  <c r="B9" i="8"/>
  <c r="F8" i="8"/>
  <c r="H8" i="8" s="1"/>
  <c r="E8" i="8"/>
  <c r="G8" i="8" s="1"/>
  <c r="B8" i="8"/>
  <c r="C8" i="8" s="1"/>
  <c r="F7" i="8"/>
  <c r="H7" i="8" s="1"/>
  <c r="E7" i="8"/>
  <c r="G7" i="8" s="1"/>
  <c r="B7" i="8"/>
  <c r="C7" i="8" s="1"/>
  <c r="F6" i="8"/>
  <c r="H6" i="8" s="1"/>
  <c r="E6" i="8"/>
  <c r="G6" i="8" s="1"/>
  <c r="B6" i="8"/>
  <c r="C6" i="8" s="1"/>
  <c r="D6" i="8" s="1"/>
  <c r="F5" i="8"/>
  <c r="H5" i="8" s="1"/>
  <c r="E5" i="8"/>
  <c r="G5" i="8" s="1"/>
  <c r="B5" i="8"/>
  <c r="F4" i="8"/>
  <c r="H4" i="8" s="1"/>
  <c r="E4" i="8"/>
  <c r="G4" i="8" s="1"/>
  <c r="B4" i="8"/>
  <c r="C4" i="8" s="1"/>
  <c r="F3" i="8"/>
  <c r="H3" i="8" s="1"/>
  <c r="E3" i="8"/>
  <c r="G3" i="8" s="1"/>
  <c r="B3" i="8"/>
  <c r="C3" i="8" s="1"/>
  <c r="F2" i="8"/>
  <c r="H2" i="8" s="1"/>
  <c r="E2" i="8"/>
  <c r="G2" i="8" s="1"/>
  <c r="B2" i="8"/>
  <c r="C2" i="8" s="1"/>
  <c r="D2" i="8" s="1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2" i="7"/>
  <c r="C44" i="6"/>
  <c r="E44" i="6" s="1"/>
  <c r="C39" i="6"/>
  <c r="E39" i="6" s="1"/>
  <c r="C34" i="6"/>
  <c r="E34" i="6" s="1"/>
  <c r="C29" i="6"/>
  <c r="E29" i="6" s="1"/>
  <c r="C24" i="6"/>
  <c r="E24" i="6" s="1"/>
  <c r="C19" i="6"/>
  <c r="E19" i="6" s="1"/>
  <c r="C14" i="6"/>
  <c r="E14" i="6" s="1"/>
  <c r="C9" i="6"/>
  <c r="E9" i="6" s="1"/>
  <c r="C42" i="6"/>
  <c r="D42" i="6" s="1"/>
  <c r="C37" i="6"/>
  <c r="E37" i="6" s="1"/>
  <c r="C32" i="6"/>
  <c r="E32" i="6" s="1"/>
  <c r="C27" i="6"/>
  <c r="E27" i="6" s="1"/>
  <c r="C22" i="6"/>
  <c r="E22" i="6" s="1"/>
  <c r="C17" i="6"/>
  <c r="E17" i="6" s="1"/>
  <c r="C12" i="6"/>
  <c r="E12" i="6" s="1"/>
  <c r="C7" i="6"/>
  <c r="E7" i="6" s="1"/>
  <c r="B44" i="6"/>
  <c r="B43" i="6"/>
  <c r="B42" i="6"/>
  <c r="B39" i="6"/>
  <c r="B38" i="6"/>
  <c r="B37" i="6"/>
  <c r="B34" i="6"/>
  <c r="B33" i="6"/>
  <c r="B32" i="6"/>
  <c r="B29" i="6"/>
  <c r="B28" i="6"/>
  <c r="B27" i="6"/>
  <c r="B24" i="6"/>
  <c r="B23" i="6"/>
  <c r="B22" i="6"/>
  <c r="B19" i="6"/>
  <c r="B18" i="6"/>
  <c r="B17" i="6"/>
  <c r="B14" i="6"/>
  <c r="B13" i="6"/>
  <c r="B12" i="6"/>
  <c r="B9" i="6"/>
  <c r="B8" i="6"/>
  <c r="B7" i="6"/>
  <c r="D37" i="6" l="1"/>
  <c r="D32" i="6"/>
  <c r="D27" i="6"/>
  <c r="D22" i="6"/>
  <c r="D17" i="6"/>
  <c r="D12" i="6"/>
  <c r="D7" i="6"/>
  <c r="E42" i="6"/>
  <c r="D4" i="8"/>
  <c r="D8" i="8"/>
  <c r="D3" i="8"/>
  <c r="C5" i="8"/>
  <c r="D7" i="8"/>
  <c r="C9" i="8"/>
  <c r="B4" i="6"/>
  <c r="B3" i="6"/>
  <c r="C4" i="6"/>
  <c r="E4" i="6" s="1"/>
  <c r="C2" i="6"/>
  <c r="E2" i="6" s="1"/>
  <c r="C3" i="6"/>
  <c r="E3" i="6" s="1"/>
  <c r="B2" i="6"/>
  <c r="D8" i="6"/>
  <c r="D9" i="6"/>
  <c r="D13" i="6"/>
  <c r="D14" i="6"/>
  <c r="D18" i="6"/>
  <c r="D19" i="6"/>
  <c r="D23" i="6"/>
  <c r="D24" i="6"/>
  <c r="D28" i="6"/>
  <c r="D29" i="6"/>
  <c r="D33" i="6"/>
  <c r="D34" i="6"/>
  <c r="D38" i="6"/>
  <c r="D39" i="6"/>
  <c r="D43" i="6"/>
  <c r="D44" i="6"/>
  <c r="D9" i="8" l="1"/>
  <c r="D5" i="8"/>
  <c r="D4" i="6"/>
  <c r="D2" i="6"/>
  <c r="D3" i="6"/>
  <c r="G3" i="4"/>
  <c r="K3" i="4" s="1"/>
  <c r="H3" i="4"/>
  <c r="L3" i="4" s="1"/>
  <c r="I3" i="4"/>
  <c r="M3" i="4" s="1"/>
  <c r="J3" i="4"/>
  <c r="N3" i="4" s="1"/>
  <c r="G4" i="4"/>
  <c r="K4" i="4" s="1"/>
  <c r="H4" i="4"/>
  <c r="L4" i="4" s="1"/>
  <c r="I4" i="4"/>
  <c r="M4" i="4" s="1"/>
  <c r="J4" i="4"/>
  <c r="N4" i="4" s="1"/>
  <c r="G5" i="4"/>
  <c r="K5" i="4" s="1"/>
  <c r="H5" i="4"/>
  <c r="L5" i="4" s="1"/>
  <c r="I5" i="4"/>
  <c r="M5" i="4" s="1"/>
  <c r="J5" i="4"/>
  <c r="N5" i="4" s="1"/>
  <c r="G6" i="4"/>
  <c r="K6" i="4" s="1"/>
  <c r="H6" i="4"/>
  <c r="L6" i="4" s="1"/>
  <c r="I6" i="4"/>
  <c r="M6" i="4" s="1"/>
  <c r="J6" i="4"/>
  <c r="N6" i="4" s="1"/>
  <c r="G7" i="4"/>
  <c r="K7" i="4" s="1"/>
  <c r="H7" i="4"/>
  <c r="L7" i="4" s="1"/>
  <c r="I7" i="4"/>
  <c r="M7" i="4" s="1"/>
  <c r="J7" i="4"/>
  <c r="N7" i="4" s="1"/>
  <c r="G8" i="4"/>
  <c r="K8" i="4" s="1"/>
  <c r="H8" i="4"/>
  <c r="L8" i="4" s="1"/>
  <c r="I8" i="4"/>
  <c r="M8" i="4" s="1"/>
  <c r="J8" i="4"/>
  <c r="N8" i="4" s="1"/>
  <c r="G9" i="4"/>
  <c r="K9" i="4" s="1"/>
  <c r="H9" i="4"/>
  <c r="L9" i="4" s="1"/>
  <c r="I9" i="4"/>
  <c r="M9" i="4" s="1"/>
  <c r="J9" i="4"/>
  <c r="N9" i="4" s="1"/>
  <c r="I2" i="4"/>
  <c r="M2" i="4" s="1"/>
  <c r="J2" i="4"/>
  <c r="N2" i="4" s="1"/>
  <c r="H2" i="4" l="1"/>
  <c r="L2" i="4" s="1"/>
  <c r="G2" i="4"/>
  <c r="K2" i="4" s="1"/>
  <c r="B3" i="4"/>
  <c r="C3" i="4" s="1"/>
  <c r="D3" i="4" s="1"/>
  <c r="B4" i="4"/>
  <c r="C4" i="4" s="1"/>
  <c r="D4" i="4" s="1"/>
  <c r="B5" i="4"/>
  <c r="C5" i="4" s="1"/>
  <c r="D5" i="4" s="1"/>
  <c r="B6" i="4"/>
  <c r="C6" i="4" s="1"/>
  <c r="D6" i="4" s="1"/>
  <c r="B7" i="4"/>
  <c r="C7" i="4" s="1"/>
  <c r="D7" i="4" s="1"/>
  <c r="B8" i="4"/>
  <c r="C8" i="4" s="1"/>
  <c r="D8" i="4" s="1"/>
  <c r="B9" i="4"/>
  <c r="C9" i="4" s="1"/>
  <c r="D9" i="4" s="1"/>
  <c r="B2" i="4"/>
  <c r="C2" i="4" s="1"/>
  <c r="D2" i="4" s="1"/>
  <c r="E6" i="4" l="1"/>
  <c r="F6" i="4" s="1"/>
  <c r="E9" i="4"/>
  <c r="F9" i="4" s="1"/>
  <c r="E5" i="4"/>
  <c r="F5" i="4" s="1"/>
  <c r="E8" i="4"/>
  <c r="F8" i="4" s="1"/>
  <c r="E4" i="4"/>
  <c r="F4" i="4" s="1"/>
  <c r="E7" i="4"/>
  <c r="F7" i="4" s="1"/>
  <c r="E3" i="4"/>
  <c r="F3" i="4" s="1"/>
  <c r="E2" i="4"/>
  <c r="F2" i="4" s="1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K33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K32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K31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K30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K29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K28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K27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K26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K25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K24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K23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K22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K21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K20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K19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K18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K17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K16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K15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K14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K13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K12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K11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K10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K9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K8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K7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K6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K5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K4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K3" i="3"/>
  <c r="CA2" i="3"/>
  <c r="BZ2" i="3"/>
  <c r="BY2" i="3"/>
  <c r="BX2" i="3"/>
  <c r="BW2" i="3"/>
  <c r="BV2" i="3"/>
  <c r="BU2" i="3"/>
  <c r="BT2" i="3"/>
  <c r="BS2" i="3"/>
  <c r="BR2" i="3"/>
  <c r="BQ2" i="3"/>
  <c r="BP2" i="3"/>
  <c r="BO2" i="3"/>
  <c r="BN2" i="3"/>
  <c r="BM2" i="3"/>
  <c r="BL2" i="3"/>
  <c r="K2" i="3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" i="1"/>
  <c r="BK18" i="3" l="1"/>
  <c r="BK22" i="3"/>
  <c r="BJ28" i="3"/>
  <c r="BJ32" i="3"/>
  <c r="BH14" i="3"/>
  <c r="BJ14" i="3"/>
  <c r="BI16" i="3"/>
  <c r="BK16" i="3"/>
  <c r="CC16" i="3"/>
  <c r="BH21" i="3"/>
  <c r="BJ21" i="3"/>
  <c r="BI23" i="3"/>
  <c r="BH25" i="3"/>
  <c r="BJ25" i="3"/>
  <c r="BI27" i="3"/>
  <c r="BH29" i="3"/>
  <c r="BJ29" i="3"/>
  <c r="BI31" i="3"/>
  <c r="BJ33" i="3"/>
  <c r="CC12" i="3"/>
  <c r="CB14" i="3"/>
  <c r="BK10" i="3"/>
  <c r="BK14" i="3"/>
  <c r="BH4" i="3"/>
  <c r="BJ4" i="3"/>
  <c r="BI9" i="3"/>
  <c r="BK9" i="3"/>
  <c r="BH11" i="3"/>
  <c r="BJ11" i="3"/>
  <c r="BH15" i="3"/>
  <c r="BJ15" i="3"/>
  <c r="BI20" i="3"/>
  <c r="BI24" i="3"/>
  <c r="BH26" i="3"/>
  <c r="BJ26" i="3"/>
  <c r="BI28" i="3"/>
  <c r="BH30" i="3"/>
  <c r="BJ30" i="3"/>
  <c r="BI32" i="3"/>
  <c r="BI6" i="3"/>
  <c r="BH8" i="3"/>
  <c r="BK4" i="3"/>
  <c r="BI8" i="3"/>
  <c r="BK8" i="3"/>
  <c r="BJ8" i="3"/>
  <c r="BI3" i="3"/>
  <c r="BK3" i="3"/>
  <c r="BH5" i="3"/>
  <c r="BJ5" i="3"/>
  <c r="CC6" i="3"/>
  <c r="BJ10" i="3"/>
  <c r="BI2" i="3"/>
  <c r="BK2" i="3"/>
  <c r="BI7" i="3"/>
  <c r="BK7" i="3"/>
  <c r="CB12" i="3"/>
  <c r="BI13" i="3"/>
  <c r="BK13" i="3"/>
  <c r="CC17" i="3"/>
  <c r="CB18" i="3"/>
  <c r="CC20" i="3"/>
  <c r="CC24" i="3"/>
  <c r="CC28" i="3"/>
  <c r="BI4" i="3"/>
  <c r="CC4" i="3"/>
  <c r="BJ9" i="3"/>
  <c r="CB9" i="3"/>
  <c r="BI11" i="3"/>
  <c r="BK11" i="3"/>
  <c r="CC11" i="3"/>
  <c r="BH16" i="3"/>
  <c r="BJ16" i="3"/>
  <c r="BH19" i="3"/>
  <c r="BJ19" i="3"/>
  <c r="CC21" i="3"/>
  <c r="BH23" i="3"/>
  <c r="BJ23" i="3"/>
  <c r="CB23" i="3"/>
  <c r="BI25" i="3"/>
  <c r="BK25" i="3"/>
  <c r="CB27" i="3"/>
  <c r="BI29" i="3"/>
  <c r="BK29" i="3"/>
  <c r="BH3" i="3"/>
  <c r="BJ3" i="3"/>
  <c r="CB3" i="3"/>
  <c r="BI5" i="3"/>
  <c r="CC8" i="3"/>
  <c r="BH10" i="3"/>
  <c r="BI12" i="3"/>
  <c r="BH13" i="3"/>
  <c r="BJ13" i="3"/>
  <c r="BH17" i="3"/>
  <c r="BJ17" i="3"/>
  <c r="BI26" i="3"/>
  <c r="CC26" i="3"/>
  <c r="CB33" i="3"/>
  <c r="CC2" i="3"/>
  <c r="CB5" i="3"/>
  <c r="BK6" i="3"/>
  <c r="CC7" i="3"/>
  <c r="CB8" i="3"/>
  <c r="CB10" i="3"/>
  <c r="BK12" i="3"/>
  <c r="CC13" i="3"/>
  <c r="CB15" i="3"/>
  <c r="CB19" i="3"/>
  <c r="BK20" i="3"/>
  <c r="BI22" i="3"/>
  <c r="CC22" i="3"/>
  <c r="BH24" i="3"/>
  <c r="BJ24" i="3"/>
  <c r="CB25" i="3"/>
  <c r="BK26" i="3"/>
  <c r="BK27" i="3"/>
  <c r="BH28" i="3"/>
  <c r="CB29" i="3"/>
  <c r="BI30" i="3"/>
  <c r="BK30" i="3"/>
  <c r="CC30" i="3"/>
  <c r="BK31" i="3"/>
  <c r="BH32" i="3"/>
  <c r="BI33" i="3"/>
  <c r="BK33" i="3"/>
  <c r="CB31" i="3"/>
  <c r="CC3" i="3"/>
  <c r="CB4" i="3"/>
  <c r="BK5" i="3"/>
  <c r="BH6" i="3"/>
  <c r="BJ6" i="3"/>
  <c r="CB6" i="3"/>
  <c r="CC9" i="3"/>
  <c r="CB11" i="3"/>
  <c r="BI14" i="3"/>
  <c r="CC14" i="3"/>
  <c r="CB17" i="3"/>
  <c r="BI18" i="3"/>
  <c r="CC18" i="3"/>
  <c r="BH20" i="3"/>
  <c r="BJ20" i="3"/>
  <c r="CB21" i="3"/>
  <c r="CC23" i="3"/>
  <c r="CB24" i="3"/>
  <c r="CB26" i="3"/>
  <c r="CB28" i="3"/>
  <c r="CB30" i="3"/>
  <c r="CB32" i="3"/>
  <c r="CC33" i="3"/>
  <c r="CC32" i="3"/>
  <c r="BH2" i="3"/>
  <c r="BJ2" i="3"/>
  <c r="CB2" i="3"/>
  <c r="CC5" i="3"/>
  <c r="BH7" i="3"/>
  <c r="BJ7" i="3"/>
  <c r="CB7" i="3"/>
  <c r="BH9" i="3"/>
  <c r="BI10" i="3"/>
  <c r="CC10" i="3"/>
  <c r="BH12" i="3"/>
  <c r="BJ12" i="3"/>
  <c r="CB13" i="3"/>
  <c r="BI15" i="3"/>
  <c r="BK15" i="3"/>
  <c r="CC15" i="3"/>
  <c r="CB16" i="3"/>
  <c r="BI17" i="3"/>
  <c r="BK17" i="3"/>
  <c r="BH18" i="3"/>
  <c r="BJ18" i="3"/>
  <c r="BI19" i="3"/>
  <c r="BK19" i="3"/>
  <c r="CC19" i="3"/>
  <c r="CB20" i="3"/>
  <c r="BI21" i="3"/>
  <c r="BK21" i="3"/>
  <c r="BH22" i="3"/>
  <c r="BJ22" i="3"/>
  <c r="CB22" i="3"/>
  <c r="BK23" i="3"/>
  <c r="BK24" i="3"/>
  <c r="CC25" i="3"/>
  <c r="BH27" i="3"/>
  <c r="BJ27" i="3"/>
  <c r="BK28" i="3"/>
  <c r="CC29" i="3"/>
  <c r="BH31" i="3"/>
  <c r="BJ31" i="3"/>
  <c r="BK32" i="3"/>
  <c r="BH33" i="3"/>
  <c r="CC27" i="3"/>
  <c r="CC31" i="3"/>
  <c r="BL33" i="1"/>
  <c r="BK33" i="1"/>
  <c r="BK30" i="1"/>
  <c r="BK26" i="1"/>
  <c r="BK18" i="1"/>
  <c r="BK16" i="1"/>
  <c r="BK12" i="1"/>
  <c r="BK8" i="1"/>
  <c r="BK4" i="1"/>
  <c r="BK2" i="1"/>
  <c r="BL31" i="1"/>
  <c r="BL29" i="1"/>
  <c r="BL27" i="1"/>
  <c r="BL25" i="1"/>
  <c r="BL23" i="1"/>
  <c r="BL21" i="1"/>
  <c r="BL19" i="1"/>
  <c r="BL17" i="1"/>
  <c r="BL15" i="1"/>
  <c r="BL13" i="1"/>
  <c r="BL9" i="1"/>
  <c r="BL7" i="1"/>
  <c r="BL5" i="1"/>
  <c r="BL3" i="1"/>
  <c r="BK32" i="1"/>
  <c r="BK28" i="1"/>
  <c r="BK24" i="1"/>
  <c r="BK22" i="1"/>
  <c r="BK20" i="1"/>
  <c r="BK14" i="1"/>
  <c r="BK10" i="1"/>
  <c r="BK6" i="1"/>
  <c r="BL32" i="1"/>
  <c r="BL30" i="1"/>
  <c r="BL28" i="1"/>
  <c r="BL26" i="1"/>
  <c r="BL24" i="1"/>
  <c r="BL22" i="1"/>
  <c r="BL20" i="1"/>
  <c r="BL18" i="1"/>
  <c r="BL16" i="1"/>
  <c r="BL14" i="1"/>
  <c r="BL12" i="1"/>
  <c r="BL10" i="1"/>
  <c r="BL8" i="1"/>
  <c r="BL6" i="1"/>
  <c r="BL4" i="1"/>
  <c r="BL2" i="1"/>
  <c r="BK31" i="1"/>
  <c r="BK29" i="1"/>
  <c r="BK27" i="1"/>
  <c r="BK25" i="1"/>
  <c r="BK23" i="1"/>
  <c r="BK21" i="1"/>
  <c r="BK19" i="1"/>
  <c r="BK17" i="1"/>
  <c r="BK15" i="1"/>
  <c r="BK13" i="1"/>
  <c r="BK11" i="1"/>
  <c r="BK9" i="1"/>
  <c r="BK7" i="1"/>
  <c r="BK5" i="1"/>
  <c r="BK3" i="1"/>
  <c r="BL11" i="1"/>
  <c r="K18" i="1"/>
  <c r="L18" i="1"/>
  <c r="M18" i="1"/>
  <c r="N18" i="1"/>
  <c r="O18" i="1"/>
  <c r="P18" i="1"/>
  <c r="Q18" i="1"/>
  <c r="R18" i="1"/>
  <c r="K19" i="1"/>
  <c r="L19" i="1"/>
  <c r="M19" i="1"/>
  <c r="N19" i="1"/>
  <c r="O19" i="1"/>
  <c r="P19" i="1"/>
  <c r="Q19" i="1"/>
  <c r="R19" i="1"/>
  <c r="K20" i="1"/>
  <c r="L20" i="1"/>
  <c r="M20" i="1"/>
  <c r="N20" i="1"/>
  <c r="O20" i="1"/>
  <c r="P20" i="1"/>
  <c r="Q20" i="1"/>
  <c r="R20" i="1"/>
  <c r="K21" i="1"/>
  <c r="L21" i="1"/>
  <c r="M21" i="1"/>
  <c r="N21" i="1"/>
  <c r="O21" i="1"/>
  <c r="P21" i="1"/>
  <c r="Q21" i="1"/>
  <c r="R21" i="1"/>
  <c r="K22" i="1"/>
  <c r="L22" i="1"/>
  <c r="M22" i="1"/>
  <c r="N22" i="1"/>
  <c r="O22" i="1"/>
  <c r="P22" i="1"/>
  <c r="Q22" i="1"/>
  <c r="R22" i="1"/>
  <c r="K23" i="1"/>
  <c r="L23" i="1"/>
  <c r="M23" i="1"/>
  <c r="N23" i="1"/>
  <c r="O23" i="1"/>
  <c r="P23" i="1"/>
  <c r="Q23" i="1"/>
  <c r="R23" i="1"/>
  <c r="K24" i="1"/>
  <c r="L24" i="1"/>
  <c r="M24" i="1"/>
  <c r="N24" i="1"/>
  <c r="O24" i="1"/>
  <c r="P24" i="1"/>
  <c r="Q24" i="1"/>
  <c r="R24" i="1"/>
  <c r="K25" i="1"/>
  <c r="L25" i="1"/>
  <c r="M25" i="1"/>
  <c r="N25" i="1"/>
  <c r="O25" i="1"/>
  <c r="P25" i="1"/>
  <c r="Q25" i="1"/>
  <c r="R25" i="1"/>
  <c r="K26" i="1"/>
  <c r="L26" i="1"/>
  <c r="M26" i="1"/>
  <c r="N26" i="1"/>
  <c r="O26" i="1"/>
  <c r="P26" i="1"/>
  <c r="Q26" i="1"/>
  <c r="R26" i="1"/>
  <c r="K27" i="1"/>
  <c r="L27" i="1"/>
  <c r="M27" i="1"/>
  <c r="N27" i="1"/>
  <c r="O27" i="1"/>
  <c r="P27" i="1"/>
  <c r="Q27" i="1"/>
  <c r="R27" i="1"/>
  <c r="K28" i="1"/>
  <c r="L28" i="1"/>
  <c r="M28" i="1"/>
  <c r="N28" i="1"/>
  <c r="O28" i="1"/>
  <c r="P28" i="1"/>
  <c r="Q28" i="1"/>
  <c r="R28" i="1"/>
  <c r="K29" i="1"/>
  <c r="L29" i="1"/>
  <c r="M29" i="1"/>
  <c r="N29" i="1"/>
  <c r="O29" i="1"/>
  <c r="P29" i="1"/>
  <c r="Q29" i="1"/>
  <c r="R29" i="1"/>
  <c r="K30" i="1"/>
  <c r="L30" i="1"/>
  <c r="M30" i="1"/>
  <c r="N30" i="1"/>
  <c r="O30" i="1"/>
  <c r="P30" i="1"/>
  <c r="Q30" i="1"/>
  <c r="R30" i="1"/>
  <c r="K31" i="1"/>
  <c r="L31" i="1"/>
  <c r="M31" i="1"/>
  <c r="N31" i="1"/>
  <c r="O31" i="1"/>
  <c r="P31" i="1"/>
  <c r="Q31" i="1"/>
  <c r="R31" i="1"/>
  <c r="K32" i="1"/>
  <c r="L32" i="1"/>
  <c r="M32" i="1"/>
  <c r="N32" i="1"/>
  <c r="O32" i="1"/>
  <c r="P32" i="1"/>
  <c r="Q32" i="1"/>
  <c r="R32" i="1"/>
  <c r="K33" i="1"/>
  <c r="L33" i="1"/>
  <c r="M33" i="1"/>
  <c r="N33" i="1"/>
  <c r="O33" i="1"/>
  <c r="P33" i="1"/>
  <c r="Q33" i="1"/>
  <c r="R33" i="1"/>
  <c r="K3" i="1"/>
  <c r="L3" i="1"/>
  <c r="M3" i="1"/>
  <c r="N3" i="1"/>
  <c r="O3" i="1"/>
  <c r="P3" i="1"/>
  <c r="Q3" i="1"/>
  <c r="R3" i="1"/>
  <c r="K4" i="1"/>
  <c r="L4" i="1"/>
  <c r="M4" i="1"/>
  <c r="N4" i="1"/>
  <c r="O4" i="1"/>
  <c r="P4" i="1"/>
  <c r="Q4" i="1"/>
  <c r="R4" i="1"/>
  <c r="K5" i="1"/>
  <c r="L5" i="1"/>
  <c r="M5" i="1"/>
  <c r="N5" i="1"/>
  <c r="O5" i="1"/>
  <c r="P5" i="1"/>
  <c r="Q5" i="1"/>
  <c r="R5" i="1"/>
  <c r="K6" i="1"/>
  <c r="L6" i="1"/>
  <c r="M6" i="1"/>
  <c r="N6" i="1"/>
  <c r="O6" i="1"/>
  <c r="P6" i="1"/>
  <c r="Q6" i="1"/>
  <c r="R6" i="1"/>
  <c r="K7" i="1"/>
  <c r="L7" i="1"/>
  <c r="M7" i="1"/>
  <c r="N7" i="1"/>
  <c r="O7" i="1"/>
  <c r="P7" i="1"/>
  <c r="Q7" i="1"/>
  <c r="R7" i="1"/>
  <c r="K8" i="1"/>
  <c r="L8" i="1"/>
  <c r="M8" i="1"/>
  <c r="N8" i="1"/>
  <c r="O8" i="1"/>
  <c r="P8" i="1"/>
  <c r="Q8" i="1"/>
  <c r="R8" i="1"/>
  <c r="K9" i="1"/>
  <c r="L9" i="1"/>
  <c r="M9" i="1"/>
  <c r="N9" i="1"/>
  <c r="O9" i="1"/>
  <c r="P9" i="1"/>
  <c r="Q9" i="1"/>
  <c r="R9" i="1"/>
  <c r="K10" i="1"/>
  <c r="L10" i="1"/>
  <c r="M10" i="1"/>
  <c r="N10" i="1"/>
  <c r="O10" i="1"/>
  <c r="P10" i="1"/>
  <c r="Q10" i="1"/>
  <c r="R10" i="1"/>
  <c r="K11" i="1"/>
  <c r="L11" i="1"/>
  <c r="M11" i="1"/>
  <c r="N11" i="1"/>
  <c r="O11" i="1"/>
  <c r="P11" i="1"/>
  <c r="Q11" i="1"/>
  <c r="R11" i="1"/>
  <c r="K12" i="1"/>
  <c r="L12" i="1"/>
  <c r="M12" i="1"/>
  <c r="N12" i="1"/>
  <c r="O12" i="1"/>
  <c r="P12" i="1"/>
  <c r="Q12" i="1"/>
  <c r="R12" i="1"/>
  <c r="K13" i="1"/>
  <c r="L13" i="1"/>
  <c r="M13" i="1"/>
  <c r="N13" i="1"/>
  <c r="O13" i="1"/>
  <c r="P13" i="1"/>
  <c r="Q13" i="1"/>
  <c r="R13" i="1"/>
  <c r="K14" i="1"/>
  <c r="L14" i="1"/>
  <c r="M14" i="1"/>
  <c r="N14" i="1"/>
  <c r="O14" i="1"/>
  <c r="P14" i="1"/>
  <c r="Q14" i="1"/>
  <c r="R14" i="1"/>
  <c r="K15" i="1"/>
  <c r="L15" i="1"/>
  <c r="M15" i="1"/>
  <c r="N15" i="1"/>
  <c r="O15" i="1"/>
  <c r="P15" i="1"/>
  <c r="Q15" i="1"/>
  <c r="R15" i="1"/>
  <c r="K16" i="1"/>
  <c r="L16" i="1"/>
  <c r="M16" i="1"/>
  <c r="N16" i="1"/>
  <c r="O16" i="1"/>
  <c r="P16" i="1"/>
  <c r="Q16" i="1"/>
  <c r="R16" i="1"/>
  <c r="K17" i="1"/>
  <c r="L17" i="1"/>
  <c r="M17" i="1"/>
  <c r="N17" i="1"/>
  <c r="O17" i="1"/>
  <c r="P17" i="1"/>
  <c r="Q17" i="1"/>
  <c r="R17" i="1"/>
  <c r="AS17" i="1" l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T17" i="1"/>
  <c r="AT15" i="1"/>
  <c r="AT13" i="1"/>
  <c r="AT11" i="1"/>
  <c r="AT9" i="1"/>
  <c r="AT8" i="1"/>
  <c r="AT7" i="1"/>
  <c r="AT5" i="1"/>
  <c r="AT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6" i="1"/>
  <c r="AT14" i="1"/>
  <c r="AT12" i="1"/>
  <c r="AT10" i="1"/>
  <c r="AT6" i="1"/>
  <c r="AT3" i="1"/>
  <c r="AR17" i="1"/>
  <c r="AR16" i="1"/>
  <c r="AR15" i="1"/>
  <c r="AR12" i="1"/>
  <c r="AR10" i="1"/>
  <c r="AR9" i="1"/>
  <c r="AR8" i="1"/>
  <c r="AR7" i="1"/>
  <c r="AR6" i="1"/>
  <c r="AR5" i="1"/>
  <c r="AR4" i="1"/>
  <c r="AR3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4" i="1"/>
  <c r="AR11" i="1"/>
  <c r="AR13" i="1"/>
  <c r="AQ17" i="1"/>
  <c r="AQ16" i="1"/>
  <c r="AQ15" i="1"/>
  <c r="AQ13" i="1"/>
  <c r="AQ12" i="1"/>
  <c r="AQ11" i="1"/>
  <c r="AQ9" i="1"/>
  <c r="AQ8" i="1"/>
  <c r="AQ7" i="1"/>
  <c r="AQ5" i="1"/>
  <c r="AQ4" i="1"/>
  <c r="AQ33" i="1"/>
  <c r="AQ32" i="1"/>
  <c r="AQ31" i="1"/>
  <c r="AQ29" i="1"/>
  <c r="AQ25" i="1"/>
  <c r="AQ22" i="1"/>
  <c r="AQ18" i="1"/>
  <c r="AQ14" i="1"/>
  <c r="AQ10" i="1"/>
  <c r="AQ6" i="1"/>
  <c r="AQ30" i="1"/>
  <c r="AQ26" i="1"/>
  <c r="AQ28" i="1"/>
  <c r="AQ27" i="1"/>
  <c r="AQ24" i="1"/>
  <c r="AQ23" i="1"/>
  <c r="AQ21" i="1"/>
  <c r="AQ20" i="1"/>
  <c r="AQ19" i="1"/>
  <c r="AQ3" i="1"/>
  <c r="L2" i="1"/>
  <c r="M2" i="1"/>
  <c r="N2" i="1"/>
  <c r="O2" i="1"/>
  <c r="P2" i="1"/>
  <c r="Q2" i="1"/>
  <c r="R2" i="1"/>
  <c r="K2" i="1"/>
  <c r="AT2" i="1" l="1"/>
  <c r="AS2" i="1"/>
  <c r="AR2" i="1"/>
  <c r="AQ2" i="1"/>
</calcChain>
</file>

<file path=xl/comments1.xml><?xml version="1.0" encoding="utf-8"?>
<comments xmlns="http://schemas.openxmlformats.org/spreadsheetml/2006/main">
  <authors>
    <author>Kai Qin Chan</author>
  </authors>
  <commentList>
    <comment ref="Q1" authorId="0" shapeId="0">
      <text>
        <r>
          <rPr>
            <b/>
            <sz val="9"/>
            <color indexed="81"/>
            <rFont val="Tahoma"/>
            <family val="2"/>
          </rPr>
          <t>Kai Qin Chan:</t>
        </r>
        <r>
          <rPr>
            <sz val="9"/>
            <color indexed="81"/>
            <rFont val="Tahoma"/>
            <family val="2"/>
          </rPr>
          <t xml:space="preserve">
ICC needs to be computed for these two variables. Only "mention" is necessary because "mention" is the only subjective variable. Bell rings are objective, hence computing ICC is unnecessary.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</rPr>
          <t>Kai Qin Chan:</t>
        </r>
        <r>
          <rPr>
            <sz val="9"/>
            <color indexed="81"/>
            <rFont val="Tahoma"/>
            <family val="2"/>
          </rPr>
          <t xml:space="preserve">
ICC needs to be computed for these two variables. Only "mention" is necessary because "mention" is the only subjective variable. Bell rings are objective, hence computing ICC is unnecessary.</t>
        </r>
      </text>
    </comment>
  </commentList>
</comments>
</file>

<file path=xl/sharedStrings.xml><?xml version="1.0" encoding="utf-8"?>
<sst xmlns="http://schemas.openxmlformats.org/spreadsheetml/2006/main" count="1880" uniqueCount="185">
  <si>
    <t>SubjID</t>
  </si>
  <si>
    <t>w1.t1.target</t>
  </si>
  <si>
    <t>w2.t1.target</t>
  </si>
  <si>
    <t>w3.t1.target</t>
  </si>
  <si>
    <t>w4.t1.target</t>
  </si>
  <si>
    <t>w5.t1.nontarget</t>
  </si>
  <si>
    <t>w6.t1.nontarget</t>
  </si>
  <si>
    <t>w7.t1.nontarget</t>
  </si>
  <si>
    <t>w8.t1.nontarget</t>
  </si>
  <si>
    <t>w1.t2.target</t>
  </si>
  <si>
    <t>w2.t2.target</t>
  </si>
  <si>
    <t>w3.t2.target</t>
  </si>
  <si>
    <t>w4.t2.traget</t>
  </si>
  <si>
    <t>w5.t2.nontarget</t>
  </si>
  <si>
    <t>w6.t2.nontarget</t>
  </si>
  <si>
    <t>w7.t2.nontarget</t>
  </si>
  <si>
    <t>w8.t2.nontarget</t>
  </si>
  <si>
    <t>NA</t>
  </si>
  <si>
    <t>Concentration</t>
  </si>
  <si>
    <t>Suppression</t>
  </si>
  <si>
    <t>H-L</t>
  </si>
  <si>
    <t>L-H</t>
  </si>
  <si>
    <t>targetword</t>
  </si>
  <si>
    <t>child</t>
  </si>
  <si>
    <t>house</t>
  </si>
  <si>
    <t>mountain</t>
  </si>
  <si>
    <t>car</t>
  </si>
  <si>
    <t>timepressure order</t>
  </si>
  <si>
    <t>mother, little, adult, young</t>
  </si>
  <si>
    <t>nontarget prompts</t>
  </si>
  <si>
    <t>home, door, brick, roof</t>
  </si>
  <si>
    <t>hill, high, top, climb</t>
  </si>
  <si>
    <t>wheel, bus, truck, drive</t>
  </si>
  <si>
    <t>filler words</t>
  </si>
  <si>
    <t>targetprompts.low time pressure</t>
  </si>
  <si>
    <t>targetprompts.high time pressure</t>
  </si>
  <si>
    <t>adult, young</t>
  </si>
  <si>
    <t>mother, little</t>
  </si>
  <si>
    <t>brick, roof</t>
  </si>
  <si>
    <t>home, door</t>
  </si>
  <si>
    <t>top, climb</t>
  </si>
  <si>
    <t>hill, high</t>
  </si>
  <si>
    <t>wheel, bus</t>
  </si>
  <si>
    <t>truck, drive</t>
  </si>
  <si>
    <t>Cond</t>
  </si>
  <si>
    <t>a, b, c, d, e, f, g, h</t>
  </si>
  <si>
    <t>Replication</t>
  </si>
  <si>
    <t>correctresponse.target.low1</t>
  </si>
  <si>
    <t>correctresponse.target.low2</t>
  </si>
  <si>
    <t>correctresponse.target.high1</t>
  </si>
  <si>
    <t>correctresponse.nontarget.low1</t>
  </si>
  <si>
    <t>correctresponse.nontarget.low2</t>
  </si>
  <si>
    <t>correctresponse.nontarget.high1</t>
  </si>
  <si>
    <t>correctresponse.nontarget.high2</t>
  </si>
  <si>
    <t>correctresponse.filler.low1</t>
  </si>
  <si>
    <t>correctresponse.filler.low2</t>
  </si>
  <si>
    <t>correctresponse.filler.low3</t>
  </si>
  <si>
    <t>correctresponse.filler.low4</t>
  </si>
  <si>
    <t>correctresponse.filler.high1</t>
  </si>
  <si>
    <t>correctresponse.filler.high2</t>
  </si>
  <si>
    <t>correctresponse.filler.high3</t>
  </si>
  <si>
    <t>correctresponse.filler.high4</t>
  </si>
  <si>
    <t>mean.correctresponse.target.low</t>
  </si>
  <si>
    <t>mean.correctresponse.target.high</t>
  </si>
  <si>
    <t>correctresponse.target.high2</t>
  </si>
  <si>
    <t>RTresponse.target.low1</t>
  </si>
  <si>
    <t>RTresponse.target.low2</t>
  </si>
  <si>
    <t>RTresponse.target.high1</t>
  </si>
  <si>
    <t>RTresponse.target.high2</t>
  </si>
  <si>
    <t>RTresponse.nontarget.low1</t>
  </si>
  <si>
    <t>RTresponse.nontarget.low2</t>
  </si>
  <si>
    <t>RTresponse.nontarget.high1</t>
  </si>
  <si>
    <t>RTresponse.nontarget.high2</t>
  </si>
  <si>
    <t>RTresponse.filler.low1</t>
  </si>
  <si>
    <t>RTresponse.filler.low2</t>
  </si>
  <si>
    <t>RTresponse.filler.low3</t>
  </si>
  <si>
    <t>RTresponse.filler.low4</t>
  </si>
  <si>
    <t>RTresponse.filler.high1</t>
  </si>
  <si>
    <t>RTresponse.filler.high2</t>
  </si>
  <si>
    <t>RTresponse.filler.high3</t>
  </si>
  <si>
    <t>RTresponse.filler.high4</t>
  </si>
  <si>
    <t>mean.RTresponse.target.low</t>
  </si>
  <si>
    <t>mean.RTresponse.target.high</t>
  </si>
  <si>
    <t>mean.correctresponse.nontarget.low</t>
  </si>
  <si>
    <t>mean.correctresponse.nontarget.high</t>
  </si>
  <si>
    <t>Cond_num</t>
  </si>
  <si>
    <t>shallow, candidate, gesture, reader, quarter, elite, voice, option</t>
  </si>
  <si>
    <t>Lab</t>
  </si>
  <si>
    <t>N</t>
  </si>
  <si>
    <t>N.conc.low</t>
  </si>
  <si>
    <t>N.supp.high</t>
  </si>
  <si>
    <t>N.supp.low</t>
  </si>
  <si>
    <t>N.conc.high</t>
  </si>
  <si>
    <t>M.supp.low</t>
  </si>
  <si>
    <t>M.supp.high</t>
  </si>
  <si>
    <t>M.conc.low</t>
  </si>
  <si>
    <t>M.conc.high</t>
  </si>
  <si>
    <t>SD.conc.low</t>
  </si>
  <si>
    <t>SD.conc.high</t>
  </si>
  <si>
    <t>SD.supp.low</t>
  </si>
  <si>
    <t>SD.supp.high</t>
  </si>
  <si>
    <t>Point</t>
  </si>
  <si>
    <t>Low</t>
  </si>
  <si>
    <t>High</t>
  </si>
  <si>
    <t>d1</t>
  </si>
  <si>
    <t>d2</t>
  </si>
  <si>
    <t>d3</t>
  </si>
  <si>
    <t>Einstein (DE)</t>
  </si>
  <si>
    <t>Planck (DE)</t>
  </si>
  <si>
    <t>Curie (FR)</t>
  </si>
  <si>
    <t>Overall d1</t>
  </si>
  <si>
    <t>Overall d2</t>
  </si>
  <si>
    <t>Overall d3</t>
  </si>
  <si>
    <t>Newton (UK)</t>
  </si>
  <si>
    <t>Feynman (USA)</t>
  </si>
  <si>
    <t>Turing (UK)</t>
  </si>
  <si>
    <t>Bohr (DK)</t>
  </si>
  <si>
    <t>Higgs (UK)</t>
  </si>
  <si>
    <t>Age</t>
  </si>
  <si>
    <t>pct.time.spent</t>
  </si>
  <si>
    <t>N.conc</t>
  </si>
  <si>
    <t>N.supp</t>
  </si>
  <si>
    <t>M.conc</t>
  </si>
  <si>
    <t>M.supp</t>
  </si>
  <si>
    <t>SD.conc</t>
  </si>
  <si>
    <t>SD.supp</t>
  </si>
  <si>
    <t>Express-first</t>
  </si>
  <si>
    <t>Suppress-first</t>
  </si>
  <si>
    <t>Ethnicity</t>
  </si>
  <si>
    <t>Manipulationcheck</t>
  </si>
  <si>
    <t>count.bellonly.rater1.period1</t>
  </si>
  <si>
    <t>count.bellonly.rater1.period2</t>
  </si>
  <si>
    <t>count.mentiononly.rater1.period1</t>
  </si>
  <si>
    <t>count.mentiononly.rater1.period2</t>
  </si>
  <si>
    <t>count.simulresponse.rater1.period1</t>
  </si>
  <si>
    <t>count.simulresponse.rater1.period2</t>
  </si>
  <si>
    <t>totalmention.rater1.period1</t>
  </si>
  <si>
    <t>totalmention.rater1.period2</t>
  </si>
  <si>
    <t>totalmention.rater2.period1</t>
  </si>
  <si>
    <t>totalmention.rater2.period2</t>
  </si>
  <si>
    <t>count.bellonly.rater2.period1</t>
  </si>
  <si>
    <t>count.bellonly.rater2.period2</t>
  </si>
  <si>
    <t>count.mentiononly.rater2.period1</t>
  </si>
  <si>
    <t>count.mentiononly.rater2.period2</t>
  </si>
  <si>
    <t>count.simulresponse.rater2.period1</t>
  </si>
  <si>
    <t>count.simulresponse.rater2.period2</t>
  </si>
  <si>
    <t>finalDV.period1</t>
  </si>
  <si>
    <t>finalDV.period2</t>
  </si>
  <si>
    <t>timepressure.cond</t>
  </si>
  <si>
    <t>correctresponse.r1r2.target.low1</t>
  </si>
  <si>
    <t>correctresponse.r1r2.target.low2</t>
  </si>
  <si>
    <t>correctresponse.r1r2.target.high1</t>
  </si>
  <si>
    <t>correctresponse.r1r2.target.high2</t>
  </si>
  <si>
    <t>correctresponse.r1r2.nontarget.low1</t>
  </si>
  <si>
    <t>correctresponse.r1r2.nontarget.low2</t>
  </si>
  <si>
    <t>correctresponse.r1r2.nontarget.high1</t>
  </si>
  <si>
    <t>correctresponse.r1r2.nontarget.high2</t>
  </si>
  <si>
    <t>correctresponse.rater1.target.low1</t>
  </si>
  <si>
    <t>correctresponse.rater1.target.low2</t>
  </si>
  <si>
    <t>correctresponse.rater1.target.high1</t>
  </si>
  <si>
    <t>correctresponse.rater1.target.high2</t>
  </si>
  <si>
    <t>correctresponse.rater1.nontarget.low1</t>
  </si>
  <si>
    <t>correctresponse.rater1.nontarget.low2</t>
  </si>
  <si>
    <t>correctresponse.rater1.nontarget.high1</t>
  </si>
  <si>
    <t>correctresponse.rater1.nontarget.high2</t>
  </si>
  <si>
    <t>correctresponse.rater2.target.low1</t>
  </si>
  <si>
    <t>correctresponse.rater2.target.low2</t>
  </si>
  <si>
    <t>correctresponse.rater2.target.high1</t>
  </si>
  <si>
    <t>correctresponse.rater2.target.high2</t>
  </si>
  <si>
    <t>correctresponse.rater2.nontarget.low1</t>
  </si>
  <si>
    <t>correctresponse.rater2.nontarget.low2</t>
  </si>
  <si>
    <t>correctresponse.rater2.nontarget.high1</t>
  </si>
  <si>
    <t>correctresponse.rater2.nontarget.high2</t>
  </si>
  <si>
    <t>Suspicionprobe.rater.1</t>
  </si>
  <si>
    <t>Suspicionprobe.rater.2</t>
  </si>
  <si>
    <t>Suspicionprobecode.final</t>
  </si>
  <si>
    <t>mean.correctresponse.r1r2.target.low</t>
  </si>
  <si>
    <t>mean.correctresponse.r1r2.target.high</t>
  </si>
  <si>
    <t>mean.correctresponse.r1r2.nontarget.low</t>
  </si>
  <si>
    <t>mean.correctresponse.r1r2.nontarget.high</t>
  </si>
  <si>
    <t>[text]</t>
  </si>
  <si>
    <t>Gender.participant</t>
  </si>
  <si>
    <t>Gender.experimenter</t>
  </si>
  <si>
    <t>threeway.beta.int_term</t>
  </si>
  <si>
    <t>threeway.SE.int_term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</si>
</sst>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1" fillId="2" borderId="0" xfId="0" applyFont="1" applyFill="1"/>
    <xf numFmtId="0" fontId="1" fillId="5" borderId="0" xfId="0" applyFont="1" applyFill="1"/>
    <xf numFmtId="0" fontId="0" fillId="7" borderId="0" xfId="0" applyFill="1"/>
    <xf numFmtId="165" fontId="0" fillId="0" borderId="0" xfId="0" applyNumberFormat="1"/>
    <xf numFmtId="0" fontId="2" fillId="2" borderId="0" xfId="0" applyFont="1" applyFill="1"/>
    <xf numFmtId="0" fontId="2" fillId="5" borderId="0" xfId="0" applyFont="1" applyFill="1"/>
    <xf numFmtId="1" fontId="0" fillId="0" borderId="0" xfId="0" applyNumberFormat="1"/>
    <xf numFmtId="0" fontId="2" fillId="0" borderId="0" xfId="0" applyFont="1"/>
    <xf numFmtId="0" fontId="2" fillId="3" borderId="0" xfId="0" applyFont="1" applyFill="1"/>
    <xf numFmtId="0" fontId="2" fillId="7" borderId="0" xfId="0" applyFont="1" applyFill="1"/>
    <xf numFmtId="0" fontId="0" fillId="7" borderId="1" xfId="0" applyFill="1" applyBorder="1"/>
    <xf numFmtId="0" fontId="2" fillId="7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5" borderId="1" xfId="0" applyFill="1" applyBorder="1"/>
    <xf numFmtId="0" fontId="2" fillId="5" borderId="2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3"/>
  <sheetViews>
    <sheetView zoomScale="90" zoomScaleNormal="90" workbookViewId="0"/>
  </sheetViews>
  <sheetFormatPr defaultRowHeight="15" x14ac:dyDescent="0.25"/>
  <cols>
    <col min="2" max="2" width="13.7109375" bestFit="1" customWidth="1"/>
    <col min="3" max="4" width="13.7109375" customWidth="1"/>
    <col min="5" max="5" width="10.85546875" bestFit="1" customWidth="1"/>
    <col min="6" max="6" width="25" style="2" customWidth="1"/>
    <col min="7" max="7" width="25" style="5" customWidth="1"/>
    <col min="8" max="8" width="30.140625" style="3" customWidth="1"/>
    <col min="9" max="9" width="30.140625" style="4" customWidth="1"/>
    <col min="11" max="12" width="26.5703125" bestFit="1" customWidth="1"/>
    <col min="13" max="14" width="27.140625" bestFit="1" customWidth="1"/>
    <col min="15" max="16" width="30.140625" bestFit="1" customWidth="1"/>
    <col min="17" max="18" width="30.7109375" bestFit="1" customWidth="1"/>
    <col min="19" max="22" width="25.5703125" bestFit="1" customWidth="1"/>
    <col min="23" max="26" width="26.140625" bestFit="1" customWidth="1"/>
    <col min="27" max="42" width="9.140625" hidden="1" customWidth="1"/>
    <col min="43" max="43" width="31.28515625" bestFit="1" customWidth="1"/>
    <col min="44" max="44" width="31.85546875" bestFit="1" customWidth="1"/>
    <col min="45" max="45" width="34.85546875" bestFit="1" customWidth="1"/>
    <col min="46" max="46" width="35.42578125" bestFit="1" customWidth="1"/>
    <col min="47" max="49" width="9.140625" hidden="1" customWidth="1"/>
    <col min="50" max="50" width="18" hidden="1" customWidth="1"/>
    <col min="51" max="51" width="13.7109375" hidden="1" customWidth="1"/>
    <col min="52" max="52" width="14.42578125" hidden="1" customWidth="1"/>
    <col min="53" max="64" width="9.140625" hidden="1" customWidth="1"/>
  </cols>
  <sheetData>
    <row r="1" spans="1:64" x14ac:dyDescent="0.25">
      <c r="A1" t="s">
        <v>0</v>
      </c>
      <c r="B1" t="s">
        <v>44</v>
      </c>
      <c r="C1" t="s">
        <v>85</v>
      </c>
      <c r="D1" t="s">
        <v>46</v>
      </c>
      <c r="E1" t="s">
        <v>22</v>
      </c>
      <c r="F1" s="2" t="s">
        <v>34</v>
      </c>
      <c r="G1" s="5" t="s">
        <v>35</v>
      </c>
      <c r="H1" s="3" t="s">
        <v>29</v>
      </c>
      <c r="I1" s="4" t="s">
        <v>33</v>
      </c>
      <c r="J1" t="s">
        <v>27</v>
      </c>
      <c r="K1" s="2" t="s">
        <v>47</v>
      </c>
      <c r="L1" s="2" t="s">
        <v>48</v>
      </c>
      <c r="M1" s="6" t="s">
        <v>49</v>
      </c>
      <c r="N1" s="6" t="s">
        <v>64</v>
      </c>
      <c r="O1" s="3" t="s">
        <v>50</v>
      </c>
      <c r="P1" s="3" t="s">
        <v>51</v>
      </c>
      <c r="Q1" s="10" t="s">
        <v>52</v>
      </c>
      <c r="R1" s="10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58</v>
      </c>
      <c r="X1" s="4" t="s">
        <v>59</v>
      </c>
      <c r="Y1" s="4" t="s">
        <v>60</v>
      </c>
      <c r="Z1" s="4" t="s">
        <v>61</v>
      </c>
      <c r="AA1" t="s">
        <v>1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10</v>
      </c>
      <c r="AK1" t="s">
        <v>11</v>
      </c>
      <c r="AL1" t="s">
        <v>12</v>
      </c>
      <c r="AM1" t="s">
        <v>13</v>
      </c>
      <c r="AN1" t="s">
        <v>14</v>
      </c>
      <c r="AO1" t="s">
        <v>15</v>
      </c>
      <c r="AP1" t="s">
        <v>16</v>
      </c>
      <c r="AQ1" s="2" t="s">
        <v>62</v>
      </c>
      <c r="AR1" s="6" t="s">
        <v>63</v>
      </c>
      <c r="AS1" s="3" t="s">
        <v>83</v>
      </c>
      <c r="AT1" s="10" t="s">
        <v>84</v>
      </c>
      <c r="AU1" s="2" t="s">
        <v>65</v>
      </c>
      <c r="AV1" s="2" t="s">
        <v>66</v>
      </c>
      <c r="AW1" s="6" t="s">
        <v>67</v>
      </c>
      <c r="AX1" s="6" t="s">
        <v>68</v>
      </c>
      <c r="AY1" s="3" t="s">
        <v>69</v>
      </c>
      <c r="AZ1" s="3" t="s">
        <v>70</v>
      </c>
      <c r="BA1" s="3" t="s">
        <v>71</v>
      </c>
      <c r="BB1" s="3" t="s">
        <v>72</v>
      </c>
      <c r="BC1" s="4" t="s">
        <v>73</v>
      </c>
      <c r="BD1" s="4" t="s">
        <v>74</v>
      </c>
      <c r="BE1" s="4" t="s">
        <v>75</v>
      </c>
      <c r="BF1" s="4" t="s">
        <v>76</v>
      </c>
      <c r="BG1" s="10" t="s">
        <v>77</v>
      </c>
      <c r="BH1" s="10" t="s">
        <v>78</v>
      </c>
      <c r="BI1" s="10" t="s">
        <v>79</v>
      </c>
      <c r="BJ1" s="10" t="s">
        <v>80</v>
      </c>
      <c r="BK1" s="2" t="s">
        <v>81</v>
      </c>
      <c r="BL1" s="6" t="s">
        <v>82</v>
      </c>
    </row>
    <row r="2" spans="1:64" x14ac:dyDescent="0.25">
      <c r="A2">
        <v>1</v>
      </c>
      <c r="B2" t="s">
        <v>18</v>
      </c>
      <c r="C2">
        <f>IF(B2 = "Concentration", 1, 0)</f>
        <v>1</v>
      </c>
      <c r="D2">
        <v>1</v>
      </c>
      <c r="E2" t="s">
        <v>23</v>
      </c>
      <c r="F2" s="8" t="s">
        <v>37</v>
      </c>
      <c r="G2" s="5" t="s">
        <v>36</v>
      </c>
      <c r="H2" s="3" t="s">
        <v>30</v>
      </c>
      <c r="I2" s="4" t="s">
        <v>45</v>
      </c>
      <c r="J2" t="s">
        <v>20</v>
      </c>
      <c r="K2">
        <f t="shared" ref="K2:R11" ca="1" si="0">RANDBETWEEN(0,1)</f>
        <v>1</v>
      </c>
      <c r="L2">
        <f t="shared" ca="1" si="0"/>
        <v>1</v>
      </c>
      <c r="M2">
        <f t="shared" ca="1" si="0"/>
        <v>1</v>
      </c>
      <c r="N2">
        <f t="shared" ca="1" si="0"/>
        <v>1</v>
      </c>
      <c r="O2">
        <f t="shared" ca="1" si="0"/>
        <v>0</v>
      </c>
      <c r="P2">
        <f t="shared" ca="1" si="0"/>
        <v>0</v>
      </c>
      <c r="Q2">
        <f t="shared" ca="1" si="0"/>
        <v>1</v>
      </c>
      <c r="R2">
        <f t="shared" ca="1" si="0"/>
        <v>0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17</v>
      </c>
      <c r="Z2" t="s">
        <v>17</v>
      </c>
      <c r="AA2" t="s">
        <v>17</v>
      </c>
      <c r="AB2" t="s">
        <v>17</v>
      </c>
      <c r="AC2" t="s">
        <v>17</v>
      </c>
      <c r="AD2" t="s">
        <v>17</v>
      </c>
      <c r="AE2" t="s">
        <v>17</v>
      </c>
      <c r="AF2" t="s">
        <v>17</v>
      </c>
      <c r="AG2" t="s">
        <v>17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  <c r="AM2" t="s">
        <v>17</v>
      </c>
      <c r="AN2" t="s">
        <v>17</v>
      </c>
      <c r="AO2" t="s">
        <v>17</v>
      </c>
      <c r="AP2" t="s">
        <v>17</v>
      </c>
      <c r="AQ2" s="1">
        <f t="shared" ref="AQ2:AQ33" ca="1" si="1">AVERAGE(K2:L2)</f>
        <v>1</v>
      </c>
      <c r="AR2" s="1">
        <f ca="1">AVERAGE(M2:N2)</f>
        <v>1</v>
      </c>
      <c r="AS2" s="1">
        <f ca="1">AVERAGE(O2:P2)</f>
        <v>0</v>
      </c>
      <c r="AT2" s="1">
        <f ca="1">AVERAGE(Q2:R2)</f>
        <v>0.5</v>
      </c>
      <c r="AU2">
        <f t="shared" ref="AU2:AV33" ca="1" si="2">RANDBETWEEN(500, 10000)</f>
        <v>791</v>
      </c>
      <c r="AV2">
        <f t="shared" ca="1" si="2"/>
        <v>2664</v>
      </c>
      <c r="AW2">
        <f t="shared" ref="AW2:AX33" ca="1" si="3">RANDBETWEEN(500, 3000)</f>
        <v>1140</v>
      </c>
      <c r="AX2">
        <f t="shared" ca="1" si="3"/>
        <v>640</v>
      </c>
      <c r="AY2">
        <f t="shared" ref="AY2:AZ33" ca="1" si="4">RANDBETWEEN(500, 10000)</f>
        <v>3357</v>
      </c>
      <c r="AZ2">
        <f t="shared" ca="1" si="4"/>
        <v>745</v>
      </c>
      <c r="BA2">
        <f t="shared" ref="BA2:BB33" ca="1" si="5">RANDBETWEEN(500, 3000)</f>
        <v>2359</v>
      </c>
      <c r="BB2">
        <f t="shared" ca="1" si="5"/>
        <v>2270</v>
      </c>
      <c r="BC2">
        <f t="shared" ref="BC2:BF33" ca="1" si="6">RANDBETWEEN(500, 10000)</f>
        <v>2644</v>
      </c>
      <c r="BD2">
        <f t="shared" ca="1" si="6"/>
        <v>6113</v>
      </c>
      <c r="BE2">
        <f t="shared" ca="1" si="6"/>
        <v>1654</v>
      </c>
      <c r="BF2">
        <f t="shared" ca="1" si="6"/>
        <v>2164</v>
      </c>
      <c r="BG2">
        <f t="shared" ref="BG2:BJ33" ca="1" si="7">RANDBETWEEN(500, 3000)</f>
        <v>837</v>
      </c>
      <c r="BH2">
        <f t="shared" ca="1" si="7"/>
        <v>2430</v>
      </c>
      <c r="BI2">
        <f t="shared" ca="1" si="7"/>
        <v>2160</v>
      </c>
      <c r="BJ2">
        <f t="shared" ca="1" si="7"/>
        <v>1281</v>
      </c>
      <c r="BK2" s="7">
        <f ca="1">AVERAGE(AU2:AV33,AY2:AZ33,BC2:BF33)</f>
        <v>5029.1875</v>
      </c>
      <c r="BL2" s="7">
        <f ca="1">AVERAGE(AW2:AX33,BA2:BB33,BG2:BJ33)</f>
        <v>1747.77734375</v>
      </c>
    </row>
    <row r="3" spans="1:64" x14ac:dyDescent="0.25">
      <c r="A3">
        <v>2</v>
      </c>
      <c r="B3" t="s">
        <v>19</v>
      </c>
      <c r="C3">
        <f t="shared" ref="C3:C33" si="8">IF(B3 = "Concentration", 1, 0)</f>
        <v>0</v>
      </c>
      <c r="D3">
        <v>1</v>
      </c>
      <c r="E3" t="s">
        <v>23</v>
      </c>
      <c r="F3" s="8" t="s">
        <v>37</v>
      </c>
      <c r="G3" s="5" t="s">
        <v>36</v>
      </c>
      <c r="H3" s="3" t="s">
        <v>30</v>
      </c>
      <c r="I3" s="4" t="s">
        <v>45</v>
      </c>
      <c r="J3" t="s">
        <v>20</v>
      </c>
      <c r="K3">
        <f t="shared" ca="1" si="0"/>
        <v>1</v>
      </c>
      <c r="L3">
        <f t="shared" ca="1" si="0"/>
        <v>0</v>
      </c>
      <c r="M3">
        <f t="shared" ca="1" si="0"/>
        <v>1</v>
      </c>
      <c r="N3">
        <f t="shared" ca="1" si="0"/>
        <v>0</v>
      </c>
      <c r="O3">
        <f t="shared" ca="1" si="0"/>
        <v>0</v>
      </c>
      <c r="P3">
        <f t="shared" ca="1" si="0"/>
        <v>1</v>
      </c>
      <c r="Q3">
        <f t="shared" ca="1" si="0"/>
        <v>0</v>
      </c>
      <c r="R3">
        <f t="shared" ca="1" si="0"/>
        <v>0</v>
      </c>
      <c r="S3" t="s">
        <v>17</v>
      </c>
      <c r="T3" t="s">
        <v>17</v>
      </c>
      <c r="U3" t="s">
        <v>17</v>
      </c>
      <c r="V3" t="s">
        <v>17</v>
      </c>
      <c r="W3" t="s">
        <v>17</v>
      </c>
      <c r="X3" t="s">
        <v>17</v>
      </c>
      <c r="Y3" t="s">
        <v>17</v>
      </c>
      <c r="Z3" t="s">
        <v>17</v>
      </c>
      <c r="AA3" t="s">
        <v>17</v>
      </c>
      <c r="AB3" t="s">
        <v>17</v>
      </c>
      <c r="AC3" t="s">
        <v>17</v>
      </c>
      <c r="AD3" t="s">
        <v>17</v>
      </c>
      <c r="AE3" t="s">
        <v>17</v>
      </c>
      <c r="AF3" t="s">
        <v>17</v>
      </c>
      <c r="AG3" t="s">
        <v>17</v>
      </c>
      <c r="AH3" t="s">
        <v>17</v>
      </c>
      <c r="AI3" t="s">
        <v>17</v>
      </c>
      <c r="AJ3" t="s">
        <v>17</v>
      </c>
      <c r="AK3" t="s">
        <v>17</v>
      </c>
      <c r="AL3" t="s">
        <v>17</v>
      </c>
      <c r="AM3" t="s">
        <v>17</v>
      </c>
      <c r="AN3" t="s">
        <v>17</v>
      </c>
      <c r="AO3" t="s">
        <v>17</v>
      </c>
      <c r="AP3" t="s">
        <v>17</v>
      </c>
      <c r="AQ3" s="1">
        <f t="shared" ca="1" si="1"/>
        <v>0.5</v>
      </c>
      <c r="AR3" s="1">
        <f t="shared" ref="AR3:AR33" ca="1" si="9">AVERAGE(M3:N3)</f>
        <v>0.5</v>
      </c>
      <c r="AS3" s="1">
        <f t="shared" ref="AS3:AS33" ca="1" si="10">AVERAGE(O3:P3)</f>
        <v>0.5</v>
      </c>
      <c r="AT3" s="1">
        <f t="shared" ref="AT3:AT33" ca="1" si="11">AVERAGE(Q3:R3)</f>
        <v>0</v>
      </c>
      <c r="AU3">
        <f t="shared" ca="1" si="2"/>
        <v>6880</v>
      </c>
      <c r="AV3">
        <f t="shared" ca="1" si="2"/>
        <v>4300</v>
      </c>
      <c r="AW3">
        <f t="shared" ca="1" si="3"/>
        <v>1385</v>
      </c>
      <c r="AX3">
        <f t="shared" ca="1" si="3"/>
        <v>681</v>
      </c>
      <c r="AY3">
        <f t="shared" ca="1" si="4"/>
        <v>2753</v>
      </c>
      <c r="AZ3">
        <f t="shared" ca="1" si="4"/>
        <v>9403</v>
      </c>
      <c r="BA3">
        <f t="shared" ca="1" si="5"/>
        <v>2642</v>
      </c>
      <c r="BB3">
        <f t="shared" ca="1" si="5"/>
        <v>2240</v>
      </c>
      <c r="BC3">
        <f t="shared" ca="1" si="6"/>
        <v>2689</v>
      </c>
      <c r="BD3">
        <f t="shared" ca="1" si="6"/>
        <v>7076</v>
      </c>
      <c r="BE3">
        <f t="shared" ca="1" si="6"/>
        <v>8023</v>
      </c>
      <c r="BF3">
        <f t="shared" ca="1" si="6"/>
        <v>5481</v>
      </c>
      <c r="BG3">
        <f t="shared" ca="1" si="7"/>
        <v>862</v>
      </c>
      <c r="BH3">
        <f t="shared" ca="1" si="7"/>
        <v>1039</v>
      </c>
      <c r="BI3">
        <f t="shared" ca="1" si="7"/>
        <v>1038</v>
      </c>
      <c r="BJ3">
        <f t="shared" ca="1" si="7"/>
        <v>694</v>
      </c>
      <c r="BK3" s="7">
        <f ca="1">AVERAGE(AU3:AV33,AY3:AZ33,BC3:BF33)</f>
        <v>5110.2419354838712</v>
      </c>
      <c r="BL3" s="7">
        <f ca="1">AVERAGE(AW3:AX33,BA3:BB33,BG3:BJ33)</f>
        <v>1751.266129032258</v>
      </c>
    </row>
    <row r="4" spans="1:64" x14ac:dyDescent="0.25">
      <c r="A4">
        <v>3</v>
      </c>
      <c r="B4" t="s">
        <v>18</v>
      </c>
      <c r="C4">
        <f t="shared" si="8"/>
        <v>1</v>
      </c>
      <c r="D4">
        <v>1</v>
      </c>
      <c r="E4" t="s">
        <v>23</v>
      </c>
      <c r="F4" s="2" t="s">
        <v>36</v>
      </c>
      <c r="G4" s="9" t="s">
        <v>37</v>
      </c>
      <c r="H4" s="3" t="s">
        <v>30</v>
      </c>
      <c r="I4" s="4" t="s">
        <v>45</v>
      </c>
      <c r="J4" t="s">
        <v>20</v>
      </c>
      <c r="K4">
        <f t="shared" ca="1" si="0"/>
        <v>1</v>
      </c>
      <c r="L4">
        <f t="shared" ca="1" si="0"/>
        <v>1</v>
      </c>
      <c r="M4">
        <f t="shared" ca="1" si="0"/>
        <v>0</v>
      </c>
      <c r="N4">
        <f t="shared" ca="1" si="0"/>
        <v>0</v>
      </c>
      <c r="O4">
        <f t="shared" ca="1" si="0"/>
        <v>0</v>
      </c>
      <c r="P4">
        <f t="shared" ca="1" si="0"/>
        <v>1</v>
      </c>
      <c r="Q4">
        <f t="shared" ca="1" si="0"/>
        <v>0</v>
      </c>
      <c r="R4">
        <f t="shared" ca="1" si="0"/>
        <v>0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 t="s">
        <v>17</v>
      </c>
      <c r="AG4" t="s">
        <v>17</v>
      </c>
      <c r="AH4" t="s">
        <v>17</v>
      </c>
      <c r="AI4" t="s">
        <v>17</v>
      </c>
      <c r="AJ4" t="s">
        <v>17</v>
      </c>
      <c r="AK4" t="s">
        <v>17</v>
      </c>
      <c r="AL4" t="s">
        <v>17</v>
      </c>
      <c r="AM4" t="s">
        <v>17</v>
      </c>
      <c r="AN4" t="s">
        <v>17</v>
      </c>
      <c r="AO4" t="s">
        <v>17</v>
      </c>
      <c r="AP4" t="s">
        <v>17</v>
      </c>
      <c r="AQ4" s="1">
        <f t="shared" ca="1" si="1"/>
        <v>1</v>
      </c>
      <c r="AR4" s="1">
        <f t="shared" ca="1" si="9"/>
        <v>0</v>
      </c>
      <c r="AS4" s="1">
        <f t="shared" ca="1" si="10"/>
        <v>0.5</v>
      </c>
      <c r="AT4" s="1">
        <f t="shared" ca="1" si="11"/>
        <v>0</v>
      </c>
      <c r="AU4">
        <f t="shared" ca="1" si="2"/>
        <v>7893</v>
      </c>
      <c r="AV4">
        <f t="shared" ca="1" si="2"/>
        <v>8419</v>
      </c>
      <c r="AW4">
        <f t="shared" ca="1" si="3"/>
        <v>2987</v>
      </c>
      <c r="AX4">
        <f t="shared" ca="1" si="3"/>
        <v>2651</v>
      </c>
      <c r="AY4">
        <f t="shared" ca="1" si="4"/>
        <v>4839</v>
      </c>
      <c r="AZ4">
        <f t="shared" ca="1" si="4"/>
        <v>8008</v>
      </c>
      <c r="BA4">
        <f t="shared" ca="1" si="5"/>
        <v>885</v>
      </c>
      <c r="BB4">
        <f t="shared" ca="1" si="5"/>
        <v>1704</v>
      </c>
      <c r="BC4">
        <f t="shared" ca="1" si="6"/>
        <v>2463</v>
      </c>
      <c r="BD4">
        <f t="shared" ca="1" si="6"/>
        <v>3513</v>
      </c>
      <c r="BE4">
        <f t="shared" ca="1" si="6"/>
        <v>7166</v>
      </c>
      <c r="BF4">
        <f t="shared" ca="1" si="6"/>
        <v>8207</v>
      </c>
      <c r="BG4">
        <f t="shared" ca="1" si="7"/>
        <v>1847</v>
      </c>
      <c r="BH4">
        <f t="shared" ca="1" si="7"/>
        <v>1127</v>
      </c>
      <c r="BI4">
        <f t="shared" ca="1" si="7"/>
        <v>2351</v>
      </c>
      <c r="BJ4">
        <f t="shared" ca="1" si="7"/>
        <v>779</v>
      </c>
      <c r="BK4" s="7">
        <f ca="1">AVERAGE(AU4:AV33,AY4:AZ33,BC4:BF33)</f>
        <v>5086.395833333333</v>
      </c>
      <c r="BL4" s="7">
        <f ca="1">AVERAGE(AW4:AX33,BA4:BB33,BG4:BJ33)</f>
        <v>1765.5541666666666</v>
      </c>
    </row>
    <row r="5" spans="1:64" x14ac:dyDescent="0.25">
      <c r="A5">
        <v>4</v>
      </c>
      <c r="B5" t="s">
        <v>19</v>
      </c>
      <c r="C5">
        <f t="shared" si="8"/>
        <v>0</v>
      </c>
      <c r="D5">
        <v>1</v>
      </c>
      <c r="E5" t="s">
        <v>23</v>
      </c>
      <c r="F5" s="2" t="s">
        <v>36</v>
      </c>
      <c r="G5" s="9" t="s">
        <v>37</v>
      </c>
      <c r="H5" s="3" t="s">
        <v>30</v>
      </c>
      <c r="I5" s="4" t="s">
        <v>45</v>
      </c>
      <c r="J5" t="s">
        <v>20</v>
      </c>
      <c r="K5">
        <f t="shared" ca="1" si="0"/>
        <v>0</v>
      </c>
      <c r="L5">
        <f t="shared" ca="1" si="0"/>
        <v>1</v>
      </c>
      <c r="M5">
        <f t="shared" ca="1" si="0"/>
        <v>0</v>
      </c>
      <c r="N5">
        <f t="shared" ca="1" si="0"/>
        <v>1</v>
      </c>
      <c r="O5">
        <f t="shared" ca="1" si="0"/>
        <v>1</v>
      </c>
      <c r="P5">
        <f t="shared" ca="1" si="0"/>
        <v>1</v>
      </c>
      <c r="Q5">
        <f t="shared" ca="1" si="0"/>
        <v>1</v>
      </c>
      <c r="R5">
        <f t="shared" ca="1" si="0"/>
        <v>1</v>
      </c>
      <c r="S5" t="s">
        <v>17</v>
      </c>
      <c r="T5" t="s">
        <v>17</v>
      </c>
      <c r="U5" t="s">
        <v>17</v>
      </c>
      <c r="V5" t="s">
        <v>17</v>
      </c>
      <c r="W5" t="s">
        <v>17</v>
      </c>
      <c r="X5" t="s">
        <v>17</v>
      </c>
      <c r="Y5" t="s">
        <v>17</v>
      </c>
      <c r="Z5" t="s">
        <v>17</v>
      </c>
      <c r="AA5" t="s">
        <v>17</v>
      </c>
      <c r="AB5" t="s">
        <v>17</v>
      </c>
      <c r="AC5" t="s">
        <v>17</v>
      </c>
      <c r="AD5" t="s">
        <v>17</v>
      </c>
      <c r="AE5" t="s">
        <v>17</v>
      </c>
      <c r="AF5" t="s">
        <v>17</v>
      </c>
      <c r="AG5" t="s">
        <v>17</v>
      </c>
      <c r="AH5" t="s">
        <v>17</v>
      </c>
      <c r="AI5" t="s">
        <v>17</v>
      </c>
      <c r="AJ5" t="s">
        <v>17</v>
      </c>
      <c r="AK5" t="s">
        <v>17</v>
      </c>
      <c r="AL5" t="s">
        <v>17</v>
      </c>
      <c r="AM5" t="s">
        <v>17</v>
      </c>
      <c r="AN5" t="s">
        <v>17</v>
      </c>
      <c r="AO5" t="s">
        <v>17</v>
      </c>
      <c r="AP5" t="s">
        <v>17</v>
      </c>
      <c r="AQ5" s="1">
        <f t="shared" ca="1" si="1"/>
        <v>0.5</v>
      </c>
      <c r="AR5" s="1">
        <f t="shared" ca="1" si="9"/>
        <v>0.5</v>
      </c>
      <c r="AS5" s="1">
        <f t="shared" ca="1" si="10"/>
        <v>1</v>
      </c>
      <c r="AT5" s="1">
        <f t="shared" ca="1" si="11"/>
        <v>1</v>
      </c>
      <c r="AU5">
        <f t="shared" ca="1" si="2"/>
        <v>9298</v>
      </c>
      <c r="AV5">
        <f t="shared" ca="1" si="2"/>
        <v>2271</v>
      </c>
      <c r="AW5">
        <f t="shared" ca="1" si="3"/>
        <v>664</v>
      </c>
      <c r="AX5">
        <f t="shared" ca="1" si="3"/>
        <v>1991</v>
      </c>
      <c r="AY5">
        <f t="shared" ca="1" si="4"/>
        <v>6848</v>
      </c>
      <c r="AZ5">
        <f t="shared" ca="1" si="4"/>
        <v>1354</v>
      </c>
      <c r="BA5">
        <f t="shared" ca="1" si="5"/>
        <v>2512</v>
      </c>
      <c r="BB5">
        <f t="shared" ca="1" si="5"/>
        <v>517</v>
      </c>
      <c r="BC5">
        <f t="shared" ca="1" si="6"/>
        <v>2783</v>
      </c>
      <c r="BD5">
        <f t="shared" ca="1" si="6"/>
        <v>4002</v>
      </c>
      <c r="BE5">
        <f t="shared" ca="1" si="6"/>
        <v>7445</v>
      </c>
      <c r="BF5">
        <f t="shared" ca="1" si="6"/>
        <v>5524</v>
      </c>
      <c r="BG5">
        <f t="shared" ca="1" si="7"/>
        <v>2890</v>
      </c>
      <c r="BH5">
        <f t="shared" ca="1" si="7"/>
        <v>1958</v>
      </c>
      <c r="BI5">
        <f t="shared" ca="1" si="7"/>
        <v>1437</v>
      </c>
      <c r="BJ5">
        <f t="shared" ca="1" si="7"/>
        <v>2041</v>
      </c>
      <c r="BK5" s="7">
        <f ca="1">AVERAGE(AU5:AV33,AY5:AZ33,BC5:BF33)</f>
        <v>5044.0818965517237</v>
      </c>
      <c r="BL5" s="7">
        <f ca="1">AVERAGE(AW5:AX33,BA5:BB33,BG5:BJ33)</f>
        <v>1764.6637931034484</v>
      </c>
    </row>
    <row r="6" spans="1:64" x14ac:dyDescent="0.25">
      <c r="A6">
        <v>5</v>
      </c>
      <c r="B6" t="s">
        <v>18</v>
      </c>
      <c r="C6">
        <f t="shared" si="8"/>
        <v>1</v>
      </c>
      <c r="D6">
        <v>2</v>
      </c>
      <c r="E6" t="s">
        <v>24</v>
      </c>
      <c r="F6" s="8" t="s">
        <v>39</v>
      </c>
      <c r="G6" s="5" t="s">
        <v>38</v>
      </c>
      <c r="H6" s="3" t="s">
        <v>28</v>
      </c>
      <c r="I6" s="4" t="s">
        <v>45</v>
      </c>
      <c r="J6" t="s">
        <v>20</v>
      </c>
      <c r="K6">
        <f t="shared" ca="1" si="0"/>
        <v>1</v>
      </c>
      <c r="L6">
        <f t="shared" ca="1" si="0"/>
        <v>0</v>
      </c>
      <c r="M6">
        <f t="shared" ca="1" si="0"/>
        <v>1</v>
      </c>
      <c r="N6">
        <f t="shared" ca="1" si="0"/>
        <v>0</v>
      </c>
      <c r="O6">
        <f t="shared" ca="1" si="0"/>
        <v>0</v>
      </c>
      <c r="P6">
        <f t="shared" ca="1" si="0"/>
        <v>0</v>
      </c>
      <c r="Q6">
        <f t="shared" ca="1" si="0"/>
        <v>0</v>
      </c>
      <c r="R6">
        <f t="shared" ca="1" si="0"/>
        <v>0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s="1">
        <f t="shared" ca="1" si="1"/>
        <v>0.5</v>
      </c>
      <c r="AR6" s="1">
        <f t="shared" ca="1" si="9"/>
        <v>0.5</v>
      </c>
      <c r="AS6" s="1">
        <f t="shared" ca="1" si="10"/>
        <v>0</v>
      </c>
      <c r="AT6" s="1">
        <f t="shared" ca="1" si="11"/>
        <v>0</v>
      </c>
      <c r="AU6">
        <f t="shared" ca="1" si="2"/>
        <v>4910</v>
      </c>
      <c r="AV6">
        <f t="shared" ca="1" si="2"/>
        <v>1697</v>
      </c>
      <c r="AW6">
        <f t="shared" ca="1" si="3"/>
        <v>1065</v>
      </c>
      <c r="AX6">
        <f t="shared" ca="1" si="3"/>
        <v>2164</v>
      </c>
      <c r="AY6">
        <f t="shared" ca="1" si="4"/>
        <v>9798</v>
      </c>
      <c r="AZ6">
        <f t="shared" ca="1" si="4"/>
        <v>7633</v>
      </c>
      <c r="BA6">
        <f t="shared" ca="1" si="5"/>
        <v>2114</v>
      </c>
      <c r="BB6">
        <f t="shared" ca="1" si="5"/>
        <v>1765</v>
      </c>
      <c r="BC6">
        <f t="shared" ca="1" si="6"/>
        <v>1416</v>
      </c>
      <c r="BD6">
        <f t="shared" ca="1" si="6"/>
        <v>2280</v>
      </c>
      <c r="BE6">
        <f t="shared" ca="1" si="6"/>
        <v>4747</v>
      </c>
      <c r="BF6">
        <f t="shared" ca="1" si="6"/>
        <v>8221</v>
      </c>
      <c r="BG6">
        <f t="shared" ca="1" si="7"/>
        <v>1607</v>
      </c>
      <c r="BH6">
        <f t="shared" ca="1" si="7"/>
        <v>811</v>
      </c>
      <c r="BI6">
        <f t="shared" ca="1" si="7"/>
        <v>2907</v>
      </c>
      <c r="BJ6">
        <f t="shared" ca="1" si="7"/>
        <v>2562</v>
      </c>
      <c r="BK6" s="7">
        <f ca="1">AVERAGE(AU6:AV33,AY6:AZ33,BC6:BF33)</f>
        <v>5047.7767857142853</v>
      </c>
      <c r="BL6" s="7">
        <f ca="1">AVERAGE(AW6:AX33,BA6:BB33,BG6:BJ33)</f>
        <v>1765.1428571428571</v>
      </c>
    </row>
    <row r="7" spans="1:64" x14ac:dyDescent="0.25">
      <c r="A7">
        <v>6</v>
      </c>
      <c r="B7" t="s">
        <v>19</v>
      </c>
      <c r="C7">
        <f t="shared" si="8"/>
        <v>0</v>
      </c>
      <c r="D7">
        <v>2</v>
      </c>
      <c r="E7" t="s">
        <v>24</v>
      </c>
      <c r="F7" s="8" t="s">
        <v>39</v>
      </c>
      <c r="G7" s="5" t="s">
        <v>38</v>
      </c>
      <c r="H7" s="3" t="s">
        <v>28</v>
      </c>
      <c r="I7" s="4" t="s">
        <v>45</v>
      </c>
      <c r="J7" t="s">
        <v>20</v>
      </c>
      <c r="K7">
        <f t="shared" ca="1" si="0"/>
        <v>1</v>
      </c>
      <c r="L7">
        <f t="shared" ca="1" si="0"/>
        <v>1</v>
      </c>
      <c r="M7">
        <f t="shared" ca="1" si="0"/>
        <v>1</v>
      </c>
      <c r="N7">
        <f t="shared" ca="1" si="0"/>
        <v>0</v>
      </c>
      <c r="O7">
        <f t="shared" ca="1" si="0"/>
        <v>0</v>
      </c>
      <c r="P7">
        <f t="shared" ca="1" si="0"/>
        <v>0</v>
      </c>
      <c r="Q7">
        <f t="shared" ca="1" si="0"/>
        <v>0</v>
      </c>
      <c r="R7">
        <f t="shared" ca="1" si="0"/>
        <v>1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s="1">
        <f t="shared" ca="1" si="1"/>
        <v>1</v>
      </c>
      <c r="AR7" s="1">
        <f t="shared" ca="1" si="9"/>
        <v>0.5</v>
      </c>
      <c r="AS7" s="1">
        <f t="shared" ca="1" si="10"/>
        <v>0</v>
      </c>
      <c r="AT7" s="1">
        <f t="shared" ca="1" si="11"/>
        <v>0.5</v>
      </c>
      <c r="AU7">
        <f t="shared" ca="1" si="2"/>
        <v>4103</v>
      </c>
      <c r="AV7">
        <f t="shared" ca="1" si="2"/>
        <v>8922</v>
      </c>
      <c r="AW7">
        <f t="shared" ca="1" si="3"/>
        <v>952</v>
      </c>
      <c r="AX7">
        <f t="shared" ca="1" si="3"/>
        <v>2866</v>
      </c>
      <c r="AY7">
        <f t="shared" ca="1" si="4"/>
        <v>4157</v>
      </c>
      <c r="AZ7">
        <f t="shared" ca="1" si="4"/>
        <v>3693</v>
      </c>
      <c r="BA7">
        <f t="shared" ca="1" si="5"/>
        <v>1511</v>
      </c>
      <c r="BB7">
        <f t="shared" ca="1" si="5"/>
        <v>1419</v>
      </c>
      <c r="BC7">
        <f t="shared" ca="1" si="6"/>
        <v>2422</v>
      </c>
      <c r="BD7">
        <f t="shared" ca="1" si="6"/>
        <v>7812</v>
      </c>
      <c r="BE7">
        <f t="shared" ca="1" si="6"/>
        <v>3997</v>
      </c>
      <c r="BF7">
        <f t="shared" ca="1" si="6"/>
        <v>8291</v>
      </c>
      <c r="BG7">
        <f t="shared" ca="1" si="7"/>
        <v>2176</v>
      </c>
      <c r="BH7">
        <f t="shared" ca="1" si="7"/>
        <v>2657</v>
      </c>
      <c r="BI7">
        <f t="shared" ca="1" si="7"/>
        <v>1241</v>
      </c>
      <c r="BJ7">
        <f t="shared" ca="1" si="7"/>
        <v>600</v>
      </c>
      <c r="BK7" s="7">
        <f ca="1">AVERAGE(AU7:AV33,AY7:AZ33,BC7:BF33)</f>
        <v>5046.2962962962965</v>
      </c>
      <c r="BL7" s="7">
        <f ca="1">AVERAGE(AW7:AX33,BA7:BB33,BG7:BJ33)</f>
        <v>1761.0972222222222</v>
      </c>
    </row>
    <row r="8" spans="1:64" x14ac:dyDescent="0.25">
      <c r="A8">
        <v>7</v>
      </c>
      <c r="B8" t="s">
        <v>18</v>
      </c>
      <c r="C8">
        <f t="shared" si="8"/>
        <v>1</v>
      </c>
      <c r="D8">
        <v>2</v>
      </c>
      <c r="E8" t="s">
        <v>24</v>
      </c>
      <c r="F8" s="2" t="s">
        <v>38</v>
      </c>
      <c r="G8" s="9" t="s">
        <v>39</v>
      </c>
      <c r="H8" s="3" t="s">
        <v>28</v>
      </c>
      <c r="I8" s="4" t="s">
        <v>45</v>
      </c>
      <c r="J8" t="s">
        <v>20</v>
      </c>
      <c r="K8">
        <f t="shared" ca="1" si="0"/>
        <v>1</v>
      </c>
      <c r="L8">
        <f t="shared" ca="1" si="0"/>
        <v>1</v>
      </c>
      <c r="M8">
        <f t="shared" ca="1" si="0"/>
        <v>0</v>
      </c>
      <c r="N8">
        <f t="shared" ca="1" si="0"/>
        <v>1</v>
      </c>
      <c r="O8">
        <f t="shared" ca="1" si="0"/>
        <v>1</v>
      </c>
      <c r="P8">
        <f t="shared" ca="1" si="0"/>
        <v>0</v>
      </c>
      <c r="Q8">
        <f t="shared" ca="1" si="0"/>
        <v>1</v>
      </c>
      <c r="R8">
        <f t="shared" ca="1" si="0"/>
        <v>0</v>
      </c>
      <c r="S8" t="s">
        <v>17</v>
      </c>
      <c r="T8" t="s">
        <v>17</v>
      </c>
      <c r="U8" t="s">
        <v>17</v>
      </c>
      <c r="V8" t="s">
        <v>17</v>
      </c>
      <c r="W8" t="s">
        <v>17</v>
      </c>
      <c r="X8" t="s">
        <v>17</v>
      </c>
      <c r="Y8" t="s">
        <v>17</v>
      </c>
      <c r="Z8" t="s">
        <v>17</v>
      </c>
      <c r="AA8" t="s">
        <v>17</v>
      </c>
      <c r="AB8" t="s">
        <v>17</v>
      </c>
      <c r="AC8" t="s">
        <v>17</v>
      </c>
      <c r="AD8" t="s">
        <v>17</v>
      </c>
      <c r="AE8" t="s">
        <v>17</v>
      </c>
      <c r="AF8" t="s">
        <v>17</v>
      </c>
      <c r="AG8" t="s">
        <v>17</v>
      </c>
      <c r="AH8" t="s">
        <v>17</v>
      </c>
      <c r="AI8" t="s">
        <v>17</v>
      </c>
      <c r="AJ8" t="s">
        <v>17</v>
      </c>
      <c r="AK8" t="s">
        <v>17</v>
      </c>
      <c r="AL8" t="s">
        <v>17</v>
      </c>
      <c r="AM8" t="s">
        <v>17</v>
      </c>
      <c r="AN8" t="s">
        <v>17</v>
      </c>
      <c r="AO8" t="s">
        <v>17</v>
      </c>
      <c r="AP8" t="s">
        <v>17</v>
      </c>
      <c r="AQ8" s="1">
        <f t="shared" ca="1" si="1"/>
        <v>1</v>
      </c>
      <c r="AR8" s="1">
        <f t="shared" ca="1" si="9"/>
        <v>0.5</v>
      </c>
      <c r="AS8" s="1">
        <f t="shared" ca="1" si="10"/>
        <v>0.5</v>
      </c>
      <c r="AT8" s="1">
        <f t="shared" ca="1" si="11"/>
        <v>0.5</v>
      </c>
      <c r="AU8">
        <f t="shared" ca="1" si="2"/>
        <v>2864</v>
      </c>
      <c r="AV8">
        <f t="shared" ca="1" si="2"/>
        <v>8124</v>
      </c>
      <c r="AW8">
        <f t="shared" ca="1" si="3"/>
        <v>2227</v>
      </c>
      <c r="AX8">
        <f t="shared" ca="1" si="3"/>
        <v>2741</v>
      </c>
      <c r="AY8">
        <f t="shared" ca="1" si="4"/>
        <v>3059</v>
      </c>
      <c r="AZ8">
        <f t="shared" ca="1" si="4"/>
        <v>8605</v>
      </c>
      <c r="BA8">
        <f t="shared" ca="1" si="5"/>
        <v>663</v>
      </c>
      <c r="BB8">
        <f t="shared" ca="1" si="5"/>
        <v>1227</v>
      </c>
      <c r="BC8">
        <f t="shared" ca="1" si="6"/>
        <v>1439</v>
      </c>
      <c r="BD8">
        <f t="shared" ca="1" si="6"/>
        <v>6234</v>
      </c>
      <c r="BE8">
        <f t="shared" ca="1" si="6"/>
        <v>3667</v>
      </c>
      <c r="BF8">
        <f t="shared" ca="1" si="6"/>
        <v>9666</v>
      </c>
      <c r="BG8">
        <f t="shared" ca="1" si="7"/>
        <v>2935</v>
      </c>
      <c r="BH8">
        <f t="shared" ca="1" si="7"/>
        <v>1434</v>
      </c>
      <c r="BI8">
        <f t="shared" ca="1" si="7"/>
        <v>2793</v>
      </c>
      <c r="BJ8">
        <f t="shared" ca="1" si="7"/>
        <v>517</v>
      </c>
      <c r="BK8" s="7">
        <f ca="1">AVERAGE(AU8:AV33,AY8:AZ33,BC8:BF33)</f>
        <v>5031.7451923076924</v>
      </c>
      <c r="BL8" s="7">
        <f ca="1">AVERAGE(AW8:AX33,BA8:BB33,BG8:BJ33)</f>
        <v>1764.3028846153845</v>
      </c>
    </row>
    <row r="9" spans="1:64" x14ac:dyDescent="0.25">
      <c r="A9">
        <v>8</v>
      </c>
      <c r="B9" t="s">
        <v>19</v>
      </c>
      <c r="C9">
        <f t="shared" si="8"/>
        <v>0</v>
      </c>
      <c r="D9">
        <v>2</v>
      </c>
      <c r="E9" t="s">
        <v>24</v>
      </c>
      <c r="F9" s="2" t="s">
        <v>38</v>
      </c>
      <c r="G9" s="9" t="s">
        <v>39</v>
      </c>
      <c r="H9" s="3" t="s">
        <v>28</v>
      </c>
      <c r="I9" s="4" t="s">
        <v>45</v>
      </c>
      <c r="J9" t="s">
        <v>20</v>
      </c>
      <c r="K9">
        <f t="shared" ca="1" si="0"/>
        <v>0</v>
      </c>
      <c r="L9">
        <f t="shared" ca="1" si="0"/>
        <v>0</v>
      </c>
      <c r="M9">
        <f t="shared" ca="1" si="0"/>
        <v>1</v>
      </c>
      <c r="N9">
        <f t="shared" ca="1" si="0"/>
        <v>0</v>
      </c>
      <c r="O9">
        <f t="shared" ca="1" si="0"/>
        <v>1</v>
      </c>
      <c r="P9">
        <f t="shared" ca="1" si="0"/>
        <v>1</v>
      </c>
      <c r="Q9">
        <f t="shared" ca="1" si="0"/>
        <v>0</v>
      </c>
      <c r="R9">
        <f t="shared" ca="1" si="0"/>
        <v>0</v>
      </c>
      <c r="S9" t="s">
        <v>17</v>
      </c>
      <c r="T9" t="s">
        <v>17</v>
      </c>
      <c r="U9" t="s">
        <v>17</v>
      </c>
      <c r="V9" t="s">
        <v>17</v>
      </c>
      <c r="W9" t="s">
        <v>17</v>
      </c>
      <c r="X9" t="s">
        <v>17</v>
      </c>
      <c r="Y9" t="s">
        <v>17</v>
      </c>
      <c r="Z9" t="s">
        <v>17</v>
      </c>
      <c r="AA9" t="s">
        <v>17</v>
      </c>
      <c r="AB9" t="s">
        <v>17</v>
      </c>
      <c r="AC9" t="s">
        <v>17</v>
      </c>
      <c r="AD9" t="s">
        <v>17</v>
      </c>
      <c r="AE9" t="s">
        <v>17</v>
      </c>
      <c r="AF9" t="s">
        <v>17</v>
      </c>
      <c r="AG9" t="s">
        <v>17</v>
      </c>
      <c r="AH9" t="s">
        <v>17</v>
      </c>
      <c r="AI9" t="s">
        <v>17</v>
      </c>
      <c r="AJ9" t="s">
        <v>17</v>
      </c>
      <c r="AK9" t="s">
        <v>17</v>
      </c>
      <c r="AL9" t="s">
        <v>17</v>
      </c>
      <c r="AM9" t="s">
        <v>17</v>
      </c>
      <c r="AN9" t="s">
        <v>17</v>
      </c>
      <c r="AO9" t="s">
        <v>17</v>
      </c>
      <c r="AP9" t="s">
        <v>17</v>
      </c>
      <c r="AQ9" s="1">
        <f t="shared" ca="1" si="1"/>
        <v>0</v>
      </c>
      <c r="AR9" s="1">
        <f t="shared" ca="1" si="9"/>
        <v>0.5</v>
      </c>
      <c r="AS9" s="1">
        <f t="shared" ca="1" si="10"/>
        <v>1</v>
      </c>
      <c r="AT9" s="1">
        <f t="shared" ca="1" si="11"/>
        <v>0</v>
      </c>
      <c r="AU9">
        <f t="shared" ca="1" si="2"/>
        <v>5266</v>
      </c>
      <c r="AV9">
        <f t="shared" ca="1" si="2"/>
        <v>6220</v>
      </c>
      <c r="AW9">
        <f t="shared" ca="1" si="3"/>
        <v>796</v>
      </c>
      <c r="AX9">
        <f t="shared" ca="1" si="3"/>
        <v>2205</v>
      </c>
      <c r="AY9">
        <f t="shared" ca="1" si="4"/>
        <v>744</v>
      </c>
      <c r="AZ9">
        <f t="shared" ca="1" si="4"/>
        <v>8502</v>
      </c>
      <c r="BA9">
        <f t="shared" ca="1" si="5"/>
        <v>2031</v>
      </c>
      <c r="BB9">
        <f t="shared" ca="1" si="5"/>
        <v>1011</v>
      </c>
      <c r="BC9">
        <f t="shared" ca="1" si="6"/>
        <v>8694</v>
      </c>
      <c r="BD9">
        <f t="shared" ca="1" si="6"/>
        <v>2064</v>
      </c>
      <c r="BE9">
        <f t="shared" ca="1" si="6"/>
        <v>5358</v>
      </c>
      <c r="BF9">
        <f t="shared" ca="1" si="6"/>
        <v>4874</v>
      </c>
      <c r="BG9">
        <f t="shared" ca="1" si="7"/>
        <v>2432</v>
      </c>
      <c r="BH9">
        <f t="shared" ca="1" si="7"/>
        <v>1338</v>
      </c>
      <c r="BI9">
        <f t="shared" ca="1" si="7"/>
        <v>991</v>
      </c>
      <c r="BJ9">
        <f t="shared" ca="1" si="7"/>
        <v>2225</v>
      </c>
      <c r="BK9" s="7">
        <f ca="1">AVERAGE(AU9:AV33,AY9:AZ33,BC9:BF33)</f>
        <v>5014.7250000000004</v>
      </c>
      <c r="BL9" s="7">
        <f ca="1">AVERAGE(AW9:AX33,BA9:BB33,BG9:BJ33)</f>
        <v>1762.19</v>
      </c>
    </row>
    <row r="10" spans="1:64" x14ac:dyDescent="0.25">
      <c r="A10">
        <v>9</v>
      </c>
      <c r="B10" t="s">
        <v>18</v>
      </c>
      <c r="C10">
        <f t="shared" si="8"/>
        <v>1</v>
      </c>
      <c r="D10">
        <v>3</v>
      </c>
      <c r="E10" t="s">
        <v>25</v>
      </c>
      <c r="F10" s="8" t="s">
        <v>41</v>
      </c>
      <c r="G10" s="5" t="s">
        <v>40</v>
      </c>
      <c r="H10" s="3" t="s">
        <v>32</v>
      </c>
      <c r="I10" s="4" t="s">
        <v>45</v>
      </c>
      <c r="J10" t="s">
        <v>20</v>
      </c>
      <c r="K10">
        <f t="shared" ca="1" si="0"/>
        <v>1</v>
      </c>
      <c r="L10">
        <f t="shared" ca="1" si="0"/>
        <v>1</v>
      </c>
      <c r="M10">
        <f t="shared" ca="1" si="0"/>
        <v>0</v>
      </c>
      <c r="N10">
        <f t="shared" ca="1" si="0"/>
        <v>0</v>
      </c>
      <c r="O10">
        <f t="shared" ca="1" si="0"/>
        <v>0</v>
      </c>
      <c r="P10">
        <f t="shared" ca="1" si="0"/>
        <v>0</v>
      </c>
      <c r="Q10">
        <f t="shared" ca="1" si="0"/>
        <v>0</v>
      </c>
      <c r="R10">
        <f t="shared" ca="1" si="0"/>
        <v>0</v>
      </c>
      <c r="S10" t="s">
        <v>17</v>
      </c>
      <c r="T10" t="s">
        <v>17</v>
      </c>
      <c r="U10" t="s">
        <v>17</v>
      </c>
      <c r="V10" t="s">
        <v>17</v>
      </c>
      <c r="W10" t="s">
        <v>17</v>
      </c>
      <c r="X10" t="s">
        <v>17</v>
      </c>
      <c r="Y10" t="s">
        <v>17</v>
      </c>
      <c r="Z10" t="s">
        <v>17</v>
      </c>
      <c r="AA10" t="s">
        <v>17</v>
      </c>
      <c r="AB10" t="s">
        <v>17</v>
      </c>
      <c r="AC10" t="s">
        <v>17</v>
      </c>
      <c r="AD10" t="s">
        <v>17</v>
      </c>
      <c r="AE10" t="s">
        <v>17</v>
      </c>
      <c r="AF10" t="s">
        <v>17</v>
      </c>
      <c r="AG10" t="s">
        <v>17</v>
      </c>
      <c r="AH10" t="s">
        <v>17</v>
      </c>
      <c r="AI10" t="s">
        <v>17</v>
      </c>
      <c r="AJ10" t="s">
        <v>17</v>
      </c>
      <c r="AK10" t="s">
        <v>17</v>
      </c>
      <c r="AL10" t="s">
        <v>17</v>
      </c>
      <c r="AM10" t="s">
        <v>17</v>
      </c>
      <c r="AN10" t="s">
        <v>17</v>
      </c>
      <c r="AO10" t="s">
        <v>17</v>
      </c>
      <c r="AP10" t="s">
        <v>17</v>
      </c>
      <c r="AQ10" s="1">
        <f t="shared" ca="1" si="1"/>
        <v>1</v>
      </c>
      <c r="AR10" s="1">
        <f t="shared" ca="1" si="9"/>
        <v>0</v>
      </c>
      <c r="AS10" s="1">
        <f t="shared" ca="1" si="10"/>
        <v>0</v>
      </c>
      <c r="AT10" s="1">
        <f t="shared" ca="1" si="11"/>
        <v>0</v>
      </c>
      <c r="AU10">
        <f t="shared" ca="1" si="2"/>
        <v>781</v>
      </c>
      <c r="AV10">
        <f t="shared" ca="1" si="2"/>
        <v>1502</v>
      </c>
      <c r="AW10">
        <f t="shared" ca="1" si="3"/>
        <v>568</v>
      </c>
      <c r="AX10">
        <f t="shared" ca="1" si="3"/>
        <v>2119</v>
      </c>
      <c r="AY10">
        <f t="shared" ca="1" si="4"/>
        <v>6813</v>
      </c>
      <c r="AZ10">
        <f t="shared" ca="1" si="4"/>
        <v>1430</v>
      </c>
      <c r="BA10">
        <f t="shared" ca="1" si="5"/>
        <v>809</v>
      </c>
      <c r="BB10">
        <f t="shared" ca="1" si="5"/>
        <v>1144</v>
      </c>
      <c r="BC10">
        <f t="shared" ca="1" si="6"/>
        <v>3008</v>
      </c>
      <c r="BD10">
        <f t="shared" ca="1" si="6"/>
        <v>5065</v>
      </c>
      <c r="BE10">
        <f t="shared" ca="1" si="6"/>
        <v>3430</v>
      </c>
      <c r="BF10">
        <f t="shared" ca="1" si="6"/>
        <v>4116</v>
      </c>
      <c r="BG10">
        <f t="shared" ca="1" si="7"/>
        <v>2917</v>
      </c>
      <c r="BH10">
        <f t="shared" ca="1" si="7"/>
        <v>2834</v>
      </c>
      <c r="BI10">
        <f t="shared" ca="1" si="7"/>
        <v>799</v>
      </c>
      <c r="BJ10">
        <f t="shared" ca="1" si="7"/>
        <v>2126</v>
      </c>
      <c r="BK10" s="7">
        <f ca="1">AVERAGE(AU10:AV33,AY10:AZ33,BC10:BF33)</f>
        <v>5006.369791666667</v>
      </c>
      <c r="BL10" s="7">
        <f ca="1">AVERAGE(AW10:AX33,BA10:BB33,BG10:BJ33)</f>
        <v>1767.7552083333333</v>
      </c>
    </row>
    <row r="11" spans="1:64" x14ac:dyDescent="0.25">
      <c r="A11">
        <v>10</v>
      </c>
      <c r="B11" t="s">
        <v>19</v>
      </c>
      <c r="C11">
        <f t="shared" si="8"/>
        <v>0</v>
      </c>
      <c r="D11">
        <v>3</v>
      </c>
      <c r="E11" t="s">
        <v>25</v>
      </c>
      <c r="F11" s="8" t="s">
        <v>41</v>
      </c>
      <c r="G11" s="5" t="s">
        <v>40</v>
      </c>
      <c r="H11" s="3" t="s">
        <v>32</v>
      </c>
      <c r="I11" s="4" t="s">
        <v>45</v>
      </c>
      <c r="J11" t="s">
        <v>20</v>
      </c>
      <c r="K11">
        <f t="shared" ca="1" si="0"/>
        <v>0</v>
      </c>
      <c r="L11">
        <f t="shared" ca="1" si="0"/>
        <v>1</v>
      </c>
      <c r="M11">
        <f t="shared" ca="1" si="0"/>
        <v>1</v>
      </c>
      <c r="N11">
        <f t="shared" ca="1" si="0"/>
        <v>1</v>
      </c>
      <c r="O11">
        <f t="shared" ca="1" si="0"/>
        <v>0</v>
      </c>
      <c r="P11">
        <f t="shared" ca="1" si="0"/>
        <v>1</v>
      </c>
      <c r="Q11">
        <f t="shared" ca="1" si="0"/>
        <v>1</v>
      </c>
      <c r="R11">
        <f t="shared" ca="1" si="0"/>
        <v>1</v>
      </c>
      <c r="S11" t="s">
        <v>17</v>
      </c>
      <c r="T11" t="s">
        <v>17</v>
      </c>
      <c r="U11" t="s">
        <v>17</v>
      </c>
      <c r="V11" t="s">
        <v>17</v>
      </c>
      <c r="W11" t="s">
        <v>17</v>
      </c>
      <c r="X11" t="s">
        <v>17</v>
      </c>
      <c r="Y11" t="s">
        <v>17</v>
      </c>
      <c r="Z11" t="s">
        <v>17</v>
      </c>
      <c r="AA11" t="s">
        <v>17</v>
      </c>
      <c r="AB11" t="s">
        <v>17</v>
      </c>
      <c r="AC11" t="s">
        <v>17</v>
      </c>
      <c r="AD11" t="s">
        <v>17</v>
      </c>
      <c r="AE11" t="s">
        <v>17</v>
      </c>
      <c r="AF11" t="s">
        <v>17</v>
      </c>
      <c r="AG11" t="s">
        <v>17</v>
      </c>
      <c r="AH11" t="s">
        <v>17</v>
      </c>
      <c r="AI11" t="s">
        <v>17</v>
      </c>
      <c r="AJ11" t="s">
        <v>17</v>
      </c>
      <c r="AK11" t="s">
        <v>17</v>
      </c>
      <c r="AL11" t="s">
        <v>17</v>
      </c>
      <c r="AM11" t="s">
        <v>17</v>
      </c>
      <c r="AN11" t="s">
        <v>17</v>
      </c>
      <c r="AO11" t="s">
        <v>17</v>
      </c>
      <c r="AP11" t="s">
        <v>17</v>
      </c>
      <c r="AQ11" s="1">
        <f t="shared" ca="1" si="1"/>
        <v>0.5</v>
      </c>
      <c r="AR11" s="1">
        <f t="shared" ca="1" si="9"/>
        <v>1</v>
      </c>
      <c r="AS11" s="1">
        <f t="shared" ca="1" si="10"/>
        <v>0.5</v>
      </c>
      <c r="AT11" s="1">
        <f t="shared" ca="1" si="11"/>
        <v>1</v>
      </c>
      <c r="AU11">
        <f t="shared" ca="1" si="2"/>
        <v>6128</v>
      </c>
      <c r="AV11">
        <f t="shared" ca="1" si="2"/>
        <v>7412</v>
      </c>
      <c r="AW11">
        <f t="shared" ca="1" si="3"/>
        <v>1544</v>
      </c>
      <c r="AX11">
        <f t="shared" ca="1" si="3"/>
        <v>2909</v>
      </c>
      <c r="AY11">
        <f t="shared" ca="1" si="4"/>
        <v>5150</v>
      </c>
      <c r="AZ11">
        <f t="shared" ca="1" si="4"/>
        <v>2887</v>
      </c>
      <c r="BA11">
        <f t="shared" ca="1" si="5"/>
        <v>2307</v>
      </c>
      <c r="BB11">
        <f t="shared" ca="1" si="5"/>
        <v>1874</v>
      </c>
      <c r="BC11">
        <f t="shared" ca="1" si="6"/>
        <v>7681</v>
      </c>
      <c r="BD11">
        <f t="shared" ca="1" si="6"/>
        <v>9777</v>
      </c>
      <c r="BE11">
        <f t="shared" ca="1" si="6"/>
        <v>4866</v>
      </c>
      <c r="BF11">
        <f t="shared" ca="1" si="6"/>
        <v>9799</v>
      </c>
      <c r="BG11">
        <f t="shared" ca="1" si="7"/>
        <v>1536</v>
      </c>
      <c r="BH11">
        <f t="shared" ca="1" si="7"/>
        <v>2145</v>
      </c>
      <c r="BI11">
        <f t="shared" ca="1" si="7"/>
        <v>1079</v>
      </c>
      <c r="BJ11">
        <f t="shared" ca="1" si="7"/>
        <v>687</v>
      </c>
      <c r="BK11" s="7">
        <f ca="1">AVERAGE(AU11:AV33,AY11:AZ33,BC11:BF33)</f>
        <v>5081.945652173913</v>
      </c>
      <c r="BL11" s="7">
        <f ca="1">AVERAGE(AW11:AX33,BA11:BB33,BG11:BJ33)</f>
        <v>1772.2445652173913</v>
      </c>
    </row>
    <row r="12" spans="1:64" x14ac:dyDescent="0.25">
      <c r="A12">
        <v>11</v>
      </c>
      <c r="B12" t="s">
        <v>18</v>
      </c>
      <c r="C12">
        <f t="shared" si="8"/>
        <v>1</v>
      </c>
      <c r="D12">
        <v>3</v>
      </c>
      <c r="E12" t="s">
        <v>25</v>
      </c>
      <c r="F12" s="2" t="s">
        <v>40</v>
      </c>
      <c r="G12" s="9" t="s">
        <v>41</v>
      </c>
      <c r="H12" s="3" t="s">
        <v>32</v>
      </c>
      <c r="I12" s="4" t="s">
        <v>45</v>
      </c>
      <c r="J12" t="s">
        <v>20</v>
      </c>
      <c r="K12">
        <f t="shared" ref="K12:R21" ca="1" si="12">RANDBETWEEN(0,1)</f>
        <v>0</v>
      </c>
      <c r="L12">
        <f t="shared" ca="1" si="12"/>
        <v>0</v>
      </c>
      <c r="M12">
        <f t="shared" ca="1" si="12"/>
        <v>0</v>
      </c>
      <c r="N12">
        <f t="shared" ca="1" si="12"/>
        <v>0</v>
      </c>
      <c r="O12">
        <f t="shared" ca="1" si="12"/>
        <v>0</v>
      </c>
      <c r="P12">
        <f t="shared" ca="1" si="12"/>
        <v>0</v>
      </c>
      <c r="Q12">
        <f t="shared" ca="1" si="12"/>
        <v>0</v>
      </c>
      <c r="R12">
        <f t="shared" ca="1" si="12"/>
        <v>0</v>
      </c>
      <c r="S12" t="s">
        <v>17</v>
      </c>
      <c r="T12" t="s">
        <v>17</v>
      </c>
      <c r="U12" t="s">
        <v>17</v>
      </c>
      <c r="V12" t="s">
        <v>17</v>
      </c>
      <c r="W12" t="s">
        <v>17</v>
      </c>
      <c r="X12" t="s">
        <v>17</v>
      </c>
      <c r="Y12" t="s">
        <v>17</v>
      </c>
      <c r="Z12" t="s">
        <v>17</v>
      </c>
      <c r="AA12" t="s">
        <v>17</v>
      </c>
      <c r="AB12" t="s">
        <v>17</v>
      </c>
      <c r="AC12" t="s">
        <v>17</v>
      </c>
      <c r="AD12" t="s">
        <v>17</v>
      </c>
      <c r="AE12" t="s">
        <v>17</v>
      </c>
      <c r="AF12" t="s">
        <v>17</v>
      </c>
      <c r="AG12" t="s">
        <v>17</v>
      </c>
      <c r="AH12" t="s">
        <v>17</v>
      </c>
      <c r="AI12" t="s">
        <v>17</v>
      </c>
      <c r="AJ12" t="s">
        <v>17</v>
      </c>
      <c r="AK12" t="s">
        <v>17</v>
      </c>
      <c r="AL12" t="s">
        <v>17</v>
      </c>
      <c r="AM12" t="s">
        <v>17</v>
      </c>
      <c r="AN12" t="s">
        <v>17</v>
      </c>
      <c r="AO12" t="s">
        <v>17</v>
      </c>
      <c r="AP12" t="s">
        <v>17</v>
      </c>
      <c r="AQ12" s="1">
        <f t="shared" ca="1" si="1"/>
        <v>0</v>
      </c>
      <c r="AR12" s="1">
        <f t="shared" ca="1" si="9"/>
        <v>0</v>
      </c>
      <c r="AS12" s="1">
        <f t="shared" ca="1" si="10"/>
        <v>0</v>
      </c>
      <c r="AT12" s="1">
        <f t="shared" ca="1" si="11"/>
        <v>0</v>
      </c>
      <c r="AU12">
        <f t="shared" ca="1" si="2"/>
        <v>5706</v>
      </c>
      <c r="AV12">
        <f t="shared" ca="1" si="2"/>
        <v>4463</v>
      </c>
      <c r="AW12">
        <f t="shared" ca="1" si="3"/>
        <v>2204</v>
      </c>
      <c r="AX12">
        <f t="shared" ca="1" si="3"/>
        <v>1807</v>
      </c>
      <c r="AY12">
        <f t="shared" ca="1" si="4"/>
        <v>6410</v>
      </c>
      <c r="AZ12">
        <f t="shared" ca="1" si="4"/>
        <v>5304</v>
      </c>
      <c r="BA12">
        <f t="shared" ca="1" si="5"/>
        <v>1068</v>
      </c>
      <c r="BB12">
        <f t="shared" ca="1" si="5"/>
        <v>593</v>
      </c>
      <c r="BC12">
        <f t="shared" ca="1" si="6"/>
        <v>2583</v>
      </c>
      <c r="BD12">
        <f t="shared" ca="1" si="6"/>
        <v>8345</v>
      </c>
      <c r="BE12">
        <f t="shared" ca="1" si="6"/>
        <v>912</v>
      </c>
      <c r="BF12">
        <f t="shared" ca="1" si="6"/>
        <v>2607</v>
      </c>
      <c r="BG12">
        <f t="shared" ca="1" si="7"/>
        <v>2411</v>
      </c>
      <c r="BH12">
        <f t="shared" ca="1" si="7"/>
        <v>867</v>
      </c>
      <c r="BI12">
        <f t="shared" ca="1" si="7"/>
        <v>745</v>
      </c>
      <c r="BJ12">
        <f t="shared" ca="1" si="7"/>
        <v>767</v>
      </c>
      <c r="BK12" s="7">
        <f ca="1">AVERAGE(AU12:AV33,AY12:AZ33,BC12:BF33)</f>
        <v>5007.829545454545</v>
      </c>
      <c r="BL12" s="7">
        <f ca="1">AVERAGE(AW12:AX33,BA12:BB33,BG12:BJ33)</f>
        <v>1772.7954545454545</v>
      </c>
    </row>
    <row r="13" spans="1:64" x14ac:dyDescent="0.25">
      <c r="A13">
        <v>12</v>
      </c>
      <c r="B13" t="s">
        <v>19</v>
      </c>
      <c r="C13">
        <f t="shared" si="8"/>
        <v>0</v>
      </c>
      <c r="D13">
        <v>3</v>
      </c>
      <c r="E13" t="s">
        <v>25</v>
      </c>
      <c r="F13" s="2" t="s">
        <v>40</v>
      </c>
      <c r="G13" s="9" t="s">
        <v>41</v>
      </c>
      <c r="H13" s="3" t="s">
        <v>32</v>
      </c>
      <c r="I13" s="4" t="s">
        <v>45</v>
      </c>
      <c r="J13" t="s">
        <v>20</v>
      </c>
      <c r="K13">
        <f t="shared" ca="1" si="12"/>
        <v>1</v>
      </c>
      <c r="L13">
        <f t="shared" ca="1" si="12"/>
        <v>0</v>
      </c>
      <c r="M13">
        <f t="shared" ca="1" si="12"/>
        <v>0</v>
      </c>
      <c r="N13">
        <f t="shared" ca="1" si="12"/>
        <v>0</v>
      </c>
      <c r="O13">
        <f t="shared" ca="1" si="12"/>
        <v>1</v>
      </c>
      <c r="P13">
        <f t="shared" ca="1" si="12"/>
        <v>0</v>
      </c>
      <c r="Q13">
        <f t="shared" ca="1" si="12"/>
        <v>1</v>
      </c>
      <c r="R13">
        <f t="shared" ca="1" si="12"/>
        <v>0</v>
      </c>
      <c r="S13" t="s">
        <v>17</v>
      </c>
      <c r="T13" t="s">
        <v>17</v>
      </c>
      <c r="U13" t="s">
        <v>17</v>
      </c>
      <c r="V13" t="s">
        <v>17</v>
      </c>
      <c r="W13" t="s">
        <v>17</v>
      </c>
      <c r="X13" t="s">
        <v>17</v>
      </c>
      <c r="Y13" t="s">
        <v>17</v>
      </c>
      <c r="Z13" t="s">
        <v>17</v>
      </c>
      <c r="AA13" t="s">
        <v>17</v>
      </c>
      <c r="AB13" t="s">
        <v>17</v>
      </c>
      <c r="AC13" t="s">
        <v>17</v>
      </c>
      <c r="AD13" t="s">
        <v>17</v>
      </c>
      <c r="AE13" t="s">
        <v>17</v>
      </c>
      <c r="AF13" t="s">
        <v>17</v>
      </c>
      <c r="AG13" t="s">
        <v>17</v>
      </c>
      <c r="AH13" t="s">
        <v>17</v>
      </c>
      <c r="AI13" t="s">
        <v>17</v>
      </c>
      <c r="AJ13" t="s">
        <v>17</v>
      </c>
      <c r="AK13" t="s">
        <v>17</v>
      </c>
      <c r="AL13" t="s">
        <v>17</v>
      </c>
      <c r="AM13" t="s">
        <v>17</v>
      </c>
      <c r="AN13" t="s">
        <v>17</v>
      </c>
      <c r="AO13" t="s">
        <v>17</v>
      </c>
      <c r="AP13" t="s">
        <v>17</v>
      </c>
      <c r="AQ13" s="1">
        <f t="shared" ca="1" si="1"/>
        <v>0.5</v>
      </c>
      <c r="AR13" s="1">
        <f t="shared" ca="1" si="9"/>
        <v>0</v>
      </c>
      <c r="AS13" s="1">
        <f t="shared" ca="1" si="10"/>
        <v>0.5</v>
      </c>
      <c r="AT13" s="1">
        <f t="shared" ca="1" si="11"/>
        <v>0.5</v>
      </c>
      <c r="AU13">
        <f t="shared" ca="1" si="2"/>
        <v>688</v>
      </c>
      <c r="AV13">
        <f t="shared" ca="1" si="2"/>
        <v>5770</v>
      </c>
      <c r="AW13">
        <f t="shared" ca="1" si="3"/>
        <v>2571</v>
      </c>
      <c r="AX13">
        <f t="shared" ca="1" si="3"/>
        <v>1214</v>
      </c>
      <c r="AY13">
        <f t="shared" ca="1" si="4"/>
        <v>2347</v>
      </c>
      <c r="AZ13">
        <f t="shared" ca="1" si="4"/>
        <v>2687</v>
      </c>
      <c r="BA13">
        <f t="shared" ca="1" si="5"/>
        <v>1934</v>
      </c>
      <c r="BB13">
        <f t="shared" ca="1" si="5"/>
        <v>2933</v>
      </c>
      <c r="BC13">
        <f t="shared" ca="1" si="6"/>
        <v>6037</v>
      </c>
      <c r="BD13">
        <f t="shared" ca="1" si="6"/>
        <v>1222</v>
      </c>
      <c r="BE13">
        <f t="shared" ca="1" si="6"/>
        <v>8756</v>
      </c>
      <c r="BF13">
        <f t="shared" ca="1" si="6"/>
        <v>4615</v>
      </c>
      <c r="BG13">
        <f t="shared" ca="1" si="7"/>
        <v>2422</v>
      </c>
      <c r="BH13">
        <f t="shared" ca="1" si="7"/>
        <v>1144</v>
      </c>
      <c r="BI13">
        <f t="shared" ca="1" si="7"/>
        <v>1899</v>
      </c>
      <c r="BJ13">
        <f t="shared" ca="1" si="7"/>
        <v>2089</v>
      </c>
      <c r="BK13" s="7">
        <f ca="1">AVERAGE(AU13:AV33,AY13:AZ33,BC13:BF33)</f>
        <v>5030.0476190476193</v>
      </c>
      <c r="BL13" s="7">
        <f ca="1">AVERAGE(AW13:AX33,BA13:BB33,BG13:BJ33)</f>
        <v>1794.9404761904761</v>
      </c>
    </row>
    <row r="14" spans="1:64" x14ac:dyDescent="0.25">
      <c r="A14">
        <v>13</v>
      </c>
      <c r="B14" t="s">
        <v>18</v>
      </c>
      <c r="C14">
        <f t="shared" si="8"/>
        <v>1</v>
      </c>
      <c r="D14">
        <v>4</v>
      </c>
      <c r="E14" t="s">
        <v>26</v>
      </c>
      <c r="F14" s="8" t="s">
        <v>42</v>
      </c>
      <c r="G14" s="5" t="s">
        <v>43</v>
      </c>
      <c r="H14" s="3" t="s">
        <v>31</v>
      </c>
      <c r="I14" s="4" t="s">
        <v>45</v>
      </c>
      <c r="J14" t="s">
        <v>20</v>
      </c>
      <c r="K14">
        <f t="shared" ca="1" si="12"/>
        <v>0</v>
      </c>
      <c r="L14">
        <f t="shared" ca="1" si="12"/>
        <v>1</v>
      </c>
      <c r="M14">
        <f t="shared" ca="1" si="12"/>
        <v>0</v>
      </c>
      <c r="N14">
        <f t="shared" ca="1" si="12"/>
        <v>1</v>
      </c>
      <c r="O14">
        <f t="shared" ca="1" si="12"/>
        <v>0</v>
      </c>
      <c r="P14">
        <f t="shared" ca="1" si="12"/>
        <v>1</v>
      </c>
      <c r="Q14">
        <f t="shared" ca="1" si="12"/>
        <v>0</v>
      </c>
      <c r="R14">
        <f t="shared" ca="1" si="12"/>
        <v>0</v>
      </c>
      <c r="S14" t="s">
        <v>17</v>
      </c>
      <c r="T14" t="s">
        <v>17</v>
      </c>
      <c r="U14" t="s">
        <v>17</v>
      </c>
      <c r="V14" t="s">
        <v>17</v>
      </c>
      <c r="W14" t="s">
        <v>17</v>
      </c>
      <c r="X14" t="s">
        <v>17</v>
      </c>
      <c r="Y14" t="s">
        <v>17</v>
      </c>
      <c r="Z14" t="s">
        <v>17</v>
      </c>
      <c r="AA14" t="s">
        <v>17</v>
      </c>
      <c r="AB14" t="s">
        <v>17</v>
      </c>
      <c r="AC14" t="s">
        <v>17</v>
      </c>
      <c r="AD14" t="s">
        <v>17</v>
      </c>
      <c r="AE14" t="s">
        <v>17</v>
      </c>
      <c r="AF14" t="s">
        <v>17</v>
      </c>
      <c r="AG14" t="s">
        <v>17</v>
      </c>
      <c r="AH14" t="s">
        <v>17</v>
      </c>
      <c r="AI14" t="s">
        <v>17</v>
      </c>
      <c r="AJ14" t="s">
        <v>17</v>
      </c>
      <c r="AK14" t="s">
        <v>17</v>
      </c>
      <c r="AL14" t="s">
        <v>17</v>
      </c>
      <c r="AM14" t="s">
        <v>17</v>
      </c>
      <c r="AN14" t="s">
        <v>17</v>
      </c>
      <c r="AO14" t="s">
        <v>17</v>
      </c>
      <c r="AP14" t="s">
        <v>17</v>
      </c>
      <c r="AQ14" s="1">
        <f t="shared" ca="1" si="1"/>
        <v>0.5</v>
      </c>
      <c r="AR14" s="1">
        <f t="shared" ca="1" si="9"/>
        <v>0.5</v>
      </c>
      <c r="AS14" s="1">
        <f t="shared" ca="1" si="10"/>
        <v>0.5</v>
      </c>
      <c r="AT14" s="1">
        <f t="shared" ca="1" si="11"/>
        <v>0</v>
      </c>
      <c r="AU14">
        <f t="shared" ca="1" si="2"/>
        <v>7679</v>
      </c>
      <c r="AV14">
        <f t="shared" ca="1" si="2"/>
        <v>9356</v>
      </c>
      <c r="AW14">
        <f t="shared" ca="1" si="3"/>
        <v>1561</v>
      </c>
      <c r="AX14">
        <f t="shared" ca="1" si="3"/>
        <v>2304</v>
      </c>
      <c r="AY14">
        <f t="shared" ca="1" si="4"/>
        <v>9698</v>
      </c>
      <c r="AZ14">
        <f t="shared" ca="1" si="4"/>
        <v>4535</v>
      </c>
      <c r="BA14">
        <f t="shared" ca="1" si="5"/>
        <v>2040</v>
      </c>
      <c r="BB14">
        <f t="shared" ca="1" si="5"/>
        <v>736</v>
      </c>
      <c r="BC14">
        <f t="shared" ca="1" si="6"/>
        <v>4195</v>
      </c>
      <c r="BD14">
        <f t="shared" ca="1" si="6"/>
        <v>9847</v>
      </c>
      <c r="BE14">
        <f t="shared" ca="1" si="6"/>
        <v>4756</v>
      </c>
      <c r="BF14">
        <f t="shared" ca="1" si="6"/>
        <v>8740</v>
      </c>
      <c r="BG14">
        <f t="shared" ca="1" si="7"/>
        <v>518</v>
      </c>
      <c r="BH14">
        <f t="shared" ca="1" si="7"/>
        <v>1346</v>
      </c>
      <c r="BI14">
        <f t="shared" ca="1" si="7"/>
        <v>2366</v>
      </c>
      <c r="BJ14">
        <f t="shared" ca="1" si="7"/>
        <v>2665</v>
      </c>
      <c r="BK14" s="7">
        <f ca="1">AVERAGE(AU14:AV33,AY14:AZ33,BC14:BF33)</f>
        <v>5080.7875000000004</v>
      </c>
      <c r="BL14" s="7">
        <f ca="1">AVERAGE(AW14:AX33,BA14:BB33,BG14:BJ33)</f>
        <v>1783.4</v>
      </c>
    </row>
    <row r="15" spans="1:64" x14ac:dyDescent="0.25">
      <c r="A15">
        <v>14</v>
      </c>
      <c r="B15" t="s">
        <v>19</v>
      </c>
      <c r="C15">
        <f t="shared" si="8"/>
        <v>0</v>
      </c>
      <c r="D15">
        <v>4</v>
      </c>
      <c r="E15" t="s">
        <v>26</v>
      </c>
      <c r="F15" s="8" t="s">
        <v>42</v>
      </c>
      <c r="G15" s="5" t="s">
        <v>43</v>
      </c>
      <c r="H15" s="3" t="s">
        <v>31</v>
      </c>
      <c r="I15" s="4" t="s">
        <v>45</v>
      </c>
      <c r="J15" t="s">
        <v>20</v>
      </c>
      <c r="K15">
        <f t="shared" ca="1" si="12"/>
        <v>1</v>
      </c>
      <c r="L15">
        <f t="shared" ca="1" si="12"/>
        <v>1</v>
      </c>
      <c r="M15">
        <f t="shared" ca="1" si="12"/>
        <v>1</v>
      </c>
      <c r="N15">
        <f t="shared" ca="1" si="12"/>
        <v>1</v>
      </c>
      <c r="O15">
        <f t="shared" ca="1" si="12"/>
        <v>0</v>
      </c>
      <c r="P15">
        <f t="shared" ca="1" si="12"/>
        <v>1</v>
      </c>
      <c r="Q15">
        <f t="shared" ca="1" si="12"/>
        <v>0</v>
      </c>
      <c r="R15">
        <f t="shared" ca="1" si="12"/>
        <v>0</v>
      </c>
      <c r="S15" t="s">
        <v>17</v>
      </c>
      <c r="T15" t="s">
        <v>17</v>
      </c>
      <c r="U15" t="s">
        <v>17</v>
      </c>
      <c r="V15" t="s">
        <v>17</v>
      </c>
      <c r="W15" t="s">
        <v>17</v>
      </c>
      <c r="X15" t="s">
        <v>17</v>
      </c>
      <c r="Y15" t="s">
        <v>17</v>
      </c>
      <c r="Z15" t="s">
        <v>17</v>
      </c>
      <c r="AA15" t="s">
        <v>17</v>
      </c>
      <c r="AB15" t="s">
        <v>17</v>
      </c>
      <c r="AC15" t="s">
        <v>17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s="1">
        <f t="shared" ca="1" si="1"/>
        <v>1</v>
      </c>
      <c r="AR15" s="1">
        <f t="shared" ca="1" si="9"/>
        <v>1</v>
      </c>
      <c r="AS15" s="1">
        <f t="shared" ca="1" si="10"/>
        <v>0.5</v>
      </c>
      <c r="AT15" s="1">
        <f t="shared" ca="1" si="11"/>
        <v>0</v>
      </c>
      <c r="AU15">
        <f t="shared" ca="1" si="2"/>
        <v>5366</v>
      </c>
      <c r="AV15">
        <f t="shared" ca="1" si="2"/>
        <v>2932</v>
      </c>
      <c r="AW15">
        <f t="shared" ca="1" si="3"/>
        <v>1243</v>
      </c>
      <c r="AX15">
        <f t="shared" ca="1" si="3"/>
        <v>2199</v>
      </c>
      <c r="AY15">
        <f t="shared" ca="1" si="4"/>
        <v>2623</v>
      </c>
      <c r="AZ15">
        <f t="shared" ca="1" si="4"/>
        <v>4190</v>
      </c>
      <c r="BA15">
        <f t="shared" ca="1" si="5"/>
        <v>913</v>
      </c>
      <c r="BB15">
        <f t="shared" ca="1" si="5"/>
        <v>2187</v>
      </c>
      <c r="BC15">
        <f t="shared" ca="1" si="6"/>
        <v>4059</v>
      </c>
      <c r="BD15">
        <f t="shared" ca="1" si="6"/>
        <v>1290</v>
      </c>
      <c r="BE15">
        <f t="shared" ca="1" si="6"/>
        <v>7523</v>
      </c>
      <c r="BF15">
        <f t="shared" ca="1" si="6"/>
        <v>2794</v>
      </c>
      <c r="BG15">
        <f t="shared" ca="1" si="7"/>
        <v>818</v>
      </c>
      <c r="BH15">
        <f t="shared" ca="1" si="7"/>
        <v>1955</v>
      </c>
      <c r="BI15">
        <f t="shared" ca="1" si="7"/>
        <v>554</v>
      </c>
      <c r="BJ15">
        <f t="shared" ca="1" si="7"/>
        <v>1644</v>
      </c>
      <c r="BK15" s="7">
        <f ca="1">AVERAGE(AU15:AV33,AY15:AZ33,BC15:BF33)</f>
        <v>4961.3157894736842</v>
      </c>
      <c r="BL15" s="7">
        <f ca="1">AVERAGE(AW15:AX33,BA15:BB33,BG15:BJ33)</f>
        <v>1788.2105263157894</v>
      </c>
    </row>
    <row r="16" spans="1:64" x14ac:dyDescent="0.25">
      <c r="A16">
        <v>15</v>
      </c>
      <c r="B16" t="s">
        <v>18</v>
      </c>
      <c r="C16">
        <f t="shared" si="8"/>
        <v>1</v>
      </c>
      <c r="D16">
        <v>4</v>
      </c>
      <c r="E16" t="s">
        <v>26</v>
      </c>
      <c r="F16" s="2" t="s">
        <v>43</v>
      </c>
      <c r="G16" s="9" t="s">
        <v>42</v>
      </c>
      <c r="H16" s="3" t="s">
        <v>31</v>
      </c>
      <c r="I16" s="4" t="s">
        <v>45</v>
      </c>
      <c r="J16" t="s">
        <v>20</v>
      </c>
      <c r="K16">
        <f t="shared" ca="1" si="12"/>
        <v>1</v>
      </c>
      <c r="L16">
        <f t="shared" ca="1" si="12"/>
        <v>1</v>
      </c>
      <c r="M16">
        <f t="shared" ca="1" si="12"/>
        <v>1</v>
      </c>
      <c r="N16">
        <f t="shared" ca="1" si="12"/>
        <v>0</v>
      </c>
      <c r="O16">
        <f t="shared" ca="1" si="12"/>
        <v>1</v>
      </c>
      <c r="P16">
        <f t="shared" ca="1" si="12"/>
        <v>1</v>
      </c>
      <c r="Q16">
        <f t="shared" ca="1" si="12"/>
        <v>0</v>
      </c>
      <c r="R16">
        <f t="shared" ca="1" si="12"/>
        <v>0</v>
      </c>
      <c r="S16" t="s">
        <v>17</v>
      </c>
      <c r="T16" t="s">
        <v>17</v>
      </c>
      <c r="U16" t="s">
        <v>17</v>
      </c>
      <c r="V16" t="s">
        <v>17</v>
      </c>
      <c r="W16" t="s">
        <v>17</v>
      </c>
      <c r="X16" t="s">
        <v>17</v>
      </c>
      <c r="Y16" t="s">
        <v>17</v>
      </c>
      <c r="Z16" t="s">
        <v>17</v>
      </c>
      <c r="AA16" t="s">
        <v>17</v>
      </c>
      <c r="AB16" t="s">
        <v>17</v>
      </c>
      <c r="AC16" t="s">
        <v>17</v>
      </c>
      <c r="AD16" t="s">
        <v>17</v>
      </c>
      <c r="AE16" t="s">
        <v>17</v>
      </c>
      <c r="AF16" t="s">
        <v>17</v>
      </c>
      <c r="AG16" t="s">
        <v>17</v>
      </c>
      <c r="AH16" t="s">
        <v>17</v>
      </c>
      <c r="AI16" t="s">
        <v>17</v>
      </c>
      <c r="AJ16" t="s">
        <v>17</v>
      </c>
      <c r="AK16" t="s">
        <v>17</v>
      </c>
      <c r="AL16" t="s">
        <v>17</v>
      </c>
      <c r="AM16" t="s">
        <v>17</v>
      </c>
      <c r="AN16" t="s">
        <v>17</v>
      </c>
      <c r="AO16" t="s">
        <v>17</v>
      </c>
      <c r="AP16" t="s">
        <v>17</v>
      </c>
      <c r="AQ16" s="1">
        <f t="shared" ca="1" si="1"/>
        <v>1</v>
      </c>
      <c r="AR16" s="1">
        <f t="shared" ca="1" si="9"/>
        <v>0.5</v>
      </c>
      <c r="AS16" s="1">
        <f t="shared" ca="1" si="10"/>
        <v>1</v>
      </c>
      <c r="AT16" s="1">
        <f t="shared" ca="1" si="11"/>
        <v>0</v>
      </c>
      <c r="AU16">
        <f t="shared" ca="1" si="2"/>
        <v>6329</v>
      </c>
      <c r="AV16">
        <f t="shared" ca="1" si="2"/>
        <v>9321</v>
      </c>
      <c r="AW16">
        <f t="shared" ca="1" si="3"/>
        <v>1216</v>
      </c>
      <c r="AX16">
        <f t="shared" ca="1" si="3"/>
        <v>1760</v>
      </c>
      <c r="AY16">
        <f t="shared" ca="1" si="4"/>
        <v>3760</v>
      </c>
      <c r="AZ16">
        <f t="shared" ca="1" si="4"/>
        <v>8127</v>
      </c>
      <c r="BA16">
        <f t="shared" ca="1" si="5"/>
        <v>1472</v>
      </c>
      <c r="BB16">
        <f t="shared" ca="1" si="5"/>
        <v>1443</v>
      </c>
      <c r="BC16">
        <f t="shared" ca="1" si="6"/>
        <v>3431</v>
      </c>
      <c r="BD16">
        <f t="shared" ca="1" si="6"/>
        <v>2089</v>
      </c>
      <c r="BE16">
        <f t="shared" ca="1" si="6"/>
        <v>1385</v>
      </c>
      <c r="BF16">
        <f t="shared" ca="1" si="6"/>
        <v>5005</v>
      </c>
      <c r="BG16">
        <f t="shared" ca="1" si="7"/>
        <v>765</v>
      </c>
      <c r="BH16">
        <f t="shared" ca="1" si="7"/>
        <v>2081</v>
      </c>
      <c r="BI16">
        <f t="shared" ca="1" si="7"/>
        <v>2385</v>
      </c>
      <c r="BJ16">
        <f t="shared" ca="1" si="7"/>
        <v>2453</v>
      </c>
      <c r="BK16" s="7">
        <f ca="1">AVERAGE(AU16:AV33,AY16:AZ33,BC16:BF33)</f>
        <v>5023.2152777777774</v>
      </c>
      <c r="BL16" s="7">
        <f ca="1">AVERAGE(AW16:AX33,BA16:BB33,BG16:BJ33)</f>
        <v>1807.6041666666667</v>
      </c>
    </row>
    <row r="17" spans="1:64" x14ac:dyDescent="0.25">
      <c r="A17">
        <v>16</v>
      </c>
      <c r="B17" t="s">
        <v>19</v>
      </c>
      <c r="C17">
        <f t="shared" si="8"/>
        <v>0</v>
      </c>
      <c r="D17">
        <v>4</v>
      </c>
      <c r="E17" t="s">
        <v>26</v>
      </c>
      <c r="F17" s="2" t="s">
        <v>43</v>
      </c>
      <c r="G17" s="9" t="s">
        <v>42</v>
      </c>
      <c r="H17" s="3" t="s">
        <v>31</v>
      </c>
      <c r="I17" s="4" t="s">
        <v>45</v>
      </c>
      <c r="J17" t="s">
        <v>20</v>
      </c>
      <c r="K17">
        <f t="shared" ca="1" si="12"/>
        <v>1</v>
      </c>
      <c r="L17">
        <f t="shared" ca="1" si="12"/>
        <v>0</v>
      </c>
      <c r="M17">
        <f t="shared" ca="1" si="12"/>
        <v>1</v>
      </c>
      <c r="N17">
        <f t="shared" ca="1" si="12"/>
        <v>1</v>
      </c>
      <c r="O17">
        <f t="shared" ca="1" si="12"/>
        <v>0</v>
      </c>
      <c r="P17">
        <f t="shared" ca="1" si="12"/>
        <v>0</v>
      </c>
      <c r="Q17">
        <f t="shared" ca="1" si="12"/>
        <v>1</v>
      </c>
      <c r="R17">
        <f t="shared" ca="1" si="12"/>
        <v>1</v>
      </c>
      <c r="S17" t="s">
        <v>17</v>
      </c>
      <c r="T17" t="s">
        <v>17</v>
      </c>
      <c r="U17" t="s">
        <v>17</v>
      </c>
      <c r="V17" t="s">
        <v>17</v>
      </c>
      <c r="W17" t="s">
        <v>17</v>
      </c>
      <c r="X17" t="s">
        <v>17</v>
      </c>
      <c r="Y17" t="s">
        <v>17</v>
      </c>
      <c r="Z17" t="s">
        <v>17</v>
      </c>
      <c r="AA17" t="s">
        <v>17</v>
      </c>
      <c r="AB17" t="s">
        <v>17</v>
      </c>
      <c r="AC17" t="s">
        <v>17</v>
      </c>
      <c r="AD17" t="s">
        <v>17</v>
      </c>
      <c r="AE17" t="s">
        <v>17</v>
      </c>
      <c r="AF17" t="s">
        <v>17</v>
      </c>
      <c r="AG17" t="s">
        <v>17</v>
      </c>
      <c r="AH17" t="s">
        <v>17</v>
      </c>
      <c r="AI17" t="s">
        <v>17</v>
      </c>
      <c r="AJ17" t="s">
        <v>17</v>
      </c>
      <c r="AK17" t="s">
        <v>17</v>
      </c>
      <c r="AL17" t="s">
        <v>17</v>
      </c>
      <c r="AM17" t="s">
        <v>17</v>
      </c>
      <c r="AN17" t="s">
        <v>17</v>
      </c>
      <c r="AO17" t="s">
        <v>17</v>
      </c>
      <c r="AP17" t="s">
        <v>17</v>
      </c>
      <c r="AQ17" s="1">
        <f t="shared" ca="1" si="1"/>
        <v>0.5</v>
      </c>
      <c r="AR17" s="1">
        <f t="shared" ca="1" si="9"/>
        <v>1</v>
      </c>
      <c r="AS17" s="1">
        <f t="shared" ca="1" si="10"/>
        <v>0</v>
      </c>
      <c r="AT17" s="1">
        <f t="shared" ca="1" si="11"/>
        <v>1</v>
      </c>
      <c r="AU17">
        <f t="shared" ca="1" si="2"/>
        <v>5453</v>
      </c>
      <c r="AV17">
        <f t="shared" ca="1" si="2"/>
        <v>8503</v>
      </c>
      <c r="AW17">
        <f t="shared" ca="1" si="3"/>
        <v>2978</v>
      </c>
      <c r="AX17">
        <f t="shared" ca="1" si="3"/>
        <v>538</v>
      </c>
      <c r="AY17">
        <f t="shared" ca="1" si="4"/>
        <v>9145</v>
      </c>
      <c r="AZ17">
        <f t="shared" ca="1" si="4"/>
        <v>5771</v>
      </c>
      <c r="BA17">
        <f t="shared" ca="1" si="5"/>
        <v>1069</v>
      </c>
      <c r="BB17">
        <f t="shared" ca="1" si="5"/>
        <v>2101</v>
      </c>
      <c r="BC17">
        <f t="shared" ca="1" si="6"/>
        <v>5436</v>
      </c>
      <c r="BD17">
        <f t="shared" ca="1" si="6"/>
        <v>8257</v>
      </c>
      <c r="BE17">
        <f t="shared" ca="1" si="6"/>
        <v>3271</v>
      </c>
      <c r="BF17">
        <f t="shared" ca="1" si="6"/>
        <v>2056</v>
      </c>
      <c r="BG17">
        <f t="shared" ca="1" si="7"/>
        <v>1901</v>
      </c>
      <c r="BH17">
        <f t="shared" ca="1" si="7"/>
        <v>855</v>
      </c>
      <c r="BI17">
        <f t="shared" ca="1" si="7"/>
        <v>2721</v>
      </c>
      <c r="BJ17">
        <f t="shared" ca="1" si="7"/>
        <v>2633</v>
      </c>
      <c r="BK17" s="7">
        <f ca="1">AVERAGE(AU17:AV33,AY17:AZ33,BC17:BF33)</f>
        <v>5028.6470588235297</v>
      </c>
      <c r="BL17" s="7">
        <f ca="1">AVERAGE(AW17:AX33,BA17:BB33,BG17:BJ33)</f>
        <v>1814.1176470588234</v>
      </c>
    </row>
    <row r="18" spans="1:64" x14ac:dyDescent="0.25">
      <c r="A18">
        <v>17</v>
      </c>
      <c r="B18" t="s">
        <v>18</v>
      </c>
      <c r="C18">
        <f t="shared" si="8"/>
        <v>1</v>
      </c>
      <c r="D18">
        <v>1</v>
      </c>
      <c r="E18" t="s">
        <v>23</v>
      </c>
      <c r="F18" s="2" t="s">
        <v>37</v>
      </c>
      <c r="G18" s="5" t="s">
        <v>36</v>
      </c>
      <c r="H18" s="3" t="s">
        <v>30</v>
      </c>
      <c r="I18" s="4" t="s">
        <v>45</v>
      </c>
      <c r="J18" t="s">
        <v>21</v>
      </c>
      <c r="K18">
        <f t="shared" ca="1" si="12"/>
        <v>0</v>
      </c>
      <c r="L18">
        <f t="shared" ca="1" si="12"/>
        <v>1</v>
      </c>
      <c r="M18">
        <f t="shared" ca="1" si="12"/>
        <v>1</v>
      </c>
      <c r="N18">
        <f t="shared" ca="1" si="12"/>
        <v>0</v>
      </c>
      <c r="O18">
        <f t="shared" ca="1" si="12"/>
        <v>1</v>
      </c>
      <c r="P18">
        <f t="shared" ca="1" si="12"/>
        <v>1</v>
      </c>
      <c r="Q18">
        <f t="shared" ca="1" si="12"/>
        <v>1</v>
      </c>
      <c r="R18">
        <f t="shared" ca="1" si="12"/>
        <v>0</v>
      </c>
      <c r="S18" t="s">
        <v>17</v>
      </c>
      <c r="T18" t="s">
        <v>17</v>
      </c>
      <c r="U18" t="s">
        <v>17</v>
      </c>
      <c r="V18" t="s">
        <v>17</v>
      </c>
      <c r="W18" t="s">
        <v>17</v>
      </c>
      <c r="X18" t="s">
        <v>17</v>
      </c>
      <c r="Y18" t="s">
        <v>17</v>
      </c>
      <c r="Z18" t="s">
        <v>17</v>
      </c>
      <c r="AA18" t="s">
        <v>17</v>
      </c>
      <c r="AB18" t="s">
        <v>17</v>
      </c>
      <c r="AC18" t="s">
        <v>17</v>
      </c>
      <c r="AD18" t="s">
        <v>17</v>
      </c>
      <c r="AE18" t="s">
        <v>17</v>
      </c>
      <c r="AF18" t="s">
        <v>17</v>
      </c>
      <c r="AG18" t="s">
        <v>17</v>
      </c>
      <c r="AH18" t="s">
        <v>17</v>
      </c>
      <c r="AI18" t="s">
        <v>17</v>
      </c>
      <c r="AJ18" t="s">
        <v>17</v>
      </c>
      <c r="AK18" t="s">
        <v>17</v>
      </c>
      <c r="AL18" t="s">
        <v>17</v>
      </c>
      <c r="AM18" t="s">
        <v>17</v>
      </c>
      <c r="AN18" t="s">
        <v>17</v>
      </c>
      <c r="AO18" t="s">
        <v>17</v>
      </c>
      <c r="AP18" t="s">
        <v>17</v>
      </c>
      <c r="AQ18" s="1">
        <f t="shared" ca="1" si="1"/>
        <v>0.5</v>
      </c>
      <c r="AR18" s="1">
        <f t="shared" ca="1" si="9"/>
        <v>0.5</v>
      </c>
      <c r="AS18" s="1">
        <f t="shared" ca="1" si="10"/>
        <v>1</v>
      </c>
      <c r="AT18" s="1">
        <f t="shared" ca="1" si="11"/>
        <v>0.5</v>
      </c>
      <c r="AU18">
        <f t="shared" ca="1" si="2"/>
        <v>9351</v>
      </c>
      <c r="AV18">
        <f t="shared" ca="1" si="2"/>
        <v>5519</v>
      </c>
      <c r="AW18">
        <f t="shared" ca="1" si="3"/>
        <v>2048</v>
      </c>
      <c r="AX18">
        <f t="shared" ca="1" si="3"/>
        <v>2659</v>
      </c>
      <c r="AY18">
        <f t="shared" ca="1" si="4"/>
        <v>6975</v>
      </c>
      <c r="AZ18">
        <f t="shared" ca="1" si="4"/>
        <v>3459</v>
      </c>
      <c r="BA18">
        <f t="shared" ca="1" si="5"/>
        <v>1145</v>
      </c>
      <c r="BB18">
        <f t="shared" ca="1" si="5"/>
        <v>2606</v>
      </c>
      <c r="BC18">
        <f t="shared" ca="1" si="6"/>
        <v>1499</v>
      </c>
      <c r="BD18">
        <f t="shared" ca="1" si="6"/>
        <v>6911</v>
      </c>
      <c r="BE18">
        <f t="shared" ca="1" si="6"/>
        <v>4864</v>
      </c>
      <c r="BF18">
        <f t="shared" ca="1" si="6"/>
        <v>2757</v>
      </c>
      <c r="BG18">
        <f t="shared" ca="1" si="7"/>
        <v>1347</v>
      </c>
      <c r="BH18">
        <f t="shared" ca="1" si="7"/>
        <v>1197</v>
      </c>
      <c r="BI18">
        <f t="shared" ca="1" si="7"/>
        <v>1006</v>
      </c>
      <c r="BJ18">
        <f t="shared" ca="1" si="7"/>
        <v>2665</v>
      </c>
      <c r="BK18" s="7">
        <f ca="1">AVERAGE(AU18:AV33,AY18:AZ33,BC18:BF33)</f>
        <v>4968.78125</v>
      </c>
      <c r="BL18" s="7">
        <f ca="1">AVERAGE(AW18:AX33,BA18:BB33,BG18:BJ33)</f>
        <v>1811.90625</v>
      </c>
    </row>
    <row r="19" spans="1:64" x14ac:dyDescent="0.25">
      <c r="A19">
        <v>18</v>
      </c>
      <c r="B19" t="s">
        <v>19</v>
      </c>
      <c r="C19">
        <f t="shared" si="8"/>
        <v>0</v>
      </c>
      <c r="D19">
        <v>1</v>
      </c>
      <c r="E19" t="s">
        <v>23</v>
      </c>
      <c r="F19" s="2" t="s">
        <v>37</v>
      </c>
      <c r="G19" s="5" t="s">
        <v>36</v>
      </c>
      <c r="H19" s="3" t="s">
        <v>30</v>
      </c>
      <c r="I19" s="4" t="s">
        <v>45</v>
      </c>
      <c r="J19" t="s">
        <v>21</v>
      </c>
      <c r="K19">
        <f t="shared" ca="1" si="12"/>
        <v>1</v>
      </c>
      <c r="L19">
        <f t="shared" ca="1" si="12"/>
        <v>0</v>
      </c>
      <c r="M19">
        <f t="shared" ca="1" si="12"/>
        <v>1</v>
      </c>
      <c r="N19">
        <f t="shared" ca="1" si="12"/>
        <v>1</v>
      </c>
      <c r="O19">
        <f t="shared" ca="1" si="12"/>
        <v>0</v>
      </c>
      <c r="P19">
        <f t="shared" ca="1" si="12"/>
        <v>1</v>
      </c>
      <c r="Q19">
        <f t="shared" ca="1" si="12"/>
        <v>0</v>
      </c>
      <c r="R19">
        <f t="shared" ca="1" si="12"/>
        <v>1</v>
      </c>
      <c r="S19" t="s">
        <v>17</v>
      </c>
      <c r="T19" t="s">
        <v>17</v>
      </c>
      <c r="U19" t="s">
        <v>17</v>
      </c>
      <c r="V19" t="s">
        <v>17</v>
      </c>
      <c r="W19" t="s">
        <v>17</v>
      </c>
      <c r="X19" t="s">
        <v>17</v>
      </c>
      <c r="Y19" t="s">
        <v>17</v>
      </c>
      <c r="Z19" t="s">
        <v>17</v>
      </c>
      <c r="AA19" t="s">
        <v>17</v>
      </c>
      <c r="AB19" t="s">
        <v>17</v>
      </c>
      <c r="AC19" t="s">
        <v>17</v>
      </c>
      <c r="AD19" t="s">
        <v>17</v>
      </c>
      <c r="AE19" t="s">
        <v>17</v>
      </c>
      <c r="AF19" t="s">
        <v>17</v>
      </c>
      <c r="AG19" t="s">
        <v>17</v>
      </c>
      <c r="AH19" t="s">
        <v>17</v>
      </c>
      <c r="AI19" t="s">
        <v>17</v>
      </c>
      <c r="AJ19" t="s">
        <v>17</v>
      </c>
      <c r="AK19" t="s">
        <v>17</v>
      </c>
      <c r="AL19" t="s">
        <v>17</v>
      </c>
      <c r="AM19" t="s">
        <v>17</v>
      </c>
      <c r="AN19" t="s">
        <v>17</v>
      </c>
      <c r="AO19" t="s">
        <v>17</v>
      </c>
      <c r="AP19" t="s">
        <v>17</v>
      </c>
      <c r="AQ19" s="1">
        <f t="shared" ca="1" si="1"/>
        <v>0.5</v>
      </c>
      <c r="AR19" s="1">
        <f t="shared" ca="1" si="9"/>
        <v>1</v>
      </c>
      <c r="AS19" s="1">
        <f t="shared" ca="1" si="10"/>
        <v>0.5</v>
      </c>
      <c r="AT19" s="1">
        <f t="shared" ca="1" si="11"/>
        <v>0.5</v>
      </c>
      <c r="AU19">
        <f t="shared" ca="1" si="2"/>
        <v>754</v>
      </c>
      <c r="AV19">
        <f t="shared" ca="1" si="2"/>
        <v>3839</v>
      </c>
      <c r="AW19">
        <f t="shared" ca="1" si="3"/>
        <v>2220</v>
      </c>
      <c r="AX19">
        <f t="shared" ca="1" si="3"/>
        <v>727</v>
      </c>
      <c r="AY19">
        <f t="shared" ca="1" si="4"/>
        <v>5811</v>
      </c>
      <c r="AZ19">
        <f t="shared" ca="1" si="4"/>
        <v>3934</v>
      </c>
      <c r="BA19">
        <f t="shared" ca="1" si="5"/>
        <v>1025</v>
      </c>
      <c r="BB19">
        <f t="shared" ca="1" si="5"/>
        <v>2958</v>
      </c>
      <c r="BC19">
        <f t="shared" ca="1" si="6"/>
        <v>3327</v>
      </c>
      <c r="BD19">
        <f t="shared" ca="1" si="6"/>
        <v>1556</v>
      </c>
      <c r="BE19">
        <f t="shared" ca="1" si="6"/>
        <v>5785</v>
      </c>
      <c r="BF19">
        <f t="shared" ca="1" si="6"/>
        <v>4596</v>
      </c>
      <c r="BG19">
        <f t="shared" ca="1" si="7"/>
        <v>2887</v>
      </c>
      <c r="BH19">
        <f t="shared" ca="1" si="7"/>
        <v>2693</v>
      </c>
      <c r="BI19">
        <f t="shared" ca="1" si="7"/>
        <v>2084</v>
      </c>
      <c r="BJ19">
        <f t="shared" ca="1" si="7"/>
        <v>2689</v>
      </c>
      <c r="BK19" s="7">
        <f ca="1">AVERAGE(AU19:AV33,AY19:AZ33,BC19:BF33)</f>
        <v>4955.5749999999998</v>
      </c>
      <c r="BL19" s="7">
        <f ca="1">AVERAGE(AW19:AX33,BA19:BB33,BG19:BJ33)</f>
        <v>1810.425</v>
      </c>
    </row>
    <row r="20" spans="1:64" x14ac:dyDescent="0.25">
      <c r="A20">
        <v>19</v>
      </c>
      <c r="B20" t="s">
        <v>18</v>
      </c>
      <c r="C20">
        <f t="shared" si="8"/>
        <v>1</v>
      </c>
      <c r="D20">
        <v>1</v>
      </c>
      <c r="E20" t="s">
        <v>23</v>
      </c>
      <c r="F20" s="2" t="s">
        <v>36</v>
      </c>
      <c r="G20" s="5" t="s">
        <v>37</v>
      </c>
      <c r="H20" s="3" t="s">
        <v>30</v>
      </c>
      <c r="I20" s="4" t="s">
        <v>45</v>
      </c>
      <c r="J20" t="s">
        <v>21</v>
      </c>
      <c r="K20">
        <f t="shared" ca="1" si="12"/>
        <v>1</v>
      </c>
      <c r="L20">
        <f t="shared" ca="1" si="12"/>
        <v>0</v>
      </c>
      <c r="M20">
        <f t="shared" ca="1" si="12"/>
        <v>1</v>
      </c>
      <c r="N20">
        <f t="shared" ca="1" si="12"/>
        <v>0</v>
      </c>
      <c r="O20">
        <f t="shared" ca="1" si="12"/>
        <v>0</v>
      </c>
      <c r="P20">
        <f t="shared" ca="1" si="12"/>
        <v>1</v>
      </c>
      <c r="Q20">
        <f t="shared" ca="1" si="12"/>
        <v>1</v>
      </c>
      <c r="R20">
        <f t="shared" ca="1" si="12"/>
        <v>0</v>
      </c>
      <c r="S20" t="s">
        <v>17</v>
      </c>
      <c r="T20" t="s">
        <v>17</v>
      </c>
      <c r="U20" t="s">
        <v>17</v>
      </c>
      <c r="V20" t="s">
        <v>17</v>
      </c>
      <c r="W20" t="s">
        <v>17</v>
      </c>
      <c r="X20" t="s">
        <v>17</v>
      </c>
      <c r="Y20" t="s">
        <v>17</v>
      </c>
      <c r="Z20" t="s">
        <v>17</v>
      </c>
      <c r="AA20" t="s">
        <v>17</v>
      </c>
      <c r="AB20" t="s">
        <v>17</v>
      </c>
      <c r="AC20" t="s">
        <v>17</v>
      </c>
      <c r="AD20" t="s">
        <v>17</v>
      </c>
      <c r="AE20" t="s">
        <v>17</v>
      </c>
      <c r="AF20" t="s">
        <v>17</v>
      </c>
      <c r="AG20" t="s">
        <v>17</v>
      </c>
      <c r="AH20" t="s">
        <v>17</v>
      </c>
      <c r="AI20" t="s">
        <v>17</v>
      </c>
      <c r="AJ20" t="s">
        <v>17</v>
      </c>
      <c r="AK20" t="s">
        <v>17</v>
      </c>
      <c r="AL20" t="s">
        <v>17</v>
      </c>
      <c r="AM20" t="s">
        <v>17</v>
      </c>
      <c r="AN20" t="s">
        <v>17</v>
      </c>
      <c r="AO20" t="s">
        <v>17</v>
      </c>
      <c r="AP20" t="s">
        <v>17</v>
      </c>
      <c r="AQ20" s="1">
        <f t="shared" ca="1" si="1"/>
        <v>0.5</v>
      </c>
      <c r="AR20" s="1">
        <f t="shared" ca="1" si="9"/>
        <v>0.5</v>
      </c>
      <c r="AS20" s="1">
        <f t="shared" ca="1" si="10"/>
        <v>0.5</v>
      </c>
      <c r="AT20" s="1">
        <f t="shared" ca="1" si="11"/>
        <v>0.5</v>
      </c>
      <c r="AU20">
        <f t="shared" ca="1" si="2"/>
        <v>2286</v>
      </c>
      <c r="AV20">
        <f t="shared" ca="1" si="2"/>
        <v>6110</v>
      </c>
      <c r="AW20">
        <f t="shared" ca="1" si="3"/>
        <v>2164</v>
      </c>
      <c r="AX20">
        <f t="shared" ca="1" si="3"/>
        <v>1174</v>
      </c>
      <c r="AY20">
        <f t="shared" ca="1" si="4"/>
        <v>6028</v>
      </c>
      <c r="AZ20">
        <f t="shared" ca="1" si="4"/>
        <v>5413</v>
      </c>
      <c r="BA20">
        <f t="shared" ca="1" si="5"/>
        <v>2179</v>
      </c>
      <c r="BB20">
        <f t="shared" ca="1" si="5"/>
        <v>958</v>
      </c>
      <c r="BC20">
        <f t="shared" ca="1" si="6"/>
        <v>7668</v>
      </c>
      <c r="BD20">
        <f t="shared" ca="1" si="6"/>
        <v>7654</v>
      </c>
      <c r="BE20">
        <f t="shared" ca="1" si="6"/>
        <v>1358</v>
      </c>
      <c r="BF20">
        <f t="shared" ca="1" si="6"/>
        <v>3341</v>
      </c>
      <c r="BG20">
        <f t="shared" ca="1" si="7"/>
        <v>1486</v>
      </c>
      <c r="BH20">
        <f t="shared" ca="1" si="7"/>
        <v>1933</v>
      </c>
      <c r="BI20">
        <f t="shared" ca="1" si="7"/>
        <v>1862</v>
      </c>
      <c r="BJ20">
        <f t="shared" ca="1" si="7"/>
        <v>966</v>
      </c>
      <c r="BK20" s="7">
        <f ca="1">AVERAGE(AU20:AV33,AY20:AZ33,BC20:BF33)</f>
        <v>5045.2410714285716</v>
      </c>
      <c r="BL20" s="7">
        <f ca="1">AVERAGE(AW20:AX33,BA20:BB33,BG20:BJ33)</f>
        <v>1785.4285714285713</v>
      </c>
    </row>
    <row r="21" spans="1:64" x14ac:dyDescent="0.25">
      <c r="A21">
        <v>20</v>
      </c>
      <c r="B21" t="s">
        <v>19</v>
      </c>
      <c r="C21">
        <f t="shared" si="8"/>
        <v>0</v>
      </c>
      <c r="D21">
        <v>1</v>
      </c>
      <c r="E21" t="s">
        <v>23</v>
      </c>
      <c r="F21" s="2" t="s">
        <v>36</v>
      </c>
      <c r="G21" s="5" t="s">
        <v>37</v>
      </c>
      <c r="H21" s="3" t="s">
        <v>30</v>
      </c>
      <c r="I21" s="4" t="s">
        <v>45</v>
      </c>
      <c r="J21" t="s">
        <v>21</v>
      </c>
      <c r="K21">
        <f t="shared" ca="1" si="12"/>
        <v>1</v>
      </c>
      <c r="L21">
        <f t="shared" ca="1" si="12"/>
        <v>1</v>
      </c>
      <c r="M21">
        <f t="shared" ca="1" si="12"/>
        <v>1</v>
      </c>
      <c r="N21">
        <f t="shared" ca="1" si="12"/>
        <v>1</v>
      </c>
      <c r="O21">
        <f t="shared" ca="1" si="12"/>
        <v>1</v>
      </c>
      <c r="P21">
        <f t="shared" ca="1" si="12"/>
        <v>0</v>
      </c>
      <c r="Q21">
        <f t="shared" ca="1" si="12"/>
        <v>0</v>
      </c>
      <c r="R21">
        <f t="shared" ca="1" si="12"/>
        <v>0</v>
      </c>
      <c r="S21" t="s">
        <v>17</v>
      </c>
      <c r="T21" t="s">
        <v>17</v>
      </c>
      <c r="U21" t="s">
        <v>17</v>
      </c>
      <c r="V21" t="s">
        <v>17</v>
      </c>
      <c r="W21" t="s">
        <v>17</v>
      </c>
      <c r="X21" t="s">
        <v>17</v>
      </c>
      <c r="Y21" t="s">
        <v>17</v>
      </c>
      <c r="Z21" t="s">
        <v>17</v>
      </c>
      <c r="AA21" t="s">
        <v>17</v>
      </c>
      <c r="AB21" t="s">
        <v>17</v>
      </c>
      <c r="AC21" t="s">
        <v>17</v>
      </c>
      <c r="AD21" t="s">
        <v>17</v>
      </c>
      <c r="AE21" t="s">
        <v>17</v>
      </c>
      <c r="AF21" t="s">
        <v>17</v>
      </c>
      <c r="AG21" t="s">
        <v>17</v>
      </c>
      <c r="AH21" t="s">
        <v>17</v>
      </c>
      <c r="AI21" t="s">
        <v>17</v>
      </c>
      <c r="AJ21" t="s">
        <v>17</v>
      </c>
      <c r="AK21" t="s">
        <v>17</v>
      </c>
      <c r="AL21" t="s">
        <v>17</v>
      </c>
      <c r="AM21" t="s">
        <v>17</v>
      </c>
      <c r="AN21" t="s">
        <v>17</v>
      </c>
      <c r="AO21" t="s">
        <v>17</v>
      </c>
      <c r="AP21" t="s">
        <v>17</v>
      </c>
      <c r="AQ21" s="1">
        <f t="shared" ca="1" si="1"/>
        <v>1</v>
      </c>
      <c r="AR21" s="1">
        <f t="shared" ca="1" si="9"/>
        <v>1</v>
      </c>
      <c r="AS21" s="1">
        <f t="shared" ca="1" si="10"/>
        <v>0.5</v>
      </c>
      <c r="AT21" s="1">
        <f t="shared" ca="1" si="11"/>
        <v>0</v>
      </c>
      <c r="AU21">
        <f t="shared" ca="1" si="2"/>
        <v>2930</v>
      </c>
      <c r="AV21">
        <f t="shared" ca="1" si="2"/>
        <v>4333</v>
      </c>
      <c r="AW21">
        <f t="shared" ca="1" si="3"/>
        <v>1441</v>
      </c>
      <c r="AX21">
        <f t="shared" ca="1" si="3"/>
        <v>835</v>
      </c>
      <c r="AY21">
        <f t="shared" ca="1" si="4"/>
        <v>7080</v>
      </c>
      <c r="AZ21">
        <f t="shared" ca="1" si="4"/>
        <v>4943</v>
      </c>
      <c r="BA21">
        <f t="shared" ca="1" si="5"/>
        <v>2124</v>
      </c>
      <c r="BB21">
        <f t="shared" ca="1" si="5"/>
        <v>1363</v>
      </c>
      <c r="BC21">
        <f t="shared" ca="1" si="6"/>
        <v>9379</v>
      </c>
      <c r="BD21">
        <f t="shared" ca="1" si="6"/>
        <v>4893</v>
      </c>
      <c r="BE21">
        <f t="shared" ca="1" si="6"/>
        <v>7729</v>
      </c>
      <c r="BF21">
        <f t="shared" ca="1" si="6"/>
        <v>5521</v>
      </c>
      <c r="BG21">
        <f t="shared" ca="1" si="7"/>
        <v>2171</v>
      </c>
      <c r="BH21">
        <f t="shared" ca="1" si="7"/>
        <v>2489</v>
      </c>
      <c r="BI21">
        <f t="shared" ca="1" si="7"/>
        <v>1814</v>
      </c>
      <c r="BJ21">
        <f t="shared" ca="1" si="7"/>
        <v>2921</v>
      </c>
      <c r="BK21" s="7">
        <f ca="1">AVERAGE(AU21:AV33,AY21:AZ33,BC21:BF33)</f>
        <v>5050.0865384615381</v>
      </c>
      <c r="BL21" s="7">
        <f ca="1">AVERAGE(AW21:AX33,BA21:BB33,BG21:BJ33)</f>
        <v>1800.4423076923076</v>
      </c>
    </row>
    <row r="22" spans="1:64" x14ac:dyDescent="0.25">
      <c r="A22">
        <v>21</v>
      </c>
      <c r="B22" t="s">
        <v>18</v>
      </c>
      <c r="C22">
        <f t="shared" si="8"/>
        <v>1</v>
      </c>
      <c r="D22">
        <v>2</v>
      </c>
      <c r="E22" t="s">
        <v>24</v>
      </c>
      <c r="F22" s="2" t="s">
        <v>39</v>
      </c>
      <c r="G22" s="5" t="s">
        <v>38</v>
      </c>
      <c r="H22" s="3" t="s">
        <v>28</v>
      </c>
      <c r="I22" s="4" t="s">
        <v>45</v>
      </c>
      <c r="J22" t="s">
        <v>21</v>
      </c>
      <c r="K22">
        <f t="shared" ref="K22:R33" ca="1" si="13">RANDBETWEEN(0,1)</f>
        <v>1</v>
      </c>
      <c r="L22">
        <f t="shared" ca="1" si="13"/>
        <v>1</v>
      </c>
      <c r="M22">
        <f t="shared" ca="1" si="13"/>
        <v>1</v>
      </c>
      <c r="N22">
        <f t="shared" ca="1" si="13"/>
        <v>0</v>
      </c>
      <c r="O22">
        <f t="shared" ca="1" si="13"/>
        <v>0</v>
      </c>
      <c r="P22">
        <f t="shared" ca="1" si="13"/>
        <v>1</v>
      </c>
      <c r="Q22">
        <f t="shared" ca="1" si="13"/>
        <v>0</v>
      </c>
      <c r="R22">
        <f t="shared" ca="1" si="13"/>
        <v>1</v>
      </c>
      <c r="S22" t="s">
        <v>17</v>
      </c>
      <c r="T22" t="s">
        <v>17</v>
      </c>
      <c r="U22" t="s">
        <v>17</v>
      </c>
      <c r="V22" t="s">
        <v>17</v>
      </c>
      <c r="W22" t="s">
        <v>17</v>
      </c>
      <c r="X22" t="s">
        <v>17</v>
      </c>
      <c r="Y22" t="s">
        <v>17</v>
      </c>
      <c r="Z22" t="s">
        <v>17</v>
      </c>
      <c r="AA22" t="s">
        <v>17</v>
      </c>
      <c r="AB22" t="s">
        <v>17</v>
      </c>
      <c r="AC22" t="s">
        <v>17</v>
      </c>
      <c r="AD22" t="s">
        <v>17</v>
      </c>
      <c r="AE22" t="s">
        <v>17</v>
      </c>
      <c r="AF22" t="s">
        <v>17</v>
      </c>
      <c r="AG22" t="s">
        <v>17</v>
      </c>
      <c r="AH22" t="s">
        <v>17</v>
      </c>
      <c r="AI22" t="s">
        <v>17</v>
      </c>
      <c r="AJ22" t="s">
        <v>17</v>
      </c>
      <c r="AK22" t="s">
        <v>17</v>
      </c>
      <c r="AL22" t="s">
        <v>17</v>
      </c>
      <c r="AM22" t="s">
        <v>17</v>
      </c>
      <c r="AN22" t="s">
        <v>17</v>
      </c>
      <c r="AO22" t="s">
        <v>17</v>
      </c>
      <c r="AP22" t="s">
        <v>17</v>
      </c>
      <c r="AQ22" s="1">
        <f t="shared" ca="1" si="1"/>
        <v>1</v>
      </c>
      <c r="AR22" s="1">
        <f t="shared" ca="1" si="9"/>
        <v>0.5</v>
      </c>
      <c r="AS22" s="1">
        <f t="shared" ca="1" si="10"/>
        <v>0.5</v>
      </c>
      <c r="AT22" s="1">
        <f t="shared" ca="1" si="11"/>
        <v>0.5</v>
      </c>
      <c r="AU22">
        <f t="shared" ca="1" si="2"/>
        <v>6920</v>
      </c>
      <c r="AV22">
        <f t="shared" ca="1" si="2"/>
        <v>2106</v>
      </c>
      <c r="AW22">
        <f t="shared" ca="1" si="3"/>
        <v>1772</v>
      </c>
      <c r="AX22">
        <f t="shared" ca="1" si="3"/>
        <v>1318</v>
      </c>
      <c r="AY22">
        <f t="shared" ca="1" si="4"/>
        <v>1814</v>
      </c>
      <c r="AZ22">
        <f t="shared" ca="1" si="4"/>
        <v>4331</v>
      </c>
      <c r="BA22">
        <f t="shared" ca="1" si="5"/>
        <v>1316</v>
      </c>
      <c r="BB22">
        <f t="shared" ca="1" si="5"/>
        <v>1544</v>
      </c>
      <c r="BC22">
        <f t="shared" ca="1" si="6"/>
        <v>1827</v>
      </c>
      <c r="BD22">
        <f t="shared" ca="1" si="6"/>
        <v>5139</v>
      </c>
      <c r="BE22">
        <f t="shared" ca="1" si="6"/>
        <v>7630</v>
      </c>
      <c r="BF22">
        <f t="shared" ca="1" si="6"/>
        <v>7460</v>
      </c>
      <c r="BG22">
        <f t="shared" ca="1" si="7"/>
        <v>2879</v>
      </c>
      <c r="BH22">
        <f t="shared" ca="1" si="7"/>
        <v>675</v>
      </c>
      <c r="BI22">
        <f t="shared" ca="1" si="7"/>
        <v>2940</v>
      </c>
      <c r="BJ22">
        <f t="shared" ca="1" si="7"/>
        <v>2880</v>
      </c>
      <c r="BK22" s="7">
        <f ca="1">AVERAGE(AU22:AV33,AY22:AZ33,BC22:BF33)</f>
        <v>4983.34375</v>
      </c>
      <c r="BL22" s="7">
        <f ca="1">AVERAGE(AW22:AX33,BA22:BB33,BG22:BJ33)</f>
        <v>1792.5833333333333</v>
      </c>
    </row>
    <row r="23" spans="1:64" x14ac:dyDescent="0.25">
      <c r="A23">
        <v>22</v>
      </c>
      <c r="B23" t="s">
        <v>19</v>
      </c>
      <c r="C23">
        <f t="shared" si="8"/>
        <v>0</v>
      </c>
      <c r="D23">
        <v>2</v>
      </c>
      <c r="E23" t="s">
        <v>24</v>
      </c>
      <c r="F23" s="2" t="s">
        <v>39</v>
      </c>
      <c r="G23" s="5" t="s">
        <v>38</v>
      </c>
      <c r="H23" s="3" t="s">
        <v>28</v>
      </c>
      <c r="I23" s="4" t="s">
        <v>45</v>
      </c>
      <c r="J23" t="s">
        <v>21</v>
      </c>
      <c r="K23">
        <f t="shared" ca="1" si="13"/>
        <v>0</v>
      </c>
      <c r="L23">
        <f t="shared" ca="1" si="13"/>
        <v>1</v>
      </c>
      <c r="M23">
        <f t="shared" ca="1" si="13"/>
        <v>1</v>
      </c>
      <c r="N23">
        <f t="shared" ca="1" si="13"/>
        <v>1</v>
      </c>
      <c r="O23">
        <f t="shared" ca="1" si="13"/>
        <v>1</v>
      </c>
      <c r="P23">
        <f t="shared" ca="1" si="13"/>
        <v>0</v>
      </c>
      <c r="Q23">
        <f t="shared" ca="1" si="13"/>
        <v>1</v>
      </c>
      <c r="R23">
        <f t="shared" ca="1" si="13"/>
        <v>1</v>
      </c>
      <c r="S23" t="s">
        <v>17</v>
      </c>
      <c r="T23" t="s">
        <v>17</v>
      </c>
      <c r="U23" t="s">
        <v>17</v>
      </c>
      <c r="V23" t="s">
        <v>17</v>
      </c>
      <c r="W23" t="s">
        <v>17</v>
      </c>
      <c r="X23" t="s">
        <v>17</v>
      </c>
      <c r="Y23" t="s">
        <v>17</v>
      </c>
      <c r="Z23" t="s">
        <v>17</v>
      </c>
      <c r="AA23" t="s">
        <v>17</v>
      </c>
      <c r="AB23" t="s">
        <v>17</v>
      </c>
      <c r="AC23" t="s">
        <v>17</v>
      </c>
      <c r="AD23" t="s">
        <v>17</v>
      </c>
      <c r="AE23" t="s">
        <v>17</v>
      </c>
      <c r="AF23" t="s">
        <v>17</v>
      </c>
      <c r="AG23" t="s">
        <v>17</v>
      </c>
      <c r="AH23" t="s">
        <v>17</v>
      </c>
      <c r="AI23" t="s">
        <v>17</v>
      </c>
      <c r="AJ23" t="s">
        <v>17</v>
      </c>
      <c r="AK23" t="s">
        <v>17</v>
      </c>
      <c r="AL23" t="s">
        <v>17</v>
      </c>
      <c r="AM23" t="s">
        <v>17</v>
      </c>
      <c r="AN23" t="s">
        <v>17</v>
      </c>
      <c r="AO23" t="s">
        <v>17</v>
      </c>
      <c r="AP23" t="s">
        <v>17</v>
      </c>
      <c r="AQ23" s="1">
        <f t="shared" ca="1" si="1"/>
        <v>0.5</v>
      </c>
      <c r="AR23" s="1">
        <f t="shared" ca="1" si="9"/>
        <v>1</v>
      </c>
      <c r="AS23" s="1">
        <f t="shared" ca="1" si="10"/>
        <v>0.5</v>
      </c>
      <c r="AT23" s="1">
        <f t="shared" ca="1" si="11"/>
        <v>1</v>
      </c>
      <c r="AU23">
        <f t="shared" ca="1" si="2"/>
        <v>7658</v>
      </c>
      <c r="AV23">
        <f t="shared" ca="1" si="2"/>
        <v>1110</v>
      </c>
      <c r="AW23">
        <f t="shared" ca="1" si="3"/>
        <v>1364</v>
      </c>
      <c r="AX23">
        <f t="shared" ca="1" si="3"/>
        <v>2770</v>
      </c>
      <c r="AY23">
        <f t="shared" ca="1" si="4"/>
        <v>7799</v>
      </c>
      <c r="AZ23">
        <f t="shared" ca="1" si="4"/>
        <v>3743</v>
      </c>
      <c r="BA23">
        <f t="shared" ca="1" si="5"/>
        <v>2076</v>
      </c>
      <c r="BB23">
        <f t="shared" ca="1" si="5"/>
        <v>1190</v>
      </c>
      <c r="BC23">
        <f t="shared" ca="1" si="6"/>
        <v>3670</v>
      </c>
      <c r="BD23">
        <f t="shared" ca="1" si="6"/>
        <v>6453</v>
      </c>
      <c r="BE23">
        <f t="shared" ca="1" si="6"/>
        <v>8829</v>
      </c>
      <c r="BF23">
        <f t="shared" ca="1" si="6"/>
        <v>1731</v>
      </c>
      <c r="BG23">
        <f t="shared" ca="1" si="7"/>
        <v>2050</v>
      </c>
      <c r="BH23">
        <f t="shared" ca="1" si="7"/>
        <v>1087</v>
      </c>
      <c r="BI23">
        <f t="shared" ca="1" si="7"/>
        <v>1403</v>
      </c>
      <c r="BJ23">
        <f t="shared" ca="1" si="7"/>
        <v>881</v>
      </c>
      <c r="BK23" s="7">
        <f ca="1">AVERAGE(AU23:AV33,AY23:AZ33,BC23:BF33)</f>
        <v>5013.340909090909</v>
      </c>
      <c r="BL23" s="7">
        <f ca="1">AVERAGE(AW23:AX33,BA23:BB33,BG23:BJ33)</f>
        <v>1781.409090909091</v>
      </c>
    </row>
    <row r="24" spans="1:64" x14ac:dyDescent="0.25">
      <c r="A24">
        <v>23</v>
      </c>
      <c r="B24" t="s">
        <v>18</v>
      </c>
      <c r="C24">
        <f t="shared" si="8"/>
        <v>1</v>
      </c>
      <c r="D24">
        <v>2</v>
      </c>
      <c r="E24" t="s">
        <v>24</v>
      </c>
      <c r="F24" s="2" t="s">
        <v>38</v>
      </c>
      <c r="G24" s="5" t="s">
        <v>39</v>
      </c>
      <c r="H24" s="3" t="s">
        <v>28</v>
      </c>
      <c r="I24" s="4" t="s">
        <v>45</v>
      </c>
      <c r="J24" t="s">
        <v>21</v>
      </c>
      <c r="K24">
        <f t="shared" ca="1" si="13"/>
        <v>1</v>
      </c>
      <c r="L24">
        <f t="shared" ca="1" si="13"/>
        <v>1</v>
      </c>
      <c r="M24">
        <f t="shared" ca="1" si="13"/>
        <v>1</v>
      </c>
      <c r="N24">
        <f t="shared" ca="1" si="13"/>
        <v>0</v>
      </c>
      <c r="O24">
        <f t="shared" ca="1" si="13"/>
        <v>1</v>
      </c>
      <c r="P24">
        <f t="shared" ca="1" si="13"/>
        <v>0</v>
      </c>
      <c r="Q24">
        <f t="shared" ca="1" si="13"/>
        <v>0</v>
      </c>
      <c r="R24">
        <f t="shared" ca="1" si="13"/>
        <v>1</v>
      </c>
      <c r="S24" t="s">
        <v>17</v>
      </c>
      <c r="T24" t="s">
        <v>17</v>
      </c>
      <c r="U24" t="s">
        <v>17</v>
      </c>
      <c r="V24" t="s">
        <v>17</v>
      </c>
      <c r="W24" t="s">
        <v>17</v>
      </c>
      <c r="X24" t="s">
        <v>17</v>
      </c>
      <c r="Y24" t="s">
        <v>17</v>
      </c>
      <c r="Z24" t="s">
        <v>17</v>
      </c>
      <c r="AA24" t="s">
        <v>17</v>
      </c>
      <c r="AB24" t="s">
        <v>17</v>
      </c>
      <c r="AC24" t="s">
        <v>17</v>
      </c>
      <c r="AD24" t="s">
        <v>17</v>
      </c>
      <c r="AE24" t="s">
        <v>17</v>
      </c>
      <c r="AF24" t="s">
        <v>17</v>
      </c>
      <c r="AG24" t="s">
        <v>17</v>
      </c>
      <c r="AH24" t="s">
        <v>17</v>
      </c>
      <c r="AI24" t="s">
        <v>17</v>
      </c>
      <c r="AJ24" t="s">
        <v>17</v>
      </c>
      <c r="AK24" t="s">
        <v>17</v>
      </c>
      <c r="AL24" t="s">
        <v>17</v>
      </c>
      <c r="AM24" t="s">
        <v>17</v>
      </c>
      <c r="AN24" t="s">
        <v>17</v>
      </c>
      <c r="AO24" t="s">
        <v>17</v>
      </c>
      <c r="AP24" t="s">
        <v>17</v>
      </c>
      <c r="AQ24" s="1">
        <f t="shared" ca="1" si="1"/>
        <v>1</v>
      </c>
      <c r="AR24" s="1">
        <f t="shared" ca="1" si="9"/>
        <v>0.5</v>
      </c>
      <c r="AS24" s="1">
        <f t="shared" ca="1" si="10"/>
        <v>0.5</v>
      </c>
      <c r="AT24" s="1">
        <f t="shared" ca="1" si="11"/>
        <v>0.5</v>
      </c>
      <c r="AU24">
        <f t="shared" ca="1" si="2"/>
        <v>3572</v>
      </c>
      <c r="AV24">
        <f t="shared" ca="1" si="2"/>
        <v>5519</v>
      </c>
      <c r="AW24">
        <f t="shared" ca="1" si="3"/>
        <v>804</v>
      </c>
      <c r="AX24">
        <f t="shared" ca="1" si="3"/>
        <v>2081</v>
      </c>
      <c r="AY24">
        <f t="shared" ca="1" si="4"/>
        <v>7030</v>
      </c>
      <c r="AZ24">
        <f t="shared" ca="1" si="4"/>
        <v>3703</v>
      </c>
      <c r="BA24">
        <f t="shared" ca="1" si="5"/>
        <v>2801</v>
      </c>
      <c r="BB24">
        <f t="shared" ca="1" si="5"/>
        <v>790</v>
      </c>
      <c r="BC24">
        <f t="shared" ca="1" si="6"/>
        <v>2784</v>
      </c>
      <c r="BD24">
        <f t="shared" ca="1" si="6"/>
        <v>4929</v>
      </c>
      <c r="BE24">
        <f t="shared" ca="1" si="6"/>
        <v>1421</v>
      </c>
      <c r="BF24">
        <f t="shared" ca="1" si="6"/>
        <v>8036</v>
      </c>
      <c r="BG24">
        <f t="shared" ca="1" si="7"/>
        <v>1310</v>
      </c>
      <c r="BH24">
        <f t="shared" ca="1" si="7"/>
        <v>1922</v>
      </c>
      <c r="BI24">
        <f t="shared" ca="1" si="7"/>
        <v>1644</v>
      </c>
      <c r="BJ24">
        <f t="shared" ca="1" si="7"/>
        <v>794</v>
      </c>
      <c r="BK24" s="7">
        <f ca="1">AVERAGE(AU24:AV33,AY24:AZ33,BC24:BF33)</f>
        <v>5002.2624999999998</v>
      </c>
      <c r="BL24" s="7">
        <f ca="1">AVERAGE(AW24:AX33,BA24:BB33,BG24:BJ33)</f>
        <v>1799.2874999999999</v>
      </c>
    </row>
    <row r="25" spans="1:64" x14ac:dyDescent="0.25">
      <c r="A25">
        <v>24</v>
      </c>
      <c r="B25" t="s">
        <v>19</v>
      </c>
      <c r="C25">
        <f t="shared" si="8"/>
        <v>0</v>
      </c>
      <c r="D25">
        <v>2</v>
      </c>
      <c r="E25" t="s">
        <v>24</v>
      </c>
      <c r="F25" s="2" t="s">
        <v>38</v>
      </c>
      <c r="G25" s="5" t="s">
        <v>39</v>
      </c>
      <c r="H25" s="3" t="s">
        <v>28</v>
      </c>
      <c r="I25" s="4" t="s">
        <v>45</v>
      </c>
      <c r="J25" t="s">
        <v>21</v>
      </c>
      <c r="K25">
        <f t="shared" ca="1" si="13"/>
        <v>1</v>
      </c>
      <c r="L25">
        <f t="shared" ca="1" si="13"/>
        <v>0</v>
      </c>
      <c r="M25">
        <f t="shared" ca="1" si="13"/>
        <v>0</v>
      </c>
      <c r="N25">
        <f t="shared" ca="1" si="13"/>
        <v>0</v>
      </c>
      <c r="O25">
        <f t="shared" ca="1" si="13"/>
        <v>1</v>
      </c>
      <c r="P25">
        <f t="shared" ca="1" si="13"/>
        <v>0</v>
      </c>
      <c r="Q25">
        <f t="shared" ca="1" si="13"/>
        <v>0</v>
      </c>
      <c r="R25">
        <f t="shared" ca="1" si="13"/>
        <v>1</v>
      </c>
      <c r="S25" t="s">
        <v>17</v>
      </c>
      <c r="T25" t="s">
        <v>17</v>
      </c>
      <c r="U25" t="s">
        <v>17</v>
      </c>
      <c r="V25" t="s">
        <v>17</v>
      </c>
      <c r="W25" t="s">
        <v>17</v>
      </c>
      <c r="X25" t="s">
        <v>17</v>
      </c>
      <c r="Y25" t="s">
        <v>17</v>
      </c>
      <c r="Z25" t="s">
        <v>17</v>
      </c>
      <c r="AA25" t="s">
        <v>17</v>
      </c>
      <c r="AB25" t="s">
        <v>17</v>
      </c>
      <c r="AC25" t="s">
        <v>17</v>
      </c>
      <c r="AD25" t="s">
        <v>17</v>
      </c>
      <c r="AE25" t="s">
        <v>17</v>
      </c>
      <c r="AF25" t="s">
        <v>17</v>
      </c>
      <c r="AG25" t="s">
        <v>17</v>
      </c>
      <c r="AH25" t="s">
        <v>17</v>
      </c>
      <c r="AI25" t="s">
        <v>17</v>
      </c>
      <c r="AJ25" t="s">
        <v>17</v>
      </c>
      <c r="AK25" t="s">
        <v>17</v>
      </c>
      <c r="AL25" t="s">
        <v>17</v>
      </c>
      <c r="AM25" t="s">
        <v>17</v>
      </c>
      <c r="AN25" t="s">
        <v>17</v>
      </c>
      <c r="AO25" t="s">
        <v>17</v>
      </c>
      <c r="AP25" t="s">
        <v>17</v>
      </c>
      <c r="AQ25" s="1">
        <f t="shared" ca="1" si="1"/>
        <v>0.5</v>
      </c>
      <c r="AR25" s="1">
        <f t="shared" ca="1" si="9"/>
        <v>0</v>
      </c>
      <c r="AS25" s="1">
        <f t="shared" ca="1" si="10"/>
        <v>0.5</v>
      </c>
      <c r="AT25" s="1">
        <f t="shared" ca="1" si="11"/>
        <v>0.5</v>
      </c>
      <c r="AU25">
        <f t="shared" ca="1" si="2"/>
        <v>8323</v>
      </c>
      <c r="AV25">
        <f t="shared" ca="1" si="2"/>
        <v>6554</v>
      </c>
      <c r="AW25">
        <f t="shared" ca="1" si="3"/>
        <v>1244</v>
      </c>
      <c r="AX25">
        <f t="shared" ca="1" si="3"/>
        <v>2327</v>
      </c>
      <c r="AY25">
        <f t="shared" ca="1" si="4"/>
        <v>3375</v>
      </c>
      <c r="AZ25">
        <f t="shared" ca="1" si="4"/>
        <v>9713</v>
      </c>
      <c r="BA25">
        <f t="shared" ca="1" si="5"/>
        <v>2357</v>
      </c>
      <c r="BB25">
        <f t="shared" ca="1" si="5"/>
        <v>581</v>
      </c>
      <c r="BC25">
        <f t="shared" ca="1" si="6"/>
        <v>8669</v>
      </c>
      <c r="BD25">
        <f t="shared" ca="1" si="6"/>
        <v>5551</v>
      </c>
      <c r="BE25">
        <f t="shared" ca="1" si="6"/>
        <v>6662</v>
      </c>
      <c r="BF25">
        <f t="shared" ca="1" si="6"/>
        <v>8927</v>
      </c>
      <c r="BG25">
        <f t="shared" ca="1" si="7"/>
        <v>2730</v>
      </c>
      <c r="BH25">
        <f t="shared" ca="1" si="7"/>
        <v>919</v>
      </c>
      <c r="BI25">
        <f t="shared" ca="1" si="7"/>
        <v>1232</v>
      </c>
      <c r="BJ25">
        <f t="shared" ca="1" si="7"/>
        <v>1853</v>
      </c>
      <c r="BK25" s="7">
        <f ca="1">AVERAGE(AU25:AV33,AY25:AZ33,BC25:BF33)</f>
        <v>5044.2638888888887</v>
      </c>
      <c r="BL25" s="7">
        <f ca="1">AVERAGE(AW25:AX33,BA25:BB33,BG25:BJ33)</f>
        <v>1830.5138888888889</v>
      </c>
    </row>
    <row r="26" spans="1:64" x14ac:dyDescent="0.25">
      <c r="A26">
        <v>25</v>
      </c>
      <c r="B26" t="s">
        <v>18</v>
      </c>
      <c r="C26">
        <f t="shared" si="8"/>
        <v>1</v>
      </c>
      <c r="D26">
        <v>3</v>
      </c>
      <c r="E26" t="s">
        <v>25</v>
      </c>
      <c r="F26" s="2" t="s">
        <v>41</v>
      </c>
      <c r="G26" s="5" t="s">
        <v>40</v>
      </c>
      <c r="H26" s="3" t="s">
        <v>32</v>
      </c>
      <c r="I26" s="4" t="s">
        <v>45</v>
      </c>
      <c r="J26" t="s">
        <v>21</v>
      </c>
      <c r="K26">
        <f t="shared" ca="1" si="13"/>
        <v>1</v>
      </c>
      <c r="L26">
        <f t="shared" ca="1" si="13"/>
        <v>1</v>
      </c>
      <c r="M26">
        <f t="shared" ca="1" si="13"/>
        <v>1</v>
      </c>
      <c r="N26">
        <f t="shared" ca="1" si="13"/>
        <v>1</v>
      </c>
      <c r="O26">
        <f t="shared" ca="1" si="13"/>
        <v>0</v>
      </c>
      <c r="P26">
        <f t="shared" ca="1" si="13"/>
        <v>0</v>
      </c>
      <c r="Q26">
        <f t="shared" ca="1" si="13"/>
        <v>1</v>
      </c>
      <c r="R26">
        <f t="shared" ca="1" si="13"/>
        <v>1</v>
      </c>
      <c r="S26" t="s">
        <v>17</v>
      </c>
      <c r="T26" t="s">
        <v>17</v>
      </c>
      <c r="U26" t="s">
        <v>17</v>
      </c>
      <c r="V26" t="s">
        <v>17</v>
      </c>
      <c r="W26" t="s">
        <v>17</v>
      </c>
      <c r="X26" t="s">
        <v>17</v>
      </c>
      <c r="Y26" t="s">
        <v>17</v>
      </c>
      <c r="Z26" t="s">
        <v>17</v>
      </c>
      <c r="AA26" t="s">
        <v>17</v>
      </c>
      <c r="AB26" t="s">
        <v>17</v>
      </c>
      <c r="AC26" t="s">
        <v>17</v>
      </c>
      <c r="AD26" t="s">
        <v>17</v>
      </c>
      <c r="AE26" t="s">
        <v>17</v>
      </c>
      <c r="AF26" t="s">
        <v>17</v>
      </c>
      <c r="AG26" t="s">
        <v>17</v>
      </c>
      <c r="AH26" t="s">
        <v>17</v>
      </c>
      <c r="AI26" t="s">
        <v>17</v>
      </c>
      <c r="AJ26" t="s">
        <v>17</v>
      </c>
      <c r="AK26" t="s">
        <v>17</v>
      </c>
      <c r="AL26" t="s">
        <v>17</v>
      </c>
      <c r="AM26" t="s">
        <v>17</v>
      </c>
      <c r="AN26" t="s">
        <v>17</v>
      </c>
      <c r="AO26" t="s">
        <v>17</v>
      </c>
      <c r="AP26" t="s">
        <v>17</v>
      </c>
      <c r="AQ26" s="1">
        <f t="shared" ca="1" si="1"/>
        <v>1</v>
      </c>
      <c r="AR26" s="1">
        <f t="shared" ca="1" si="9"/>
        <v>1</v>
      </c>
      <c r="AS26" s="1">
        <f t="shared" ca="1" si="10"/>
        <v>0</v>
      </c>
      <c r="AT26" s="1">
        <f t="shared" ca="1" si="11"/>
        <v>1</v>
      </c>
      <c r="AU26">
        <f t="shared" ca="1" si="2"/>
        <v>1946</v>
      </c>
      <c r="AV26">
        <f t="shared" ca="1" si="2"/>
        <v>9475</v>
      </c>
      <c r="AW26">
        <f t="shared" ca="1" si="3"/>
        <v>2366</v>
      </c>
      <c r="AX26">
        <f t="shared" ca="1" si="3"/>
        <v>2448</v>
      </c>
      <c r="AY26">
        <f t="shared" ca="1" si="4"/>
        <v>2225</v>
      </c>
      <c r="AZ26">
        <f t="shared" ca="1" si="4"/>
        <v>5635</v>
      </c>
      <c r="BA26">
        <f t="shared" ca="1" si="5"/>
        <v>1580</v>
      </c>
      <c r="BB26">
        <f t="shared" ca="1" si="5"/>
        <v>1077</v>
      </c>
      <c r="BC26">
        <f t="shared" ca="1" si="6"/>
        <v>8134</v>
      </c>
      <c r="BD26">
        <f t="shared" ca="1" si="6"/>
        <v>9299</v>
      </c>
      <c r="BE26">
        <f t="shared" ca="1" si="6"/>
        <v>6215</v>
      </c>
      <c r="BF26">
        <f t="shared" ca="1" si="6"/>
        <v>5089</v>
      </c>
      <c r="BG26">
        <f t="shared" ca="1" si="7"/>
        <v>1863</v>
      </c>
      <c r="BH26">
        <f t="shared" ca="1" si="7"/>
        <v>1241</v>
      </c>
      <c r="BI26">
        <f t="shared" ca="1" si="7"/>
        <v>2369</v>
      </c>
      <c r="BJ26">
        <f t="shared" ca="1" si="7"/>
        <v>2589</v>
      </c>
      <c r="BK26" s="7">
        <f ca="1">AVERAGE(AU26:AV33,AY26:AZ33,BC26:BF33)</f>
        <v>4772.078125</v>
      </c>
      <c r="BL26" s="7">
        <f ca="1">AVERAGE(AW26:AX33,BA26:BB33,BG26:BJ33)</f>
        <v>1852.40625</v>
      </c>
    </row>
    <row r="27" spans="1:64" x14ac:dyDescent="0.25">
      <c r="A27">
        <v>26</v>
      </c>
      <c r="B27" t="s">
        <v>19</v>
      </c>
      <c r="C27">
        <f t="shared" si="8"/>
        <v>0</v>
      </c>
      <c r="D27">
        <v>3</v>
      </c>
      <c r="E27" t="s">
        <v>25</v>
      </c>
      <c r="F27" s="2" t="s">
        <v>41</v>
      </c>
      <c r="G27" s="5" t="s">
        <v>40</v>
      </c>
      <c r="H27" s="3" t="s">
        <v>32</v>
      </c>
      <c r="I27" s="4" t="s">
        <v>45</v>
      </c>
      <c r="J27" t="s">
        <v>21</v>
      </c>
      <c r="K27">
        <f t="shared" ca="1" si="13"/>
        <v>0</v>
      </c>
      <c r="L27">
        <f t="shared" ca="1" si="13"/>
        <v>0</v>
      </c>
      <c r="M27">
        <f t="shared" ca="1" si="13"/>
        <v>0</v>
      </c>
      <c r="N27">
        <f t="shared" ca="1" si="13"/>
        <v>1</v>
      </c>
      <c r="O27">
        <f t="shared" ca="1" si="13"/>
        <v>1</v>
      </c>
      <c r="P27">
        <f t="shared" ca="1" si="13"/>
        <v>1</v>
      </c>
      <c r="Q27">
        <f t="shared" ca="1" si="13"/>
        <v>1</v>
      </c>
      <c r="R27">
        <f t="shared" ca="1" si="13"/>
        <v>1</v>
      </c>
      <c r="S27" t="s">
        <v>17</v>
      </c>
      <c r="T27" t="s">
        <v>17</v>
      </c>
      <c r="U27" t="s">
        <v>17</v>
      </c>
      <c r="V27" t="s">
        <v>17</v>
      </c>
      <c r="W27" t="s">
        <v>17</v>
      </c>
      <c r="X27" t="s">
        <v>17</v>
      </c>
      <c r="Y27" t="s">
        <v>17</v>
      </c>
      <c r="Z27" t="s">
        <v>17</v>
      </c>
      <c r="AA27" t="s">
        <v>17</v>
      </c>
      <c r="AB27" t="s">
        <v>17</v>
      </c>
      <c r="AC27" t="s">
        <v>17</v>
      </c>
      <c r="AD27" t="s">
        <v>17</v>
      </c>
      <c r="AE27" t="s">
        <v>17</v>
      </c>
      <c r="AF27" t="s">
        <v>17</v>
      </c>
      <c r="AG27" t="s">
        <v>17</v>
      </c>
      <c r="AH27" t="s">
        <v>17</v>
      </c>
      <c r="AI27" t="s">
        <v>17</v>
      </c>
      <c r="AJ27" t="s">
        <v>17</v>
      </c>
      <c r="AK27" t="s">
        <v>17</v>
      </c>
      <c r="AL27" t="s">
        <v>17</v>
      </c>
      <c r="AM27" t="s">
        <v>17</v>
      </c>
      <c r="AN27" t="s">
        <v>17</v>
      </c>
      <c r="AO27" t="s">
        <v>17</v>
      </c>
      <c r="AP27" t="s">
        <v>17</v>
      </c>
      <c r="AQ27" s="1">
        <f t="shared" ca="1" si="1"/>
        <v>0</v>
      </c>
      <c r="AR27" s="1">
        <f t="shared" ca="1" si="9"/>
        <v>0.5</v>
      </c>
      <c r="AS27" s="1">
        <f t="shared" ca="1" si="10"/>
        <v>1</v>
      </c>
      <c r="AT27" s="1">
        <f t="shared" ca="1" si="11"/>
        <v>1</v>
      </c>
      <c r="AU27">
        <f t="shared" ca="1" si="2"/>
        <v>5215</v>
      </c>
      <c r="AV27">
        <f t="shared" ca="1" si="2"/>
        <v>3124</v>
      </c>
      <c r="AW27">
        <f t="shared" ca="1" si="3"/>
        <v>2243</v>
      </c>
      <c r="AX27">
        <f t="shared" ca="1" si="3"/>
        <v>2057</v>
      </c>
      <c r="AY27">
        <f t="shared" ca="1" si="4"/>
        <v>2805</v>
      </c>
      <c r="AZ27">
        <f t="shared" ca="1" si="4"/>
        <v>4209</v>
      </c>
      <c r="BA27">
        <f t="shared" ca="1" si="5"/>
        <v>2945</v>
      </c>
      <c r="BB27">
        <f t="shared" ca="1" si="5"/>
        <v>749</v>
      </c>
      <c r="BC27">
        <f t="shared" ca="1" si="6"/>
        <v>620</v>
      </c>
      <c r="BD27">
        <f t="shared" ca="1" si="6"/>
        <v>4989</v>
      </c>
      <c r="BE27">
        <f t="shared" ca="1" si="6"/>
        <v>1222</v>
      </c>
      <c r="BF27">
        <f t="shared" ca="1" si="6"/>
        <v>2752</v>
      </c>
      <c r="BG27">
        <f t="shared" ca="1" si="7"/>
        <v>1745</v>
      </c>
      <c r="BH27">
        <f t="shared" ca="1" si="7"/>
        <v>2308</v>
      </c>
      <c r="BI27">
        <f t="shared" ca="1" si="7"/>
        <v>1587</v>
      </c>
      <c r="BJ27">
        <f t="shared" ca="1" si="7"/>
        <v>1010</v>
      </c>
      <c r="BK27" s="7">
        <f ca="1">AVERAGE(AU27:AV33,AY27:AZ33,BC27:BF33)</f>
        <v>4596.3392857142853</v>
      </c>
      <c r="BL27" s="7">
        <f ca="1">AVERAGE(AW27:AX33,BA27:BB33,BG27:BJ33)</f>
        <v>1839.6607142857142</v>
      </c>
    </row>
    <row r="28" spans="1:64" x14ac:dyDescent="0.25">
      <c r="A28">
        <v>27</v>
      </c>
      <c r="B28" t="s">
        <v>18</v>
      </c>
      <c r="C28">
        <f t="shared" si="8"/>
        <v>1</v>
      </c>
      <c r="D28">
        <v>3</v>
      </c>
      <c r="E28" t="s">
        <v>25</v>
      </c>
      <c r="F28" s="2" t="s">
        <v>40</v>
      </c>
      <c r="G28" s="5" t="s">
        <v>41</v>
      </c>
      <c r="H28" s="3" t="s">
        <v>32</v>
      </c>
      <c r="I28" s="4" t="s">
        <v>45</v>
      </c>
      <c r="J28" t="s">
        <v>21</v>
      </c>
      <c r="K28">
        <f t="shared" ca="1" si="13"/>
        <v>1</v>
      </c>
      <c r="L28">
        <f t="shared" ca="1" si="13"/>
        <v>0</v>
      </c>
      <c r="M28">
        <f t="shared" ca="1" si="13"/>
        <v>0</v>
      </c>
      <c r="N28">
        <f t="shared" ca="1" si="13"/>
        <v>0</v>
      </c>
      <c r="O28">
        <f t="shared" ca="1" si="13"/>
        <v>1</v>
      </c>
      <c r="P28">
        <f t="shared" ca="1" si="13"/>
        <v>1</v>
      </c>
      <c r="Q28">
        <f t="shared" ca="1" si="13"/>
        <v>1</v>
      </c>
      <c r="R28">
        <f t="shared" ca="1" si="13"/>
        <v>1</v>
      </c>
      <c r="S28" t="s">
        <v>17</v>
      </c>
      <c r="T28" t="s">
        <v>17</v>
      </c>
      <c r="U28" t="s">
        <v>17</v>
      </c>
      <c r="V28" t="s">
        <v>17</v>
      </c>
      <c r="W28" t="s">
        <v>17</v>
      </c>
      <c r="X28" t="s">
        <v>17</v>
      </c>
      <c r="Y28" t="s">
        <v>17</v>
      </c>
      <c r="Z28" t="s">
        <v>17</v>
      </c>
      <c r="AA28" t="s">
        <v>17</v>
      </c>
      <c r="AB28" t="s">
        <v>17</v>
      </c>
      <c r="AC28" t="s">
        <v>17</v>
      </c>
      <c r="AD28" t="s">
        <v>17</v>
      </c>
      <c r="AE28" t="s">
        <v>17</v>
      </c>
      <c r="AF28" t="s">
        <v>17</v>
      </c>
      <c r="AG28" t="s">
        <v>17</v>
      </c>
      <c r="AH28" t="s">
        <v>17</v>
      </c>
      <c r="AI28" t="s">
        <v>17</v>
      </c>
      <c r="AJ28" t="s">
        <v>17</v>
      </c>
      <c r="AK28" t="s">
        <v>17</v>
      </c>
      <c r="AL28" t="s">
        <v>17</v>
      </c>
      <c r="AM28" t="s">
        <v>17</v>
      </c>
      <c r="AN28" t="s">
        <v>17</v>
      </c>
      <c r="AO28" t="s">
        <v>17</v>
      </c>
      <c r="AP28" t="s">
        <v>17</v>
      </c>
      <c r="AQ28" s="1">
        <f t="shared" ca="1" si="1"/>
        <v>0.5</v>
      </c>
      <c r="AR28" s="1">
        <f t="shared" ca="1" si="9"/>
        <v>0</v>
      </c>
      <c r="AS28" s="1">
        <f t="shared" ca="1" si="10"/>
        <v>1</v>
      </c>
      <c r="AT28" s="1">
        <f t="shared" ca="1" si="11"/>
        <v>1</v>
      </c>
      <c r="AU28">
        <f t="shared" ca="1" si="2"/>
        <v>2099</v>
      </c>
      <c r="AV28">
        <f t="shared" ca="1" si="2"/>
        <v>4932</v>
      </c>
      <c r="AW28">
        <f t="shared" ca="1" si="3"/>
        <v>1078</v>
      </c>
      <c r="AX28">
        <f t="shared" ca="1" si="3"/>
        <v>2821</v>
      </c>
      <c r="AY28">
        <f t="shared" ca="1" si="4"/>
        <v>3438</v>
      </c>
      <c r="AZ28">
        <f t="shared" ca="1" si="4"/>
        <v>4689</v>
      </c>
      <c r="BA28">
        <f t="shared" ca="1" si="5"/>
        <v>1662</v>
      </c>
      <c r="BB28">
        <f t="shared" ca="1" si="5"/>
        <v>1373</v>
      </c>
      <c r="BC28">
        <f t="shared" ca="1" si="6"/>
        <v>9462</v>
      </c>
      <c r="BD28">
        <f t="shared" ca="1" si="6"/>
        <v>6111</v>
      </c>
      <c r="BE28">
        <f t="shared" ca="1" si="6"/>
        <v>8561</v>
      </c>
      <c r="BF28">
        <f t="shared" ca="1" si="6"/>
        <v>3858</v>
      </c>
      <c r="BG28">
        <f t="shared" ca="1" si="7"/>
        <v>2189</v>
      </c>
      <c r="BH28">
        <f t="shared" ca="1" si="7"/>
        <v>1572</v>
      </c>
      <c r="BI28">
        <f t="shared" ca="1" si="7"/>
        <v>2431</v>
      </c>
      <c r="BJ28">
        <f t="shared" ca="1" si="7"/>
        <v>2855</v>
      </c>
      <c r="BK28" s="7">
        <f ca="1">AVERAGE(AU28:AV33,AY28:AZ33,BC28:BF33)</f>
        <v>4842.895833333333</v>
      </c>
      <c r="BL28" s="7">
        <f ca="1">AVERAGE(AW28:AX33,BA28:BB33,BG28:BJ33)</f>
        <v>1841.1875</v>
      </c>
    </row>
    <row r="29" spans="1:64" x14ac:dyDescent="0.25">
      <c r="A29">
        <v>28</v>
      </c>
      <c r="B29" t="s">
        <v>19</v>
      </c>
      <c r="C29">
        <f t="shared" si="8"/>
        <v>0</v>
      </c>
      <c r="D29">
        <v>3</v>
      </c>
      <c r="E29" t="s">
        <v>25</v>
      </c>
      <c r="F29" s="2" t="s">
        <v>40</v>
      </c>
      <c r="G29" s="5" t="s">
        <v>41</v>
      </c>
      <c r="H29" s="3" t="s">
        <v>32</v>
      </c>
      <c r="I29" s="4" t="s">
        <v>45</v>
      </c>
      <c r="J29" t="s">
        <v>21</v>
      </c>
      <c r="K29">
        <f t="shared" ca="1" si="13"/>
        <v>0</v>
      </c>
      <c r="L29">
        <f t="shared" ca="1" si="13"/>
        <v>1</v>
      </c>
      <c r="M29">
        <f t="shared" ca="1" si="13"/>
        <v>0</v>
      </c>
      <c r="N29">
        <f t="shared" ca="1" si="13"/>
        <v>1</v>
      </c>
      <c r="O29">
        <f t="shared" ca="1" si="13"/>
        <v>0</v>
      </c>
      <c r="P29">
        <f t="shared" ca="1" si="13"/>
        <v>0</v>
      </c>
      <c r="Q29">
        <f t="shared" ca="1" si="13"/>
        <v>0</v>
      </c>
      <c r="R29">
        <f t="shared" ca="1" si="13"/>
        <v>1</v>
      </c>
      <c r="S29" t="s">
        <v>17</v>
      </c>
      <c r="T29" t="s">
        <v>17</v>
      </c>
      <c r="U29" t="s">
        <v>17</v>
      </c>
      <c r="V29" t="s">
        <v>17</v>
      </c>
      <c r="W29" t="s">
        <v>17</v>
      </c>
      <c r="X29" t="s">
        <v>17</v>
      </c>
      <c r="Y29" t="s">
        <v>17</v>
      </c>
      <c r="Z29" t="s">
        <v>17</v>
      </c>
      <c r="AA29" t="s">
        <v>17</v>
      </c>
      <c r="AB29" t="s">
        <v>17</v>
      </c>
      <c r="AC29" t="s">
        <v>17</v>
      </c>
      <c r="AD29" t="s">
        <v>17</v>
      </c>
      <c r="AE29" t="s">
        <v>17</v>
      </c>
      <c r="AF29" t="s">
        <v>17</v>
      </c>
      <c r="AG29" t="s">
        <v>17</v>
      </c>
      <c r="AH29" t="s">
        <v>17</v>
      </c>
      <c r="AI29" t="s">
        <v>17</v>
      </c>
      <c r="AJ29" t="s">
        <v>17</v>
      </c>
      <c r="AK29" t="s">
        <v>17</v>
      </c>
      <c r="AL29" t="s">
        <v>17</v>
      </c>
      <c r="AM29" t="s">
        <v>17</v>
      </c>
      <c r="AN29" t="s">
        <v>17</v>
      </c>
      <c r="AO29" t="s">
        <v>17</v>
      </c>
      <c r="AP29" t="s">
        <v>17</v>
      </c>
      <c r="AQ29" s="1">
        <f t="shared" ca="1" si="1"/>
        <v>0.5</v>
      </c>
      <c r="AR29" s="1">
        <f t="shared" ca="1" si="9"/>
        <v>0.5</v>
      </c>
      <c r="AS29" s="1">
        <f t="shared" ca="1" si="10"/>
        <v>0</v>
      </c>
      <c r="AT29" s="1">
        <f t="shared" ca="1" si="11"/>
        <v>0.5</v>
      </c>
      <c r="AU29">
        <f t="shared" ca="1" si="2"/>
        <v>6650</v>
      </c>
      <c r="AV29">
        <f t="shared" ca="1" si="2"/>
        <v>520</v>
      </c>
      <c r="AW29">
        <f t="shared" ca="1" si="3"/>
        <v>2979</v>
      </c>
      <c r="AX29">
        <f t="shared" ca="1" si="3"/>
        <v>1975</v>
      </c>
      <c r="AY29">
        <f t="shared" ca="1" si="4"/>
        <v>5816</v>
      </c>
      <c r="AZ29">
        <f t="shared" ca="1" si="4"/>
        <v>7814</v>
      </c>
      <c r="BA29">
        <f t="shared" ca="1" si="5"/>
        <v>2336</v>
      </c>
      <c r="BB29">
        <f t="shared" ca="1" si="5"/>
        <v>1185</v>
      </c>
      <c r="BC29">
        <f t="shared" ca="1" si="6"/>
        <v>7809</v>
      </c>
      <c r="BD29">
        <f t="shared" ca="1" si="6"/>
        <v>2836</v>
      </c>
      <c r="BE29">
        <f t="shared" ca="1" si="6"/>
        <v>1287</v>
      </c>
      <c r="BF29">
        <f t="shared" ca="1" si="6"/>
        <v>4740</v>
      </c>
      <c r="BG29">
        <f t="shared" ca="1" si="7"/>
        <v>2733</v>
      </c>
      <c r="BH29">
        <f t="shared" ca="1" si="7"/>
        <v>1190</v>
      </c>
      <c r="BI29">
        <f t="shared" ca="1" si="7"/>
        <v>1951</v>
      </c>
      <c r="BJ29">
        <f t="shared" ca="1" si="7"/>
        <v>2368</v>
      </c>
      <c r="BK29" s="7">
        <f ca="1">AVERAGE(AU29:AV33,AY29:AZ33,BC29:BF33)</f>
        <v>4732.7250000000004</v>
      </c>
      <c r="BL29" s="7">
        <f ca="1">AVERAGE(AW29:AX33,BA29:BB33,BG29:BJ33)</f>
        <v>1809.9</v>
      </c>
    </row>
    <row r="30" spans="1:64" x14ac:dyDescent="0.25">
      <c r="A30">
        <v>29</v>
      </c>
      <c r="B30" t="s">
        <v>18</v>
      </c>
      <c r="C30">
        <f t="shared" si="8"/>
        <v>1</v>
      </c>
      <c r="D30">
        <v>4</v>
      </c>
      <c r="E30" t="s">
        <v>26</v>
      </c>
      <c r="F30" s="2" t="s">
        <v>42</v>
      </c>
      <c r="G30" s="5" t="s">
        <v>43</v>
      </c>
      <c r="H30" s="3" t="s">
        <v>31</v>
      </c>
      <c r="I30" s="4" t="s">
        <v>45</v>
      </c>
      <c r="J30" t="s">
        <v>21</v>
      </c>
      <c r="K30">
        <f t="shared" ca="1" si="13"/>
        <v>0</v>
      </c>
      <c r="L30">
        <f t="shared" ca="1" si="13"/>
        <v>0</v>
      </c>
      <c r="M30">
        <f t="shared" ca="1" si="13"/>
        <v>0</v>
      </c>
      <c r="N30">
        <f t="shared" ca="1" si="13"/>
        <v>0</v>
      </c>
      <c r="O30">
        <f t="shared" ca="1" si="13"/>
        <v>1</v>
      </c>
      <c r="P30">
        <f t="shared" ca="1" si="13"/>
        <v>0</v>
      </c>
      <c r="Q30">
        <f t="shared" ca="1" si="13"/>
        <v>1</v>
      </c>
      <c r="R30">
        <f t="shared" ca="1" si="13"/>
        <v>1</v>
      </c>
      <c r="S30" t="s">
        <v>17</v>
      </c>
      <c r="T30" t="s">
        <v>17</v>
      </c>
      <c r="U30" t="s">
        <v>17</v>
      </c>
      <c r="V30" t="s">
        <v>17</v>
      </c>
      <c r="W30" t="s">
        <v>17</v>
      </c>
      <c r="X30" t="s">
        <v>17</v>
      </c>
      <c r="Y30" t="s">
        <v>17</v>
      </c>
      <c r="Z30" t="s">
        <v>17</v>
      </c>
      <c r="AA30" t="s">
        <v>17</v>
      </c>
      <c r="AB30" t="s">
        <v>17</v>
      </c>
      <c r="AC30" t="s">
        <v>17</v>
      </c>
      <c r="AD30" t="s">
        <v>17</v>
      </c>
      <c r="AE30" t="s">
        <v>17</v>
      </c>
      <c r="AF30" t="s">
        <v>17</v>
      </c>
      <c r="AG30" t="s">
        <v>17</v>
      </c>
      <c r="AH30" t="s">
        <v>17</v>
      </c>
      <c r="AI30" t="s">
        <v>17</v>
      </c>
      <c r="AJ30" t="s">
        <v>17</v>
      </c>
      <c r="AK30" t="s">
        <v>17</v>
      </c>
      <c r="AL30" t="s">
        <v>17</v>
      </c>
      <c r="AM30" t="s">
        <v>17</v>
      </c>
      <c r="AN30" t="s">
        <v>17</v>
      </c>
      <c r="AO30" t="s">
        <v>17</v>
      </c>
      <c r="AP30" t="s">
        <v>17</v>
      </c>
      <c r="AQ30" s="1">
        <f t="shared" ca="1" si="1"/>
        <v>0</v>
      </c>
      <c r="AR30" s="1">
        <f t="shared" ca="1" si="9"/>
        <v>0</v>
      </c>
      <c r="AS30" s="1">
        <f t="shared" ca="1" si="10"/>
        <v>0.5</v>
      </c>
      <c r="AT30" s="1">
        <f t="shared" ca="1" si="11"/>
        <v>1</v>
      </c>
      <c r="AU30">
        <f t="shared" ca="1" si="2"/>
        <v>9135</v>
      </c>
      <c r="AV30">
        <f t="shared" ca="1" si="2"/>
        <v>4952</v>
      </c>
      <c r="AW30">
        <f t="shared" ca="1" si="3"/>
        <v>2551</v>
      </c>
      <c r="AX30">
        <f t="shared" ca="1" si="3"/>
        <v>1767</v>
      </c>
      <c r="AY30">
        <f t="shared" ca="1" si="4"/>
        <v>2516</v>
      </c>
      <c r="AZ30">
        <f t="shared" ca="1" si="4"/>
        <v>3005</v>
      </c>
      <c r="BA30">
        <f t="shared" ca="1" si="5"/>
        <v>1607</v>
      </c>
      <c r="BB30">
        <f t="shared" ca="1" si="5"/>
        <v>554</v>
      </c>
      <c r="BC30">
        <f t="shared" ca="1" si="6"/>
        <v>5874</v>
      </c>
      <c r="BD30">
        <f t="shared" ca="1" si="6"/>
        <v>5084</v>
      </c>
      <c r="BE30">
        <f t="shared" ca="1" si="6"/>
        <v>8113</v>
      </c>
      <c r="BF30">
        <f t="shared" ca="1" si="6"/>
        <v>711</v>
      </c>
      <c r="BG30">
        <f t="shared" ca="1" si="7"/>
        <v>2089</v>
      </c>
      <c r="BH30">
        <f t="shared" ca="1" si="7"/>
        <v>2434</v>
      </c>
      <c r="BI30">
        <f t="shared" ca="1" si="7"/>
        <v>2576</v>
      </c>
      <c r="BJ30">
        <f t="shared" ca="1" si="7"/>
        <v>2742</v>
      </c>
      <c r="BK30" s="7">
        <f ca="1">AVERAGE(AU30:AV33,AY30:AZ33,BC30:BF33)</f>
        <v>4744.90625</v>
      </c>
      <c r="BL30" s="7">
        <f ca="1">AVERAGE(AW30:AX33,BA30:BB33,BG30:BJ33)</f>
        <v>1739.96875</v>
      </c>
    </row>
    <row r="31" spans="1:64" x14ac:dyDescent="0.25">
      <c r="A31">
        <v>30</v>
      </c>
      <c r="B31" t="s">
        <v>19</v>
      </c>
      <c r="C31">
        <f t="shared" si="8"/>
        <v>0</v>
      </c>
      <c r="D31">
        <v>4</v>
      </c>
      <c r="E31" t="s">
        <v>26</v>
      </c>
      <c r="F31" s="2" t="s">
        <v>42</v>
      </c>
      <c r="G31" s="5" t="s">
        <v>43</v>
      </c>
      <c r="H31" s="3" t="s">
        <v>31</v>
      </c>
      <c r="I31" s="4" t="s">
        <v>45</v>
      </c>
      <c r="J31" t="s">
        <v>21</v>
      </c>
      <c r="K31">
        <f t="shared" ca="1" si="13"/>
        <v>0</v>
      </c>
      <c r="L31">
        <f t="shared" ca="1" si="13"/>
        <v>0</v>
      </c>
      <c r="M31">
        <f t="shared" ca="1" si="13"/>
        <v>1</v>
      </c>
      <c r="N31">
        <f t="shared" ca="1" si="13"/>
        <v>1</v>
      </c>
      <c r="O31">
        <f t="shared" ca="1" si="13"/>
        <v>1</v>
      </c>
      <c r="P31">
        <f t="shared" ca="1" si="13"/>
        <v>0</v>
      </c>
      <c r="Q31">
        <f t="shared" ca="1" si="13"/>
        <v>0</v>
      </c>
      <c r="R31">
        <f t="shared" ca="1" si="13"/>
        <v>1</v>
      </c>
      <c r="S31" t="s">
        <v>17</v>
      </c>
      <c r="T31" t="s">
        <v>17</v>
      </c>
      <c r="U31" t="s">
        <v>17</v>
      </c>
      <c r="V31" t="s">
        <v>17</v>
      </c>
      <c r="W31" t="s">
        <v>17</v>
      </c>
      <c r="X31" t="s">
        <v>17</v>
      </c>
      <c r="Y31" t="s">
        <v>17</v>
      </c>
      <c r="Z31" t="s">
        <v>17</v>
      </c>
      <c r="AA31" t="s">
        <v>17</v>
      </c>
      <c r="AB31" t="s">
        <v>17</v>
      </c>
      <c r="AC31" t="s">
        <v>17</v>
      </c>
      <c r="AD31" t="s">
        <v>17</v>
      </c>
      <c r="AE31" t="s">
        <v>17</v>
      </c>
      <c r="AF31" t="s">
        <v>17</v>
      </c>
      <c r="AG31" t="s">
        <v>17</v>
      </c>
      <c r="AH31" t="s">
        <v>17</v>
      </c>
      <c r="AI31" t="s">
        <v>17</v>
      </c>
      <c r="AJ31" t="s">
        <v>17</v>
      </c>
      <c r="AK31" t="s">
        <v>17</v>
      </c>
      <c r="AL31" t="s">
        <v>17</v>
      </c>
      <c r="AM31" t="s">
        <v>17</v>
      </c>
      <c r="AN31" t="s">
        <v>17</v>
      </c>
      <c r="AO31" t="s">
        <v>17</v>
      </c>
      <c r="AP31" t="s">
        <v>17</v>
      </c>
      <c r="AQ31" s="1">
        <f t="shared" ca="1" si="1"/>
        <v>0</v>
      </c>
      <c r="AR31" s="1">
        <f t="shared" ca="1" si="9"/>
        <v>1</v>
      </c>
      <c r="AS31" s="1">
        <f t="shared" ca="1" si="10"/>
        <v>0.5</v>
      </c>
      <c r="AT31" s="1">
        <f t="shared" ca="1" si="11"/>
        <v>0.5</v>
      </c>
      <c r="AU31">
        <f t="shared" ca="1" si="2"/>
        <v>4395</v>
      </c>
      <c r="AV31">
        <f t="shared" ca="1" si="2"/>
        <v>8051</v>
      </c>
      <c r="AW31">
        <f t="shared" ca="1" si="3"/>
        <v>2732</v>
      </c>
      <c r="AX31">
        <f t="shared" ca="1" si="3"/>
        <v>2928</v>
      </c>
      <c r="AY31">
        <f t="shared" ca="1" si="4"/>
        <v>8118</v>
      </c>
      <c r="AZ31">
        <f t="shared" ca="1" si="4"/>
        <v>3898</v>
      </c>
      <c r="BA31">
        <f t="shared" ca="1" si="5"/>
        <v>1755</v>
      </c>
      <c r="BB31">
        <f t="shared" ca="1" si="5"/>
        <v>2644</v>
      </c>
      <c r="BC31">
        <f t="shared" ca="1" si="6"/>
        <v>4546</v>
      </c>
      <c r="BD31">
        <f t="shared" ca="1" si="6"/>
        <v>3250</v>
      </c>
      <c r="BE31">
        <f t="shared" ca="1" si="6"/>
        <v>1800</v>
      </c>
      <c r="BF31">
        <f t="shared" ca="1" si="6"/>
        <v>7097</v>
      </c>
      <c r="BG31">
        <f t="shared" ca="1" si="7"/>
        <v>1526</v>
      </c>
      <c r="BH31">
        <f t="shared" ca="1" si="7"/>
        <v>520</v>
      </c>
      <c r="BI31">
        <f t="shared" ca="1" si="7"/>
        <v>2961</v>
      </c>
      <c r="BJ31">
        <f t="shared" ca="1" si="7"/>
        <v>1104</v>
      </c>
      <c r="BK31" s="7">
        <f ca="1">AVERAGE(AU31:AV33,AY31:AZ33,BC31:BF33)</f>
        <v>4685.291666666667</v>
      </c>
      <c r="BL31" s="7">
        <f ca="1">AVERAGE(AW31:AX33,BA31:BB33,BG31:BJ33)</f>
        <v>1639.9583333333333</v>
      </c>
    </row>
    <row r="32" spans="1:64" x14ac:dyDescent="0.25">
      <c r="A32">
        <v>31</v>
      </c>
      <c r="B32" t="s">
        <v>18</v>
      </c>
      <c r="C32">
        <f t="shared" si="8"/>
        <v>1</v>
      </c>
      <c r="D32">
        <v>4</v>
      </c>
      <c r="E32" t="s">
        <v>26</v>
      </c>
      <c r="F32" s="2" t="s">
        <v>43</v>
      </c>
      <c r="G32" s="5" t="s">
        <v>42</v>
      </c>
      <c r="H32" s="3" t="s">
        <v>31</v>
      </c>
      <c r="I32" s="4" t="s">
        <v>45</v>
      </c>
      <c r="J32" t="s">
        <v>21</v>
      </c>
      <c r="K32">
        <f t="shared" ca="1" si="13"/>
        <v>0</v>
      </c>
      <c r="L32">
        <f t="shared" ca="1" si="13"/>
        <v>1</v>
      </c>
      <c r="M32">
        <f t="shared" ca="1" si="13"/>
        <v>1</v>
      </c>
      <c r="N32">
        <f t="shared" ca="1" si="13"/>
        <v>0</v>
      </c>
      <c r="O32">
        <f t="shared" ca="1" si="13"/>
        <v>1</v>
      </c>
      <c r="P32">
        <f t="shared" ca="1" si="13"/>
        <v>1</v>
      </c>
      <c r="Q32">
        <f t="shared" ca="1" si="13"/>
        <v>1</v>
      </c>
      <c r="R32">
        <f t="shared" ca="1" si="13"/>
        <v>0</v>
      </c>
      <c r="S32" t="s">
        <v>17</v>
      </c>
      <c r="T32" t="s">
        <v>17</v>
      </c>
      <c r="U32" t="s">
        <v>17</v>
      </c>
      <c r="V32" t="s">
        <v>17</v>
      </c>
      <c r="W32" t="s">
        <v>17</v>
      </c>
      <c r="X32" t="s">
        <v>17</v>
      </c>
      <c r="Y32" t="s">
        <v>17</v>
      </c>
      <c r="Z32" t="s">
        <v>17</v>
      </c>
      <c r="AA32" t="s">
        <v>17</v>
      </c>
      <c r="AB32" t="s">
        <v>17</v>
      </c>
      <c r="AC32" t="s">
        <v>17</v>
      </c>
      <c r="AD32" t="s">
        <v>17</v>
      </c>
      <c r="AE32" t="s">
        <v>17</v>
      </c>
      <c r="AF32" t="s">
        <v>17</v>
      </c>
      <c r="AG32" t="s">
        <v>17</v>
      </c>
      <c r="AH32" t="s">
        <v>17</v>
      </c>
      <c r="AI32" t="s">
        <v>17</v>
      </c>
      <c r="AJ32" t="s">
        <v>17</v>
      </c>
      <c r="AK32" t="s">
        <v>17</v>
      </c>
      <c r="AL32" t="s">
        <v>17</v>
      </c>
      <c r="AM32" t="s">
        <v>17</v>
      </c>
      <c r="AN32" t="s">
        <v>17</v>
      </c>
      <c r="AO32" t="s">
        <v>17</v>
      </c>
      <c r="AP32" t="s">
        <v>17</v>
      </c>
      <c r="AQ32" s="1">
        <f t="shared" ca="1" si="1"/>
        <v>0.5</v>
      </c>
      <c r="AR32" s="1">
        <f t="shared" ca="1" si="9"/>
        <v>0.5</v>
      </c>
      <c r="AS32" s="1">
        <f t="shared" ca="1" si="10"/>
        <v>1</v>
      </c>
      <c r="AT32" s="1">
        <f t="shared" ca="1" si="11"/>
        <v>0.5</v>
      </c>
      <c r="AU32">
        <f t="shared" ca="1" si="2"/>
        <v>1270</v>
      </c>
      <c r="AV32">
        <f t="shared" ca="1" si="2"/>
        <v>2119</v>
      </c>
      <c r="AW32">
        <f t="shared" ca="1" si="3"/>
        <v>2000</v>
      </c>
      <c r="AX32">
        <f t="shared" ca="1" si="3"/>
        <v>521</v>
      </c>
      <c r="AY32">
        <f t="shared" ca="1" si="4"/>
        <v>1101</v>
      </c>
      <c r="AZ32">
        <f t="shared" ca="1" si="4"/>
        <v>5414</v>
      </c>
      <c r="BA32">
        <f t="shared" ca="1" si="5"/>
        <v>1471</v>
      </c>
      <c r="BB32">
        <f t="shared" ca="1" si="5"/>
        <v>938</v>
      </c>
      <c r="BC32">
        <f t="shared" ca="1" si="6"/>
        <v>3767</v>
      </c>
      <c r="BD32">
        <f t="shared" ca="1" si="6"/>
        <v>4519</v>
      </c>
      <c r="BE32">
        <f t="shared" ca="1" si="6"/>
        <v>6684</v>
      </c>
      <c r="BF32">
        <f t="shared" ca="1" si="6"/>
        <v>5444</v>
      </c>
      <c r="BG32">
        <f t="shared" ca="1" si="7"/>
        <v>1315</v>
      </c>
      <c r="BH32">
        <f t="shared" ca="1" si="7"/>
        <v>1624</v>
      </c>
      <c r="BI32">
        <f t="shared" ca="1" si="7"/>
        <v>545</v>
      </c>
      <c r="BJ32">
        <f t="shared" ca="1" si="7"/>
        <v>534</v>
      </c>
      <c r="BK32" s="7">
        <f ca="1">AVERAGE(AU32:AV33,AY32:AZ33,BC32:BF33)</f>
        <v>4455.75</v>
      </c>
      <c r="BL32" s="7">
        <f ca="1">AVERAGE(AW32:AX33,BA32:BB33,BG32:BJ33)</f>
        <v>1449.3125</v>
      </c>
    </row>
    <row r="33" spans="1:64" x14ac:dyDescent="0.25">
      <c r="A33">
        <v>32</v>
      </c>
      <c r="B33" t="s">
        <v>19</v>
      </c>
      <c r="C33">
        <f t="shared" si="8"/>
        <v>0</v>
      </c>
      <c r="D33">
        <v>4</v>
      </c>
      <c r="E33" t="s">
        <v>26</v>
      </c>
      <c r="F33" s="2" t="s">
        <v>43</v>
      </c>
      <c r="G33" s="5" t="s">
        <v>42</v>
      </c>
      <c r="H33" s="3" t="s">
        <v>31</v>
      </c>
      <c r="I33" s="4" t="s">
        <v>45</v>
      </c>
      <c r="J33" t="s">
        <v>21</v>
      </c>
      <c r="K33">
        <f t="shared" ca="1" si="13"/>
        <v>1</v>
      </c>
      <c r="L33">
        <f t="shared" ca="1" si="13"/>
        <v>0</v>
      </c>
      <c r="M33">
        <f t="shared" ca="1" si="13"/>
        <v>0</v>
      </c>
      <c r="N33">
        <f t="shared" ca="1" si="13"/>
        <v>1</v>
      </c>
      <c r="O33">
        <f t="shared" ca="1" si="13"/>
        <v>0</v>
      </c>
      <c r="P33">
        <f t="shared" ca="1" si="13"/>
        <v>0</v>
      </c>
      <c r="Q33">
        <f t="shared" ca="1" si="13"/>
        <v>0</v>
      </c>
      <c r="R33">
        <f t="shared" ca="1" si="13"/>
        <v>0</v>
      </c>
      <c r="S33" t="s">
        <v>17</v>
      </c>
      <c r="T33" t="s">
        <v>17</v>
      </c>
      <c r="U33" t="s">
        <v>17</v>
      </c>
      <c r="V33" t="s">
        <v>17</v>
      </c>
      <c r="W33" t="s">
        <v>17</v>
      </c>
      <c r="X33" t="s">
        <v>17</v>
      </c>
      <c r="Y33" t="s">
        <v>17</v>
      </c>
      <c r="Z33" t="s">
        <v>17</v>
      </c>
      <c r="AA33" t="s">
        <v>17</v>
      </c>
      <c r="AB33" t="s">
        <v>17</v>
      </c>
      <c r="AC33" t="s">
        <v>17</v>
      </c>
      <c r="AD33" t="s">
        <v>17</v>
      </c>
      <c r="AE33" t="s">
        <v>17</v>
      </c>
      <c r="AF33" t="s">
        <v>17</v>
      </c>
      <c r="AG33" t="s">
        <v>17</v>
      </c>
      <c r="AH33" t="s">
        <v>17</v>
      </c>
      <c r="AI33" t="s">
        <v>17</v>
      </c>
      <c r="AJ33" t="s">
        <v>17</v>
      </c>
      <c r="AK33" t="s">
        <v>17</v>
      </c>
      <c r="AL33" t="s">
        <v>17</v>
      </c>
      <c r="AM33" t="s">
        <v>17</v>
      </c>
      <c r="AN33" t="s">
        <v>17</v>
      </c>
      <c r="AO33" t="s">
        <v>17</v>
      </c>
      <c r="AP33" t="s">
        <v>17</v>
      </c>
      <c r="AQ33" s="1">
        <f t="shared" ca="1" si="1"/>
        <v>0.5</v>
      </c>
      <c r="AR33" s="1">
        <f t="shared" ca="1" si="9"/>
        <v>0.5</v>
      </c>
      <c r="AS33" s="1">
        <f t="shared" ca="1" si="10"/>
        <v>0</v>
      </c>
      <c r="AT33" s="1">
        <f t="shared" ca="1" si="11"/>
        <v>0</v>
      </c>
      <c r="AU33">
        <f t="shared" ca="1" si="2"/>
        <v>2620</v>
      </c>
      <c r="AV33">
        <f t="shared" ca="1" si="2"/>
        <v>7329</v>
      </c>
      <c r="AW33">
        <f t="shared" ca="1" si="3"/>
        <v>2347</v>
      </c>
      <c r="AX33">
        <f t="shared" ca="1" si="3"/>
        <v>2467</v>
      </c>
      <c r="AY33">
        <f t="shared" ca="1" si="4"/>
        <v>2308</v>
      </c>
      <c r="AZ33">
        <f t="shared" ca="1" si="4"/>
        <v>7815</v>
      </c>
      <c r="BA33">
        <f t="shared" ca="1" si="5"/>
        <v>2490</v>
      </c>
      <c r="BB33">
        <f t="shared" ca="1" si="5"/>
        <v>1833</v>
      </c>
      <c r="BC33">
        <f t="shared" ca="1" si="6"/>
        <v>9331</v>
      </c>
      <c r="BD33">
        <f t="shared" ca="1" si="6"/>
        <v>6698</v>
      </c>
      <c r="BE33">
        <f t="shared" ca="1" si="6"/>
        <v>1775</v>
      </c>
      <c r="BF33">
        <f t="shared" ca="1" si="6"/>
        <v>3098</v>
      </c>
      <c r="BG33">
        <f t="shared" ca="1" si="7"/>
        <v>1732</v>
      </c>
      <c r="BH33">
        <f t="shared" ca="1" si="7"/>
        <v>564</v>
      </c>
      <c r="BI33">
        <f t="shared" ca="1" si="7"/>
        <v>2159</v>
      </c>
      <c r="BJ33">
        <f t="shared" ca="1" si="7"/>
        <v>649</v>
      </c>
      <c r="BK33" s="7">
        <f ca="1">AVERAGE(AU33:AV33,AY33:AZ33,BC33:BF33)</f>
        <v>5121.75</v>
      </c>
      <c r="BL33" s="7">
        <f ca="1">AVERAGE(AW33:AX33,BA33:BB33,BG33:BJ33)</f>
        <v>1780.125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3"/>
  <sheetViews>
    <sheetView tabSelected="1" zoomScale="110" zoomScaleNormal="110" workbookViewId="0"/>
  </sheetViews>
  <sheetFormatPr defaultRowHeight="15" x14ac:dyDescent="0.25"/>
  <cols>
    <col min="1" max="1" width="6.85546875" bestFit="1" customWidth="1"/>
    <col min="2" max="2" width="4.42578125" bestFit="1" customWidth="1"/>
    <col min="3" max="3" width="7.5703125" bestFit="1" customWidth="1"/>
    <col min="4" max="5" width="7.5703125" customWidth="1"/>
    <col min="6" max="6" width="18.5703125" bestFit="1" customWidth="1"/>
    <col min="7" max="7" width="18.5703125" customWidth="1"/>
    <col min="8" max="8" width="19.28515625" bestFit="1" customWidth="1"/>
    <col min="9" max="9" width="18.28515625" bestFit="1" customWidth="1"/>
    <col min="10" max="10" width="13.7109375" bestFit="1" customWidth="1"/>
    <col min="11" max="11" width="10.5703125" bestFit="1" customWidth="1"/>
    <col min="12" max="12" width="11.140625" bestFit="1" customWidth="1"/>
    <col min="13" max="13" width="10.85546875" bestFit="1" customWidth="1"/>
    <col min="14" max="14" width="25" style="2" customWidth="1"/>
    <col min="15" max="15" width="25" style="5" customWidth="1"/>
    <col min="16" max="16" width="30.140625" style="3" customWidth="1"/>
    <col min="17" max="17" width="30.140625" style="4" customWidth="1"/>
    <col min="20" max="21" width="26.5703125" bestFit="1" customWidth="1"/>
    <col min="22" max="23" width="27.140625" bestFit="1" customWidth="1"/>
    <col min="24" max="25" width="30.140625" bestFit="1" customWidth="1"/>
    <col min="26" max="27" width="30.7109375" bestFit="1" customWidth="1"/>
    <col min="28" max="29" width="26.5703125" bestFit="1" customWidth="1"/>
    <col min="30" max="31" width="27.140625" bestFit="1" customWidth="1"/>
    <col min="32" max="33" width="30.140625" bestFit="1" customWidth="1"/>
    <col min="34" max="35" width="30.7109375" bestFit="1" customWidth="1"/>
    <col min="36" max="37" width="26.5703125" bestFit="1" customWidth="1"/>
    <col min="38" max="39" width="27.140625" bestFit="1" customWidth="1"/>
    <col min="40" max="41" width="30.140625" bestFit="1" customWidth="1"/>
    <col min="42" max="43" width="30.7109375" bestFit="1" customWidth="1"/>
    <col min="44" max="59" width="0" hidden="1" customWidth="1"/>
    <col min="60" max="60" width="31.28515625" bestFit="1" customWidth="1"/>
    <col min="61" max="61" width="31.85546875" bestFit="1" customWidth="1"/>
    <col min="62" max="62" width="34.85546875" bestFit="1" customWidth="1"/>
    <col min="63" max="63" width="35.42578125" bestFit="1" customWidth="1"/>
    <col min="64" max="66" width="0" hidden="1" customWidth="1"/>
    <col min="67" max="67" width="18" hidden="1" customWidth="1"/>
    <col min="68" max="68" width="13.7109375" hidden="1" customWidth="1"/>
    <col min="69" max="69" width="14.42578125" hidden="1" customWidth="1"/>
    <col min="70" max="81" width="0" hidden="1" customWidth="1"/>
  </cols>
  <sheetData>
    <row r="1" spans="1:81" x14ac:dyDescent="0.25">
      <c r="A1" t="s">
        <v>0</v>
      </c>
      <c r="B1" t="s">
        <v>118</v>
      </c>
      <c r="C1" t="s">
        <v>181</v>
      </c>
      <c r="D1" t="s">
        <v>182</v>
      </c>
      <c r="E1" t="s">
        <v>128</v>
      </c>
      <c r="F1" t="s">
        <v>173</v>
      </c>
      <c r="G1" t="s">
        <v>174</v>
      </c>
      <c r="H1" t="s">
        <v>175</v>
      </c>
      <c r="I1" t="s">
        <v>129</v>
      </c>
      <c r="J1" t="s">
        <v>44</v>
      </c>
      <c r="K1" t="s">
        <v>85</v>
      </c>
      <c r="L1" t="s">
        <v>46</v>
      </c>
      <c r="M1" t="s">
        <v>22</v>
      </c>
      <c r="N1" s="2" t="s">
        <v>34</v>
      </c>
      <c r="O1" s="5" t="s">
        <v>35</v>
      </c>
      <c r="P1" s="3" t="s">
        <v>29</v>
      </c>
      <c r="Q1" s="4" t="s">
        <v>33</v>
      </c>
      <c r="R1" t="s">
        <v>27</v>
      </c>
      <c r="S1" t="s">
        <v>148</v>
      </c>
      <c r="T1" s="2" t="s">
        <v>157</v>
      </c>
      <c r="U1" s="2" t="s">
        <v>158</v>
      </c>
      <c r="V1" s="6" t="s">
        <v>159</v>
      </c>
      <c r="W1" s="6" t="s">
        <v>160</v>
      </c>
      <c r="X1" s="3" t="s">
        <v>161</v>
      </c>
      <c r="Y1" s="3" t="s">
        <v>162</v>
      </c>
      <c r="Z1" s="10" t="s">
        <v>163</v>
      </c>
      <c r="AA1" s="10" t="s">
        <v>164</v>
      </c>
      <c r="AB1" s="2" t="s">
        <v>165</v>
      </c>
      <c r="AC1" s="2" t="s">
        <v>166</v>
      </c>
      <c r="AD1" s="6" t="s">
        <v>167</v>
      </c>
      <c r="AE1" s="6" t="s">
        <v>168</v>
      </c>
      <c r="AF1" s="3" t="s">
        <v>169</v>
      </c>
      <c r="AG1" s="3" t="s">
        <v>170</v>
      </c>
      <c r="AH1" s="10" t="s">
        <v>171</v>
      </c>
      <c r="AI1" s="10" t="s">
        <v>172</v>
      </c>
      <c r="AJ1" s="2" t="s">
        <v>149</v>
      </c>
      <c r="AK1" s="2" t="s">
        <v>150</v>
      </c>
      <c r="AL1" s="6" t="s">
        <v>151</v>
      </c>
      <c r="AM1" s="6" t="s">
        <v>152</v>
      </c>
      <c r="AN1" s="3" t="s">
        <v>153</v>
      </c>
      <c r="AO1" s="3" t="s">
        <v>154</v>
      </c>
      <c r="AP1" s="10" t="s">
        <v>155</v>
      </c>
      <c r="AQ1" s="10" t="s">
        <v>156</v>
      </c>
      <c r="AR1" t="s">
        <v>1</v>
      </c>
      <c r="AS1" t="s">
        <v>2</v>
      </c>
      <c r="AT1" t="s">
        <v>3</v>
      </c>
      <c r="AU1" t="s">
        <v>4</v>
      </c>
      <c r="AV1" t="s">
        <v>5</v>
      </c>
      <c r="AW1" t="s">
        <v>6</v>
      </c>
      <c r="AX1" t="s">
        <v>7</v>
      </c>
      <c r="AY1" t="s">
        <v>8</v>
      </c>
      <c r="AZ1" t="s">
        <v>9</v>
      </c>
      <c r="BA1" t="s">
        <v>10</v>
      </c>
      <c r="BB1" t="s">
        <v>11</v>
      </c>
      <c r="BC1" t="s">
        <v>12</v>
      </c>
      <c r="BD1" t="s">
        <v>13</v>
      </c>
      <c r="BE1" t="s">
        <v>14</v>
      </c>
      <c r="BF1" t="s">
        <v>15</v>
      </c>
      <c r="BG1" t="s">
        <v>16</v>
      </c>
      <c r="BH1" s="2" t="s">
        <v>176</v>
      </c>
      <c r="BI1" s="6" t="s">
        <v>177</v>
      </c>
      <c r="BJ1" s="3" t="s">
        <v>178</v>
      </c>
      <c r="BK1" s="10" t="s">
        <v>179</v>
      </c>
      <c r="BL1" s="2" t="s">
        <v>65</v>
      </c>
      <c r="BM1" s="2" t="s">
        <v>66</v>
      </c>
      <c r="BN1" s="6" t="s">
        <v>67</v>
      </c>
      <c r="BO1" s="6" t="s">
        <v>68</v>
      </c>
      <c r="BP1" s="3" t="s">
        <v>69</v>
      </c>
      <c r="BQ1" s="3" t="s">
        <v>70</v>
      </c>
      <c r="BR1" s="3" t="s">
        <v>71</v>
      </c>
      <c r="BS1" s="3" t="s">
        <v>72</v>
      </c>
      <c r="BT1" s="4" t="s">
        <v>73</v>
      </c>
      <c r="BU1" s="4" t="s">
        <v>74</v>
      </c>
      <c r="BV1" s="4" t="s">
        <v>75</v>
      </c>
      <c r="BW1" s="4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2" t="s">
        <v>81</v>
      </c>
      <c r="CC1" s="6" t="s">
        <v>82</v>
      </c>
    </row>
    <row r="2" spans="1:81" x14ac:dyDescent="0.25">
      <c r="A2">
        <v>1</v>
      </c>
      <c r="B2">
        <f ca="1">RANDBETWEEN(18,25)</f>
        <v>21</v>
      </c>
      <c r="C2">
        <f ca="1">RANDBETWEEN(1,4)</f>
        <v>1</v>
      </c>
      <c r="D2">
        <f ca="1">RANDBETWEEN(1,4)</f>
        <v>4</v>
      </c>
      <c r="E2" t="s">
        <v>180</v>
      </c>
      <c r="F2">
        <f ca="1">RANDBETWEEN(0,1)</f>
        <v>1</v>
      </c>
      <c r="G2">
        <f ca="1">RANDBETWEEN(0,1)</f>
        <v>0</v>
      </c>
      <c r="H2">
        <f ca="1">RANDBETWEEN(0,1)</f>
        <v>1</v>
      </c>
      <c r="I2" s="14">
        <f ca="1">ROUND(RAND(),0)</f>
        <v>1</v>
      </c>
      <c r="J2" t="s">
        <v>18</v>
      </c>
      <c r="K2">
        <f>IF(J2 = "Concentration", 1, 0)</f>
        <v>1</v>
      </c>
      <c r="L2">
        <v>1</v>
      </c>
      <c r="M2" s="15" t="s">
        <v>23</v>
      </c>
      <c r="N2" s="12" t="s">
        <v>28</v>
      </c>
      <c r="O2" s="13" t="s">
        <v>28</v>
      </c>
      <c r="P2" s="16" t="s">
        <v>30</v>
      </c>
      <c r="Q2" s="4" t="s">
        <v>86</v>
      </c>
      <c r="R2" t="s">
        <v>20</v>
      </c>
      <c r="S2">
        <v>0</v>
      </c>
      <c r="T2">
        <f t="shared" ref="T2:AA17" ca="1" si="0">RANDBETWEEN(0,1)</f>
        <v>0</v>
      </c>
      <c r="U2">
        <f t="shared" ca="1" si="0"/>
        <v>0</v>
      </c>
      <c r="V2">
        <f t="shared" ca="1" si="0"/>
        <v>0</v>
      </c>
      <c r="W2">
        <f t="shared" ca="1" si="0"/>
        <v>1</v>
      </c>
      <c r="X2">
        <f t="shared" ca="1" si="0"/>
        <v>0</v>
      </c>
      <c r="Y2">
        <f t="shared" ca="1" si="0"/>
        <v>1</v>
      </c>
      <c r="Z2">
        <f t="shared" ca="1" si="0"/>
        <v>0</v>
      </c>
      <c r="AA2">
        <f t="shared" ca="1" si="0"/>
        <v>0</v>
      </c>
      <c r="AB2">
        <f t="shared" ref="AB2:AQ17" ca="1" si="1">RANDBETWEEN(0,1)</f>
        <v>1</v>
      </c>
      <c r="AC2">
        <f t="shared" ca="1" si="1"/>
        <v>1</v>
      </c>
      <c r="AD2">
        <f t="shared" ca="1" si="1"/>
        <v>1</v>
      </c>
      <c r="AE2">
        <f t="shared" ca="1" si="1"/>
        <v>0</v>
      </c>
      <c r="AF2">
        <f t="shared" ca="1" si="1"/>
        <v>0</v>
      </c>
      <c r="AG2">
        <f t="shared" ca="1" si="1"/>
        <v>0</v>
      </c>
      <c r="AH2">
        <f t="shared" ca="1" si="1"/>
        <v>0</v>
      </c>
      <c r="AI2">
        <f t="shared" ca="1" si="1"/>
        <v>1</v>
      </c>
      <c r="AJ2">
        <f ca="1">RANDBETWEEN(0,1)</f>
        <v>1</v>
      </c>
      <c r="AK2">
        <f t="shared" ref="AK2:AQ2" ca="1" si="2">RANDBETWEEN(0,1)</f>
        <v>0</v>
      </c>
      <c r="AL2">
        <f t="shared" ca="1" si="2"/>
        <v>0</v>
      </c>
      <c r="AM2">
        <f t="shared" ca="1" si="2"/>
        <v>0</v>
      </c>
      <c r="AN2">
        <f t="shared" ca="1" si="2"/>
        <v>0</v>
      </c>
      <c r="AO2">
        <f ca="1">RANDBETWEEN(0,1)</f>
        <v>1</v>
      </c>
      <c r="AP2">
        <f t="shared" ca="1" si="2"/>
        <v>1</v>
      </c>
      <c r="AQ2">
        <f t="shared" ca="1" si="2"/>
        <v>1</v>
      </c>
      <c r="AR2" t="s">
        <v>17</v>
      </c>
      <c r="AS2" t="s">
        <v>17</v>
      </c>
      <c r="AT2" t="s">
        <v>17</v>
      </c>
      <c r="AU2" t="s">
        <v>17</v>
      </c>
      <c r="AV2" t="s">
        <v>17</v>
      </c>
      <c r="AW2" t="s">
        <v>17</v>
      </c>
      <c r="AX2" t="s">
        <v>17</v>
      </c>
      <c r="AY2" t="s">
        <v>17</v>
      </c>
      <c r="AZ2" t="s">
        <v>17</v>
      </c>
      <c r="BA2" t="s">
        <v>17</v>
      </c>
      <c r="BB2" t="s">
        <v>17</v>
      </c>
      <c r="BC2" t="s">
        <v>17</v>
      </c>
      <c r="BD2" t="s">
        <v>17</v>
      </c>
      <c r="BE2" t="s">
        <v>17</v>
      </c>
      <c r="BF2" t="s">
        <v>17</v>
      </c>
      <c r="BG2" t="s">
        <v>17</v>
      </c>
      <c r="BH2" s="1">
        <f t="shared" ref="BH2:BH33" ca="1" si="3">AVERAGE(AJ2:AK2)</f>
        <v>0.5</v>
      </c>
      <c r="BI2" s="1">
        <f ca="1">AVERAGE(AL2:AM2)</f>
        <v>0</v>
      </c>
      <c r="BJ2" s="1">
        <f ca="1">AVERAGE(AN2:AO2)</f>
        <v>0.5</v>
      </c>
      <c r="BK2" s="1">
        <f ca="1">AVERAGE(AP2:AQ2)</f>
        <v>1</v>
      </c>
      <c r="BL2">
        <f t="shared" ref="BL2:BM33" ca="1" si="4">RANDBETWEEN(500, 10000)</f>
        <v>7619</v>
      </c>
      <c r="BM2">
        <f t="shared" ca="1" si="4"/>
        <v>2134</v>
      </c>
      <c r="BN2">
        <f t="shared" ref="BN2:BO33" ca="1" si="5">RANDBETWEEN(500, 3000)</f>
        <v>1405</v>
      </c>
      <c r="BO2">
        <f t="shared" ca="1" si="5"/>
        <v>1103</v>
      </c>
      <c r="BP2">
        <f t="shared" ref="BP2:BQ33" ca="1" si="6">RANDBETWEEN(500, 10000)</f>
        <v>6704</v>
      </c>
      <c r="BQ2">
        <f t="shared" ca="1" si="6"/>
        <v>5631</v>
      </c>
      <c r="BR2">
        <f t="shared" ref="BR2:BS33" ca="1" si="7">RANDBETWEEN(500, 3000)</f>
        <v>2977</v>
      </c>
      <c r="BS2">
        <f t="shared" ca="1" si="7"/>
        <v>2379</v>
      </c>
      <c r="BT2">
        <f t="shared" ref="BT2:BW33" ca="1" si="8">RANDBETWEEN(500, 10000)</f>
        <v>2959</v>
      </c>
      <c r="BU2">
        <f t="shared" ca="1" si="8"/>
        <v>9391</v>
      </c>
      <c r="BV2">
        <f t="shared" ca="1" si="8"/>
        <v>1156</v>
      </c>
      <c r="BW2">
        <f t="shared" ca="1" si="8"/>
        <v>3319</v>
      </c>
      <c r="BX2">
        <f t="shared" ref="BX2:CA33" ca="1" si="9">RANDBETWEEN(500, 3000)</f>
        <v>2083</v>
      </c>
      <c r="BY2">
        <f t="shared" ca="1" si="9"/>
        <v>606</v>
      </c>
      <c r="BZ2">
        <f t="shared" ca="1" si="9"/>
        <v>1497</v>
      </c>
      <c r="CA2">
        <f t="shared" ca="1" si="9"/>
        <v>1156</v>
      </c>
      <c r="CB2" s="7">
        <f ca="1">AVERAGE(BL2:BM33,BP2:BQ33,BT2:BW33)</f>
        <v>5488.23828125</v>
      </c>
      <c r="CC2" s="7">
        <f ca="1">AVERAGE(BN2:BO33,BR2:BS33,BX2:CA33)</f>
        <v>1710.4453125</v>
      </c>
    </row>
    <row r="3" spans="1:81" x14ac:dyDescent="0.25">
      <c r="A3">
        <v>2</v>
      </c>
      <c r="B3">
        <f t="shared" ref="B3:B33" ca="1" si="10">RANDBETWEEN(18,25)</f>
        <v>24</v>
      </c>
      <c r="C3">
        <f t="shared" ref="C3:D33" ca="1" si="11">RANDBETWEEN(1,4)</f>
        <v>4</v>
      </c>
      <c r="D3">
        <f t="shared" ca="1" si="11"/>
        <v>4</v>
      </c>
      <c r="E3" t="s">
        <v>180</v>
      </c>
      <c r="F3">
        <f t="shared" ref="F3:H33" ca="1" si="12">RANDBETWEEN(0,1)</f>
        <v>0</v>
      </c>
      <c r="G3">
        <f t="shared" ca="1" si="12"/>
        <v>1</v>
      </c>
      <c r="H3">
        <f t="shared" ca="1" si="12"/>
        <v>1</v>
      </c>
      <c r="I3" s="14">
        <f t="shared" ref="I3:I33" ca="1" si="13">ROUND(RAND(),0)</f>
        <v>0</v>
      </c>
      <c r="J3" t="s">
        <v>19</v>
      </c>
      <c r="K3">
        <f t="shared" ref="K3:K33" si="14">IF(J3 = "Concentration", 1, 0)</f>
        <v>0</v>
      </c>
      <c r="L3">
        <v>1</v>
      </c>
      <c r="M3" s="15" t="s">
        <v>23</v>
      </c>
      <c r="N3" s="12" t="s">
        <v>28</v>
      </c>
      <c r="O3" s="13" t="s">
        <v>28</v>
      </c>
      <c r="P3" s="16" t="s">
        <v>30</v>
      </c>
      <c r="Q3" s="4" t="s">
        <v>86</v>
      </c>
      <c r="R3" t="s">
        <v>20</v>
      </c>
      <c r="S3">
        <v>0</v>
      </c>
      <c r="T3">
        <f t="shared" ca="1" si="0"/>
        <v>0</v>
      </c>
      <c r="U3">
        <f t="shared" ca="1" si="0"/>
        <v>1</v>
      </c>
      <c r="V3">
        <f t="shared" ca="1" si="0"/>
        <v>1</v>
      </c>
      <c r="W3">
        <f t="shared" ca="1" si="0"/>
        <v>0</v>
      </c>
      <c r="X3">
        <f t="shared" ca="1" si="0"/>
        <v>1</v>
      </c>
      <c r="Y3">
        <f t="shared" ca="1" si="0"/>
        <v>0</v>
      </c>
      <c r="Z3">
        <f t="shared" ca="1" si="0"/>
        <v>1</v>
      </c>
      <c r="AA3">
        <f t="shared" ca="1" si="0"/>
        <v>0</v>
      </c>
      <c r="AB3">
        <f t="shared" ca="1" si="1"/>
        <v>0</v>
      </c>
      <c r="AC3">
        <f t="shared" ca="1" si="1"/>
        <v>1</v>
      </c>
      <c r="AD3">
        <f t="shared" ca="1" si="1"/>
        <v>0</v>
      </c>
      <c r="AE3">
        <f t="shared" ca="1" si="1"/>
        <v>1</v>
      </c>
      <c r="AF3">
        <f t="shared" ca="1" si="1"/>
        <v>0</v>
      </c>
      <c r="AG3">
        <f t="shared" ca="1" si="1"/>
        <v>0</v>
      </c>
      <c r="AH3">
        <f t="shared" ca="1" si="1"/>
        <v>1</v>
      </c>
      <c r="AI3">
        <f t="shared" ca="1" si="1"/>
        <v>0</v>
      </c>
      <c r="AJ3">
        <f t="shared" ca="1" si="1"/>
        <v>0</v>
      </c>
      <c r="AK3">
        <f t="shared" ca="1" si="1"/>
        <v>1</v>
      </c>
      <c r="AL3">
        <f t="shared" ca="1" si="1"/>
        <v>1</v>
      </c>
      <c r="AM3">
        <f t="shared" ca="1" si="1"/>
        <v>0</v>
      </c>
      <c r="AN3">
        <f t="shared" ca="1" si="1"/>
        <v>0</v>
      </c>
      <c r="AO3">
        <f t="shared" ca="1" si="1"/>
        <v>1</v>
      </c>
      <c r="AP3">
        <f t="shared" ca="1" si="1"/>
        <v>1</v>
      </c>
      <c r="AQ3">
        <f t="shared" ca="1" si="1"/>
        <v>1</v>
      </c>
      <c r="AR3" t="s">
        <v>17</v>
      </c>
      <c r="AS3" t="s">
        <v>17</v>
      </c>
      <c r="AT3" t="s">
        <v>17</v>
      </c>
      <c r="AU3" t="s">
        <v>17</v>
      </c>
      <c r="AV3" t="s">
        <v>17</v>
      </c>
      <c r="AW3" t="s">
        <v>17</v>
      </c>
      <c r="AX3" t="s">
        <v>17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17</v>
      </c>
      <c r="BE3" t="s">
        <v>17</v>
      </c>
      <c r="BF3" t="s">
        <v>17</v>
      </c>
      <c r="BG3" t="s">
        <v>17</v>
      </c>
      <c r="BH3" s="1">
        <f t="shared" ca="1" si="3"/>
        <v>0.5</v>
      </c>
      <c r="BI3" s="1">
        <f t="shared" ref="BI3:BI33" ca="1" si="15">AVERAGE(AL3:AM3)</f>
        <v>0.5</v>
      </c>
      <c r="BJ3" s="1">
        <f t="shared" ref="BJ3:BJ33" ca="1" si="16">AVERAGE(AN3:AO3)</f>
        <v>0.5</v>
      </c>
      <c r="BK3" s="1">
        <f t="shared" ref="BK3:BK33" ca="1" si="17">AVERAGE(AP3:AQ3)</f>
        <v>1</v>
      </c>
      <c r="BL3">
        <f t="shared" ca="1" si="4"/>
        <v>9338</v>
      </c>
      <c r="BM3">
        <f t="shared" ca="1" si="4"/>
        <v>4456</v>
      </c>
      <c r="BN3">
        <f t="shared" ca="1" si="5"/>
        <v>2956</v>
      </c>
      <c r="BO3">
        <f t="shared" ca="1" si="5"/>
        <v>1381</v>
      </c>
      <c r="BP3">
        <f t="shared" ca="1" si="6"/>
        <v>4753</v>
      </c>
      <c r="BQ3">
        <f t="shared" ca="1" si="6"/>
        <v>6175</v>
      </c>
      <c r="BR3">
        <f t="shared" ca="1" si="7"/>
        <v>1960</v>
      </c>
      <c r="BS3">
        <f t="shared" ca="1" si="7"/>
        <v>2166</v>
      </c>
      <c r="BT3">
        <f t="shared" ca="1" si="8"/>
        <v>3345</v>
      </c>
      <c r="BU3">
        <f t="shared" ca="1" si="8"/>
        <v>689</v>
      </c>
      <c r="BV3">
        <f t="shared" ca="1" si="8"/>
        <v>8783</v>
      </c>
      <c r="BW3">
        <f t="shared" ca="1" si="8"/>
        <v>8633</v>
      </c>
      <c r="BX3">
        <f t="shared" ca="1" si="9"/>
        <v>2132</v>
      </c>
      <c r="BY3">
        <f t="shared" ca="1" si="9"/>
        <v>756</v>
      </c>
      <c r="BZ3">
        <f t="shared" ca="1" si="9"/>
        <v>1635</v>
      </c>
      <c r="CA3">
        <f t="shared" ca="1" si="9"/>
        <v>700</v>
      </c>
      <c r="CB3" s="7">
        <f ca="1">AVERAGE(BL3:BM33,BP3:BQ33,BT3:BW33)</f>
        <v>5508.3709677419356</v>
      </c>
      <c r="CC3" s="7">
        <f ca="1">AVERAGE(BN3:BO33,BR3:BS33,BX3:CA33)</f>
        <v>1712.3709677419354</v>
      </c>
    </row>
    <row r="4" spans="1:81" x14ac:dyDescent="0.25">
      <c r="A4">
        <v>3</v>
      </c>
      <c r="B4">
        <f t="shared" ca="1" si="10"/>
        <v>21</v>
      </c>
      <c r="C4">
        <f t="shared" ca="1" si="11"/>
        <v>3</v>
      </c>
      <c r="D4">
        <f t="shared" ca="1" si="11"/>
        <v>2</v>
      </c>
      <c r="E4" t="s">
        <v>180</v>
      </c>
      <c r="F4">
        <f t="shared" ca="1" si="12"/>
        <v>0</v>
      </c>
      <c r="G4">
        <f t="shared" ca="1" si="12"/>
        <v>0</v>
      </c>
      <c r="H4">
        <f t="shared" ca="1" si="12"/>
        <v>0</v>
      </c>
      <c r="I4" s="14">
        <f t="shared" ca="1" si="13"/>
        <v>0</v>
      </c>
      <c r="J4" t="s">
        <v>18</v>
      </c>
      <c r="K4">
        <f t="shared" si="14"/>
        <v>1</v>
      </c>
      <c r="L4">
        <v>1</v>
      </c>
      <c r="M4" s="15" t="s">
        <v>23</v>
      </c>
      <c r="N4" s="12" t="s">
        <v>28</v>
      </c>
      <c r="O4" s="13" t="s">
        <v>28</v>
      </c>
      <c r="P4" s="16" t="s">
        <v>30</v>
      </c>
      <c r="Q4" s="4" t="s">
        <v>86</v>
      </c>
      <c r="R4" t="s">
        <v>20</v>
      </c>
      <c r="S4">
        <v>0</v>
      </c>
      <c r="T4">
        <f t="shared" ca="1" si="0"/>
        <v>1</v>
      </c>
      <c r="U4">
        <f t="shared" ca="1" si="0"/>
        <v>0</v>
      </c>
      <c r="V4">
        <f t="shared" ca="1" si="0"/>
        <v>0</v>
      </c>
      <c r="W4">
        <f t="shared" ca="1" si="0"/>
        <v>1</v>
      </c>
      <c r="X4">
        <f t="shared" ca="1" si="0"/>
        <v>0</v>
      </c>
      <c r="Y4">
        <f t="shared" ca="1" si="0"/>
        <v>0</v>
      </c>
      <c r="Z4">
        <f t="shared" ca="1" si="0"/>
        <v>0</v>
      </c>
      <c r="AA4">
        <f t="shared" ca="1" si="0"/>
        <v>1</v>
      </c>
      <c r="AB4">
        <f t="shared" ca="1" si="1"/>
        <v>1</v>
      </c>
      <c r="AC4">
        <f t="shared" ca="1" si="1"/>
        <v>0</v>
      </c>
      <c r="AD4">
        <f t="shared" ca="1" si="1"/>
        <v>1</v>
      </c>
      <c r="AE4">
        <f t="shared" ca="1" si="1"/>
        <v>1</v>
      </c>
      <c r="AF4">
        <f t="shared" ca="1" si="1"/>
        <v>1</v>
      </c>
      <c r="AG4">
        <f t="shared" ca="1" si="1"/>
        <v>1</v>
      </c>
      <c r="AH4">
        <f t="shared" ca="1" si="1"/>
        <v>1</v>
      </c>
      <c r="AI4">
        <f t="shared" ca="1" si="1"/>
        <v>0</v>
      </c>
      <c r="AJ4">
        <f t="shared" ca="1" si="1"/>
        <v>0</v>
      </c>
      <c r="AK4">
        <f t="shared" ca="1" si="1"/>
        <v>1</v>
      </c>
      <c r="AL4">
        <f t="shared" ca="1" si="1"/>
        <v>1</v>
      </c>
      <c r="AM4">
        <f t="shared" ca="1" si="1"/>
        <v>0</v>
      </c>
      <c r="AN4">
        <f t="shared" ca="1" si="1"/>
        <v>0</v>
      </c>
      <c r="AO4">
        <f t="shared" ca="1" si="1"/>
        <v>1</v>
      </c>
      <c r="AP4">
        <f t="shared" ca="1" si="1"/>
        <v>1</v>
      </c>
      <c r="AQ4">
        <f t="shared" ca="1" si="1"/>
        <v>0</v>
      </c>
      <c r="AR4" t="s">
        <v>17</v>
      </c>
      <c r="AS4" t="s">
        <v>17</v>
      </c>
      <c r="AT4" t="s">
        <v>17</v>
      </c>
      <c r="AU4" t="s">
        <v>17</v>
      </c>
      <c r="AV4" t="s">
        <v>17</v>
      </c>
      <c r="AW4" t="s">
        <v>17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s="1">
        <f t="shared" ca="1" si="3"/>
        <v>0.5</v>
      </c>
      <c r="BI4" s="1">
        <f t="shared" ca="1" si="15"/>
        <v>0.5</v>
      </c>
      <c r="BJ4" s="1">
        <f t="shared" ca="1" si="16"/>
        <v>0.5</v>
      </c>
      <c r="BK4" s="1">
        <f t="shared" ca="1" si="17"/>
        <v>0.5</v>
      </c>
      <c r="BL4">
        <f t="shared" ca="1" si="4"/>
        <v>9642</v>
      </c>
      <c r="BM4">
        <f t="shared" ca="1" si="4"/>
        <v>5489</v>
      </c>
      <c r="BN4">
        <f t="shared" ca="1" si="5"/>
        <v>2120</v>
      </c>
      <c r="BO4">
        <f t="shared" ca="1" si="5"/>
        <v>2641</v>
      </c>
      <c r="BP4">
        <f t="shared" ca="1" si="6"/>
        <v>952</v>
      </c>
      <c r="BQ4">
        <f t="shared" ca="1" si="6"/>
        <v>3541</v>
      </c>
      <c r="BR4">
        <f t="shared" ca="1" si="7"/>
        <v>2802</v>
      </c>
      <c r="BS4">
        <f t="shared" ca="1" si="7"/>
        <v>1890</v>
      </c>
      <c r="BT4">
        <f t="shared" ca="1" si="8"/>
        <v>1009</v>
      </c>
      <c r="BU4">
        <f t="shared" ca="1" si="8"/>
        <v>8596</v>
      </c>
      <c r="BV4">
        <f t="shared" ca="1" si="8"/>
        <v>5998</v>
      </c>
      <c r="BW4">
        <f t="shared" ca="1" si="8"/>
        <v>4493</v>
      </c>
      <c r="BX4">
        <f t="shared" ca="1" si="9"/>
        <v>653</v>
      </c>
      <c r="BY4">
        <f t="shared" ca="1" si="9"/>
        <v>2673</v>
      </c>
      <c r="BZ4">
        <f t="shared" ca="1" si="9"/>
        <v>907</v>
      </c>
      <c r="CA4">
        <f t="shared" ca="1" si="9"/>
        <v>1766</v>
      </c>
      <c r="CB4" s="7">
        <f ca="1">AVERAGE(BL4:BM33,BP4:BQ33,BT4:BW33)</f>
        <v>5499.6</v>
      </c>
      <c r="CC4" s="7">
        <f ca="1">AVERAGE(BN4:BO33,BR4:BS33,BX4:CA33)</f>
        <v>1712.425</v>
      </c>
    </row>
    <row r="5" spans="1:81" x14ac:dyDescent="0.25">
      <c r="A5">
        <v>4</v>
      </c>
      <c r="B5">
        <f t="shared" ca="1" si="10"/>
        <v>19</v>
      </c>
      <c r="C5">
        <f t="shared" ca="1" si="11"/>
        <v>2</v>
      </c>
      <c r="D5">
        <f t="shared" ca="1" si="11"/>
        <v>3</v>
      </c>
      <c r="E5" t="s">
        <v>180</v>
      </c>
      <c r="F5">
        <f t="shared" ca="1" si="12"/>
        <v>0</v>
      </c>
      <c r="G5">
        <f t="shared" ca="1" si="12"/>
        <v>1</v>
      </c>
      <c r="H5">
        <f t="shared" ca="1" si="12"/>
        <v>0</v>
      </c>
      <c r="I5" s="14">
        <f t="shared" ca="1" si="13"/>
        <v>0</v>
      </c>
      <c r="J5" t="s">
        <v>19</v>
      </c>
      <c r="K5">
        <f t="shared" si="14"/>
        <v>0</v>
      </c>
      <c r="L5">
        <v>1</v>
      </c>
      <c r="M5" s="15" t="s">
        <v>23</v>
      </c>
      <c r="N5" s="12" t="s">
        <v>28</v>
      </c>
      <c r="O5" s="13" t="s">
        <v>28</v>
      </c>
      <c r="P5" s="16" t="s">
        <v>30</v>
      </c>
      <c r="Q5" s="4" t="s">
        <v>86</v>
      </c>
      <c r="R5" t="s">
        <v>20</v>
      </c>
      <c r="S5">
        <v>0</v>
      </c>
      <c r="T5">
        <f t="shared" ca="1" si="0"/>
        <v>1</v>
      </c>
      <c r="U5">
        <f t="shared" ca="1" si="0"/>
        <v>0</v>
      </c>
      <c r="V5">
        <f t="shared" ca="1" si="0"/>
        <v>1</v>
      </c>
      <c r="W5">
        <f t="shared" ca="1" si="0"/>
        <v>0</v>
      </c>
      <c r="X5">
        <f t="shared" ca="1" si="0"/>
        <v>1</v>
      </c>
      <c r="Y5">
        <f t="shared" ca="1" si="0"/>
        <v>1</v>
      </c>
      <c r="Z5">
        <f t="shared" ca="1" si="0"/>
        <v>1</v>
      </c>
      <c r="AA5">
        <f t="shared" ca="1" si="0"/>
        <v>0</v>
      </c>
      <c r="AB5">
        <f t="shared" ca="1" si="1"/>
        <v>0</v>
      </c>
      <c r="AC5">
        <f t="shared" ca="1" si="1"/>
        <v>1</v>
      </c>
      <c r="AD5">
        <f t="shared" ca="1" si="1"/>
        <v>1</v>
      </c>
      <c r="AE5">
        <f t="shared" ca="1" si="1"/>
        <v>0</v>
      </c>
      <c r="AF5">
        <f t="shared" ca="1" si="1"/>
        <v>0</v>
      </c>
      <c r="AG5">
        <f t="shared" ca="1" si="1"/>
        <v>0</v>
      </c>
      <c r="AH5">
        <f t="shared" ca="1" si="1"/>
        <v>0</v>
      </c>
      <c r="AI5">
        <f t="shared" ca="1" si="1"/>
        <v>1</v>
      </c>
      <c r="AJ5">
        <f t="shared" ca="1" si="1"/>
        <v>0</v>
      </c>
      <c r="AK5">
        <f t="shared" ca="1" si="1"/>
        <v>0</v>
      </c>
      <c r="AL5">
        <f t="shared" ca="1" si="1"/>
        <v>1</v>
      </c>
      <c r="AM5">
        <f t="shared" ca="1" si="1"/>
        <v>0</v>
      </c>
      <c r="AN5">
        <f t="shared" ca="1" si="1"/>
        <v>1</v>
      </c>
      <c r="AO5">
        <f t="shared" ca="1" si="1"/>
        <v>0</v>
      </c>
      <c r="AP5">
        <f t="shared" ca="1" si="1"/>
        <v>1</v>
      </c>
      <c r="AQ5">
        <f t="shared" ca="1" si="1"/>
        <v>1</v>
      </c>
      <c r="AR5" t="s">
        <v>17</v>
      </c>
      <c r="AS5" t="s">
        <v>17</v>
      </c>
      <c r="AT5" t="s">
        <v>17</v>
      </c>
      <c r="AU5" t="s">
        <v>17</v>
      </c>
      <c r="AV5" t="s">
        <v>17</v>
      </c>
      <c r="AW5" t="s">
        <v>17</v>
      </c>
      <c r="AX5" t="s">
        <v>17</v>
      </c>
      <c r="AY5" t="s">
        <v>17</v>
      </c>
      <c r="AZ5" t="s">
        <v>17</v>
      </c>
      <c r="BA5" t="s">
        <v>17</v>
      </c>
      <c r="BB5" t="s">
        <v>17</v>
      </c>
      <c r="BC5" t="s">
        <v>17</v>
      </c>
      <c r="BD5" t="s">
        <v>17</v>
      </c>
      <c r="BE5" t="s">
        <v>17</v>
      </c>
      <c r="BF5" t="s">
        <v>17</v>
      </c>
      <c r="BG5" t="s">
        <v>17</v>
      </c>
      <c r="BH5" s="1">
        <f t="shared" ca="1" si="3"/>
        <v>0</v>
      </c>
      <c r="BI5" s="1">
        <f t="shared" ca="1" si="15"/>
        <v>0.5</v>
      </c>
      <c r="BJ5" s="1">
        <f t="shared" ca="1" si="16"/>
        <v>0.5</v>
      </c>
      <c r="BK5" s="1">
        <f t="shared" ca="1" si="17"/>
        <v>1</v>
      </c>
      <c r="BL5">
        <f t="shared" ca="1" si="4"/>
        <v>1401</v>
      </c>
      <c r="BM5">
        <f t="shared" ca="1" si="4"/>
        <v>5170</v>
      </c>
      <c r="BN5">
        <f t="shared" ca="1" si="5"/>
        <v>2948</v>
      </c>
      <c r="BO5">
        <f t="shared" ca="1" si="5"/>
        <v>594</v>
      </c>
      <c r="BP5">
        <f t="shared" ca="1" si="6"/>
        <v>9544</v>
      </c>
      <c r="BQ5">
        <f t="shared" ca="1" si="6"/>
        <v>8722</v>
      </c>
      <c r="BR5">
        <f t="shared" ca="1" si="7"/>
        <v>2046</v>
      </c>
      <c r="BS5">
        <f t="shared" ca="1" si="7"/>
        <v>2792</v>
      </c>
      <c r="BT5">
        <f t="shared" ca="1" si="8"/>
        <v>6366</v>
      </c>
      <c r="BU5">
        <f t="shared" ca="1" si="8"/>
        <v>3079</v>
      </c>
      <c r="BV5">
        <f t="shared" ca="1" si="8"/>
        <v>9298</v>
      </c>
      <c r="BW5">
        <f t="shared" ca="1" si="8"/>
        <v>8875</v>
      </c>
      <c r="BX5">
        <f t="shared" ca="1" si="9"/>
        <v>632</v>
      </c>
      <c r="BY5">
        <f t="shared" ca="1" si="9"/>
        <v>987</v>
      </c>
      <c r="BZ5">
        <f t="shared" ca="1" si="9"/>
        <v>2515</v>
      </c>
      <c r="CA5">
        <f t="shared" ca="1" si="9"/>
        <v>1633</v>
      </c>
      <c r="CB5" s="7">
        <f ca="1">AVERAGE(BL5:BM33,BP5:BQ33,BT5:BW33)</f>
        <v>5518.0344827586205</v>
      </c>
      <c r="CC5" s="7">
        <f ca="1">AVERAGE(BN5:BO33,BR5:BS33,BX5:CA33)</f>
        <v>1704.8706896551723</v>
      </c>
    </row>
    <row r="6" spans="1:81" x14ac:dyDescent="0.25">
      <c r="A6">
        <v>5</v>
      </c>
      <c r="B6">
        <f t="shared" ca="1" si="10"/>
        <v>23</v>
      </c>
      <c r="C6">
        <f t="shared" ca="1" si="11"/>
        <v>1</v>
      </c>
      <c r="D6">
        <f t="shared" ca="1" si="11"/>
        <v>1</v>
      </c>
      <c r="E6" t="s">
        <v>180</v>
      </c>
      <c r="F6">
        <f t="shared" ca="1" si="12"/>
        <v>0</v>
      </c>
      <c r="G6">
        <f t="shared" ca="1" si="12"/>
        <v>1</v>
      </c>
      <c r="H6">
        <f t="shared" ca="1" si="12"/>
        <v>0</v>
      </c>
      <c r="I6" s="14">
        <f t="shared" ca="1" si="13"/>
        <v>1</v>
      </c>
      <c r="J6" t="s">
        <v>18</v>
      </c>
      <c r="K6">
        <f t="shared" si="14"/>
        <v>1</v>
      </c>
      <c r="L6">
        <v>2</v>
      </c>
      <c r="M6" s="15" t="s">
        <v>24</v>
      </c>
      <c r="N6" s="12" t="s">
        <v>30</v>
      </c>
      <c r="O6" s="13" t="s">
        <v>30</v>
      </c>
      <c r="P6" s="16" t="s">
        <v>28</v>
      </c>
      <c r="Q6" s="4" t="s">
        <v>86</v>
      </c>
      <c r="R6" t="s">
        <v>20</v>
      </c>
      <c r="S6">
        <v>0</v>
      </c>
      <c r="T6">
        <f t="shared" ca="1" si="0"/>
        <v>0</v>
      </c>
      <c r="U6">
        <f t="shared" ca="1" si="0"/>
        <v>1</v>
      </c>
      <c r="V6">
        <f t="shared" ca="1" si="0"/>
        <v>0</v>
      </c>
      <c r="W6">
        <f t="shared" ca="1" si="0"/>
        <v>1</v>
      </c>
      <c r="X6">
        <f t="shared" ca="1" si="0"/>
        <v>0</v>
      </c>
      <c r="Y6">
        <f t="shared" ca="1" si="0"/>
        <v>1</v>
      </c>
      <c r="Z6">
        <f t="shared" ca="1" si="0"/>
        <v>0</v>
      </c>
      <c r="AA6">
        <f t="shared" ca="1" si="0"/>
        <v>1</v>
      </c>
      <c r="AB6">
        <f t="shared" ca="1" si="1"/>
        <v>0</v>
      </c>
      <c r="AC6">
        <f t="shared" ca="1" si="1"/>
        <v>0</v>
      </c>
      <c r="AD6">
        <f t="shared" ca="1" si="1"/>
        <v>1</v>
      </c>
      <c r="AE6">
        <f t="shared" ca="1" si="1"/>
        <v>1</v>
      </c>
      <c r="AF6">
        <f t="shared" ca="1" si="1"/>
        <v>0</v>
      </c>
      <c r="AG6">
        <f t="shared" ca="1" si="1"/>
        <v>0</v>
      </c>
      <c r="AH6">
        <f t="shared" ca="1" si="1"/>
        <v>0</v>
      </c>
      <c r="AI6">
        <f t="shared" ca="1" si="1"/>
        <v>1</v>
      </c>
      <c r="AJ6">
        <f t="shared" ca="1" si="1"/>
        <v>1</v>
      </c>
      <c r="AK6">
        <f t="shared" ca="1" si="1"/>
        <v>1</v>
      </c>
      <c r="AL6">
        <f t="shared" ca="1" si="1"/>
        <v>1</v>
      </c>
      <c r="AM6">
        <f t="shared" ca="1" si="1"/>
        <v>1</v>
      </c>
      <c r="AN6">
        <f t="shared" ca="1" si="1"/>
        <v>0</v>
      </c>
      <c r="AO6">
        <f t="shared" ca="1" si="1"/>
        <v>1</v>
      </c>
      <c r="AP6">
        <f t="shared" ca="1" si="1"/>
        <v>1</v>
      </c>
      <c r="AQ6">
        <f t="shared" ca="1" si="1"/>
        <v>1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s="1">
        <f t="shared" ca="1" si="3"/>
        <v>1</v>
      </c>
      <c r="BI6" s="1">
        <f t="shared" ca="1" si="15"/>
        <v>1</v>
      </c>
      <c r="BJ6" s="1">
        <f t="shared" ca="1" si="16"/>
        <v>0.5</v>
      </c>
      <c r="BK6" s="1">
        <f t="shared" ca="1" si="17"/>
        <v>1</v>
      </c>
      <c r="BL6">
        <f t="shared" ca="1" si="4"/>
        <v>1060</v>
      </c>
      <c r="BM6">
        <f t="shared" ca="1" si="4"/>
        <v>2066</v>
      </c>
      <c r="BN6">
        <f t="shared" ca="1" si="5"/>
        <v>1367</v>
      </c>
      <c r="BO6">
        <f t="shared" ca="1" si="5"/>
        <v>1789</v>
      </c>
      <c r="BP6">
        <f t="shared" ca="1" si="6"/>
        <v>7307</v>
      </c>
      <c r="BQ6">
        <f t="shared" ca="1" si="6"/>
        <v>7749</v>
      </c>
      <c r="BR6">
        <f t="shared" ca="1" si="7"/>
        <v>2123</v>
      </c>
      <c r="BS6">
        <f t="shared" ca="1" si="7"/>
        <v>2053</v>
      </c>
      <c r="BT6">
        <f t="shared" ca="1" si="8"/>
        <v>9001</v>
      </c>
      <c r="BU6">
        <f t="shared" ca="1" si="8"/>
        <v>3806</v>
      </c>
      <c r="BV6">
        <f t="shared" ca="1" si="8"/>
        <v>1002</v>
      </c>
      <c r="BW6">
        <f t="shared" ca="1" si="8"/>
        <v>2481</v>
      </c>
      <c r="BX6">
        <f t="shared" ca="1" si="9"/>
        <v>1553</v>
      </c>
      <c r="BY6">
        <f t="shared" ca="1" si="9"/>
        <v>1591</v>
      </c>
      <c r="BZ6">
        <f t="shared" ca="1" si="9"/>
        <v>885</v>
      </c>
      <c r="CA6">
        <f t="shared" ca="1" si="9"/>
        <v>1326</v>
      </c>
      <c r="CB6" s="7">
        <f ca="1">AVERAGE(BL6:BM33,BP6:BQ33,BT6:BW33)</f>
        <v>5480.9330357142853</v>
      </c>
      <c r="CC6" s="7">
        <f ca="1">AVERAGE(BN6:BO33,BR6:BS33,BX6:CA33)</f>
        <v>1702.6026785714287</v>
      </c>
    </row>
    <row r="7" spans="1:81" x14ac:dyDescent="0.25">
      <c r="A7">
        <v>6</v>
      </c>
      <c r="B7">
        <f t="shared" ca="1" si="10"/>
        <v>19</v>
      </c>
      <c r="C7">
        <f t="shared" ca="1" si="11"/>
        <v>2</v>
      </c>
      <c r="D7">
        <f t="shared" ca="1" si="11"/>
        <v>1</v>
      </c>
      <c r="E7" t="s">
        <v>180</v>
      </c>
      <c r="F7">
        <f t="shared" ca="1" si="12"/>
        <v>0</v>
      </c>
      <c r="G7">
        <f t="shared" ca="1" si="12"/>
        <v>0</v>
      </c>
      <c r="H7">
        <f t="shared" ca="1" si="12"/>
        <v>0</v>
      </c>
      <c r="I7" s="14">
        <f t="shared" ca="1" si="13"/>
        <v>0</v>
      </c>
      <c r="J7" t="s">
        <v>19</v>
      </c>
      <c r="K7">
        <f t="shared" si="14"/>
        <v>0</v>
      </c>
      <c r="L7">
        <v>2</v>
      </c>
      <c r="M7" s="15" t="s">
        <v>24</v>
      </c>
      <c r="N7" s="12" t="s">
        <v>30</v>
      </c>
      <c r="O7" s="13" t="s">
        <v>30</v>
      </c>
      <c r="P7" s="16" t="s">
        <v>28</v>
      </c>
      <c r="Q7" s="4" t="s">
        <v>86</v>
      </c>
      <c r="R7" t="s">
        <v>20</v>
      </c>
      <c r="S7">
        <v>0</v>
      </c>
      <c r="T7">
        <f t="shared" ca="1" si="0"/>
        <v>1</v>
      </c>
      <c r="U7">
        <f t="shared" ca="1" si="0"/>
        <v>1</v>
      </c>
      <c r="V7">
        <f t="shared" ca="1" si="0"/>
        <v>1</v>
      </c>
      <c r="W7">
        <f t="shared" ca="1" si="0"/>
        <v>0</v>
      </c>
      <c r="X7">
        <f t="shared" ca="1" si="0"/>
        <v>1</v>
      </c>
      <c r="Y7">
        <f t="shared" ca="1" si="0"/>
        <v>1</v>
      </c>
      <c r="Z7">
        <f t="shared" ca="1" si="0"/>
        <v>0</v>
      </c>
      <c r="AA7">
        <f t="shared" ca="1" si="0"/>
        <v>1</v>
      </c>
      <c r="AB7">
        <f t="shared" ca="1" si="1"/>
        <v>0</v>
      </c>
      <c r="AC7">
        <f t="shared" ca="1" si="1"/>
        <v>1</v>
      </c>
      <c r="AD7">
        <f t="shared" ca="1" si="1"/>
        <v>1</v>
      </c>
      <c r="AE7">
        <f t="shared" ca="1" si="1"/>
        <v>0</v>
      </c>
      <c r="AF7">
        <f t="shared" ca="1" si="1"/>
        <v>1</v>
      </c>
      <c r="AG7">
        <f t="shared" ca="1" si="1"/>
        <v>1</v>
      </c>
      <c r="AH7">
        <f t="shared" ca="1" si="1"/>
        <v>0</v>
      </c>
      <c r="AI7">
        <f t="shared" ca="1" si="1"/>
        <v>1</v>
      </c>
      <c r="AJ7">
        <f t="shared" ca="1" si="1"/>
        <v>0</v>
      </c>
      <c r="AK7">
        <f t="shared" ca="1" si="1"/>
        <v>1</v>
      </c>
      <c r="AL7">
        <f t="shared" ca="1" si="1"/>
        <v>0</v>
      </c>
      <c r="AM7">
        <f t="shared" ca="1" si="1"/>
        <v>0</v>
      </c>
      <c r="AN7">
        <f t="shared" ca="1" si="1"/>
        <v>0</v>
      </c>
      <c r="AO7">
        <f t="shared" ca="1" si="1"/>
        <v>0</v>
      </c>
      <c r="AP7">
        <f t="shared" ca="1" si="1"/>
        <v>0</v>
      </c>
      <c r="AQ7">
        <f t="shared" ca="1" si="1"/>
        <v>1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s="1">
        <f t="shared" ca="1" si="3"/>
        <v>0.5</v>
      </c>
      <c r="BI7" s="1">
        <f t="shared" ca="1" si="15"/>
        <v>0</v>
      </c>
      <c r="BJ7" s="1">
        <f t="shared" ca="1" si="16"/>
        <v>0</v>
      </c>
      <c r="BK7" s="1">
        <f t="shared" ca="1" si="17"/>
        <v>0.5</v>
      </c>
      <c r="BL7">
        <f t="shared" ca="1" si="4"/>
        <v>9945</v>
      </c>
      <c r="BM7">
        <f t="shared" ca="1" si="4"/>
        <v>5609</v>
      </c>
      <c r="BN7">
        <f t="shared" ca="1" si="5"/>
        <v>2099</v>
      </c>
      <c r="BO7">
        <f t="shared" ca="1" si="5"/>
        <v>1173</v>
      </c>
      <c r="BP7">
        <f t="shared" ca="1" si="6"/>
        <v>1303</v>
      </c>
      <c r="BQ7">
        <f t="shared" ca="1" si="6"/>
        <v>5326</v>
      </c>
      <c r="BR7">
        <f t="shared" ca="1" si="7"/>
        <v>800</v>
      </c>
      <c r="BS7">
        <f t="shared" ca="1" si="7"/>
        <v>1543</v>
      </c>
      <c r="BT7">
        <f t="shared" ca="1" si="8"/>
        <v>3658</v>
      </c>
      <c r="BU7">
        <f t="shared" ca="1" si="8"/>
        <v>9493</v>
      </c>
      <c r="BV7">
        <f t="shared" ca="1" si="8"/>
        <v>8498</v>
      </c>
      <c r="BW7">
        <f t="shared" ca="1" si="8"/>
        <v>8982</v>
      </c>
      <c r="BX7">
        <f t="shared" ca="1" si="9"/>
        <v>2652</v>
      </c>
      <c r="BY7">
        <f t="shared" ca="1" si="9"/>
        <v>1891</v>
      </c>
      <c r="BZ7">
        <f t="shared" ca="1" si="9"/>
        <v>2046</v>
      </c>
      <c r="CA7">
        <f t="shared" ca="1" si="9"/>
        <v>601</v>
      </c>
      <c r="CB7" s="7">
        <f ca="1">AVERAGE(BL7:BM33,BP7:BQ33,BT7:BW33)</f>
        <v>5524.3379629629626</v>
      </c>
      <c r="CC7" s="7">
        <f ca="1">AVERAGE(BN7:BO33,BR7:BS33,BX7:CA33)</f>
        <v>1706.9259259259259</v>
      </c>
    </row>
    <row r="8" spans="1:81" x14ac:dyDescent="0.25">
      <c r="A8">
        <v>7</v>
      </c>
      <c r="B8">
        <f t="shared" ca="1" si="10"/>
        <v>21</v>
      </c>
      <c r="C8">
        <f t="shared" ca="1" si="11"/>
        <v>3</v>
      </c>
      <c r="D8">
        <f t="shared" ca="1" si="11"/>
        <v>3</v>
      </c>
      <c r="E8" t="s">
        <v>180</v>
      </c>
      <c r="F8">
        <f t="shared" ca="1" si="12"/>
        <v>0</v>
      </c>
      <c r="G8">
        <f t="shared" ca="1" si="12"/>
        <v>0</v>
      </c>
      <c r="H8">
        <f t="shared" ca="1" si="12"/>
        <v>1</v>
      </c>
      <c r="I8" s="14">
        <f t="shared" ca="1" si="13"/>
        <v>0</v>
      </c>
      <c r="J8" t="s">
        <v>18</v>
      </c>
      <c r="K8">
        <f t="shared" si="14"/>
        <v>1</v>
      </c>
      <c r="L8">
        <v>2</v>
      </c>
      <c r="M8" s="15" t="s">
        <v>24</v>
      </c>
      <c r="N8" s="12" t="s">
        <v>30</v>
      </c>
      <c r="O8" s="13" t="s">
        <v>30</v>
      </c>
      <c r="P8" s="16" t="s">
        <v>28</v>
      </c>
      <c r="Q8" s="4" t="s">
        <v>86</v>
      </c>
      <c r="R8" t="s">
        <v>20</v>
      </c>
      <c r="S8">
        <v>0</v>
      </c>
      <c r="T8">
        <f t="shared" ca="1" si="0"/>
        <v>0</v>
      </c>
      <c r="U8">
        <f t="shared" ca="1" si="0"/>
        <v>0</v>
      </c>
      <c r="V8">
        <f t="shared" ca="1" si="0"/>
        <v>1</v>
      </c>
      <c r="W8">
        <f t="shared" ca="1" si="0"/>
        <v>1</v>
      </c>
      <c r="X8">
        <f t="shared" ca="1" si="0"/>
        <v>1</v>
      </c>
      <c r="Y8">
        <f t="shared" ca="1" si="0"/>
        <v>0</v>
      </c>
      <c r="Z8">
        <f t="shared" ca="1" si="0"/>
        <v>1</v>
      </c>
      <c r="AA8">
        <f t="shared" ca="1" si="0"/>
        <v>1</v>
      </c>
      <c r="AB8">
        <f t="shared" ca="1" si="1"/>
        <v>1</v>
      </c>
      <c r="AC8">
        <f t="shared" ca="1" si="1"/>
        <v>1</v>
      </c>
      <c r="AD8">
        <f t="shared" ca="1" si="1"/>
        <v>1</v>
      </c>
      <c r="AE8">
        <f t="shared" ca="1" si="1"/>
        <v>0</v>
      </c>
      <c r="AF8">
        <f t="shared" ca="1" si="1"/>
        <v>1</v>
      </c>
      <c r="AG8">
        <f t="shared" ca="1" si="1"/>
        <v>1</v>
      </c>
      <c r="AH8">
        <f t="shared" ca="1" si="1"/>
        <v>1</v>
      </c>
      <c r="AI8">
        <f t="shared" ca="1" si="1"/>
        <v>0</v>
      </c>
      <c r="AJ8">
        <f t="shared" ca="1" si="1"/>
        <v>0</v>
      </c>
      <c r="AK8">
        <f t="shared" ca="1" si="1"/>
        <v>0</v>
      </c>
      <c r="AL8">
        <f t="shared" ca="1" si="1"/>
        <v>1</v>
      </c>
      <c r="AM8">
        <f t="shared" ca="1" si="1"/>
        <v>0</v>
      </c>
      <c r="AN8">
        <f t="shared" ca="1" si="1"/>
        <v>1</v>
      </c>
      <c r="AO8">
        <f t="shared" ca="1" si="1"/>
        <v>1</v>
      </c>
      <c r="AP8">
        <f t="shared" ca="1" si="1"/>
        <v>1</v>
      </c>
      <c r="AQ8">
        <f t="shared" ca="1" si="1"/>
        <v>0</v>
      </c>
      <c r="AR8" t="s">
        <v>17</v>
      </c>
      <c r="AS8" t="s">
        <v>17</v>
      </c>
      <c r="AT8" t="s">
        <v>17</v>
      </c>
      <c r="AU8" t="s">
        <v>17</v>
      </c>
      <c r="AV8" t="s">
        <v>17</v>
      </c>
      <c r="AW8" t="s">
        <v>17</v>
      </c>
      <c r="AX8" t="s">
        <v>17</v>
      </c>
      <c r="AY8" t="s">
        <v>17</v>
      </c>
      <c r="AZ8" t="s">
        <v>17</v>
      </c>
      <c r="BA8" t="s">
        <v>17</v>
      </c>
      <c r="BB8" t="s">
        <v>17</v>
      </c>
      <c r="BC8" t="s">
        <v>17</v>
      </c>
      <c r="BD8" t="s">
        <v>17</v>
      </c>
      <c r="BE8" t="s">
        <v>17</v>
      </c>
      <c r="BF8" t="s">
        <v>17</v>
      </c>
      <c r="BG8" t="s">
        <v>17</v>
      </c>
      <c r="BH8" s="1">
        <f t="shared" ca="1" si="3"/>
        <v>0</v>
      </c>
      <c r="BI8" s="1">
        <f t="shared" ca="1" si="15"/>
        <v>0.5</v>
      </c>
      <c r="BJ8" s="1">
        <f t="shared" ca="1" si="16"/>
        <v>1</v>
      </c>
      <c r="BK8" s="1">
        <f t="shared" ca="1" si="17"/>
        <v>0.5</v>
      </c>
      <c r="BL8">
        <f t="shared" ca="1" si="4"/>
        <v>4460</v>
      </c>
      <c r="BM8">
        <f t="shared" ca="1" si="4"/>
        <v>857</v>
      </c>
      <c r="BN8">
        <f t="shared" ca="1" si="5"/>
        <v>1546</v>
      </c>
      <c r="BO8">
        <f t="shared" ca="1" si="5"/>
        <v>1763</v>
      </c>
      <c r="BP8">
        <f t="shared" ca="1" si="6"/>
        <v>4527</v>
      </c>
      <c r="BQ8">
        <f t="shared" ca="1" si="6"/>
        <v>4251</v>
      </c>
      <c r="BR8">
        <f t="shared" ca="1" si="7"/>
        <v>1727</v>
      </c>
      <c r="BS8">
        <f t="shared" ca="1" si="7"/>
        <v>2511</v>
      </c>
      <c r="BT8">
        <f t="shared" ca="1" si="8"/>
        <v>8327</v>
      </c>
      <c r="BU8">
        <f t="shared" ca="1" si="8"/>
        <v>7446</v>
      </c>
      <c r="BV8">
        <f t="shared" ca="1" si="8"/>
        <v>4969</v>
      </c>
      <c r="BW8">
        <f t="shared" ca="1" si="8"/>
        <v>7698</v>
      </c>
      <c r="BX8">
        <f t="shared" ca="1" si="9"/>
        <v>2993</v>
      </c>
      <c r="BY8">
        <f t="shared" ca="1" si="9"/>
        <v>1584</v>
      </c>
      <c r="BZ8">
        <f t="shared" ca="1" si="9"/>
        <v>2550</v>
      </c>
      <c r="CA8">
        <f t="shared" ca="1" si="9"/>
        <v>1289</v>
      </c>
      <c r="CB8" s="7">
        <f ca="1">AVERAGE(BL8:BM33,BP8:BQ33,BT8:BW33)</f>
        <v>5482.8990384615381</v>
      </c>
      <c r="CC8" s="7">
        <f ca="1">AVERAGE(BN8:BO33,BR8:BS33,BX8:CA33)</f>
        <v>1711.0144230769231</v>
      </c>
    </row>
    <row r="9" spans="1:81" x14ac:dyDescent="0.25">
      <c r="A9">
        <v>8</v>
      </c>
      <c r="B9">
        <f t="shared" ca="1" si="10"/>
        <v>19</v>
      </c>
      <c r="C9">
        <f t="shared" ca="1" si="11"/>
        <v>2</v>
      </c>
      <c r="D9">
        <f t="shared" ca="1" si="11"/>
        <v>3</v>
      </c>
      <c r="E9" t="s">
        <v>180</v>
      </c>
      <c r="F9">
        <f t="shared" ca="1" si="12"/>
        <v>1</v>
      </c>
      <c r="G9">
        <f t="shared" ca="1" si="12"/>
        <v>1</v>
      </c>
      <c r="H9">
        <f t="shared" ca="1" si="12"/>
        <v>1</v>
      </c>
      <c r="I9" s="14">
        <f t="shared" ca="1" si="13"/>
        <v>1</v>
      </c>
      <c r="J9" t="s">
        <v>19</v>
      </c>
      <c r="K9">
        <f t="shared" si="14"/>
        <v>0</v>
      </c>
      <c r="L9">
        <v>2</v>
      </c>
      <c r="M9" s="15" t="s">
        <v>24</v>
      </c>
      <c r="N9" s="12" t="s">
        <v>30</v>
      </c>
      <c r="O9" s="13" t="s">
        <v>30</v>
      </c>
      <c r="P9" s="16" t="s">
        <v>28</v>
      </c>
      <c r="Q9" s="4" t="s">
        <v>86</v>
      </c>
      <c r="R9" t="s">
        <v>20</v>
      </c>
      <c r="S9">
        <v>0</v>
      </c>
      <c r="T9">
        <f t="shared" ca="1" si="0"/>
        <v>0</v>
      </c>
      <c r="U9">
        <f t="shared" ca="1" si="0"/>
        <v>1</v>
      </c>
      <c r="V9">
        <f t="shared" ca="1" si="0"/>
        <v>0</v>
      </c>
      <c r="W9">
        <f t="shared" ca="1" si="0"/>
        <v>1</v>
      </c>
      <c r="X9">
        <f t="shared" ca="1" si="0"/>
        <v>0</v>
      </c>
      <c r="Y9">
        <f t="shared" ca="1" si="0"/>
        <v>1</v>
      </c>
      <c r="Z9">
        <f t="shared" ca="1" si="0"/>
        <v>0</v>
      </c>
      <c r="AA9">
        <f t="shared" ca="1" si="0"/>
        <v>0</v>
      </c>
      <c r="AB9">
        <f t="shared" ca="1" si="1"/>
        <v>1</v>
      </c>
      <c r="AC9">
        <f t="shared" ca="1" si="1"/>
        <v>0</v>
      </c>
      <c r="AD9">
        <f t="shared" ca="1" si="1"/>
        <v>0</v>
      </c>
      <c r="AE9">
        <f t="shared" ca="1" si="1"/>
        <v>0</v>
      </c>
      <c r="AF9">
        <f t="shared" ca="1" si="1"/>
        <v>1</v>
      </c>
      <c r="AG9">
        <f t="shared" ca="1" si="1"/>
        <v>0</v>
      </c>
      <c r="AH9">
        <f t="shared" ca="1" si="1"/>
        <v>0</v>
      </c>
      <c r="AI9">
        <f t="shared" ca="1" si="1"/>
        <v>1</v>
      </c>
      <c r="AJ9">
        <f t="shared" ca="1" si="1"/>
        <v>0</v>
      </c>
      <c r="AK9">
        <f t="shared" ca="1" si="1"/>
        <v>0</v>
      </c>
      <c r="AL9">
        <f t="shared" ca="1" si="1"/>
        <v>0</v>
      </c>
      <c r="AM9">
        <f t="shared" ca="1" si="1"/>
        <v>1</v>
      </c>
      <c r="AN9">
        <f t="shared" ca="1" si="1"/>
        <v>0</v>
      </c>
      <c r="AO9">
        <f t="shared" ca="1" si="1"/>
        <v>1</v>
      </c>
      <c r="AP9">
        <f t="shared" ca="1" si="1"/>
        <v>0</v>
      </c>
      <c r="AQ9">
        <f t="shared" ca="1" si="1"/>
        <v>1</v>
      </c>
      <c r="AR9" t="s">
        <v>17</v>
      </c>
      <c r="AS9" t="s">
        <v>17</v>
      </c>
      <c r="AT9" t="s">
        <v>17</v>
      </c>
      <c r="AU9" t="s">
        <v>17</v>
      </c>
      <c r="AV9" t="s">
        <v>17</v>
      </c>
      <c r="AW9" t="s">
        <v>17</v>
      </c>
      <c r="AX9" t="s">
        <v>17</v>
      </c>
      <c r="AY9" t="s">
        <v>17</v>
      </c>
      <c r="AZ9" t="s">
        <v>17</v>
      </c>
      <c r="BA9" t="s">
        <v>17</v>
      </c>
      <c r="BB9" t="s">
        <v>17</v>
      </c>
      <c r="BC9" t="s">
        <v>17</v>
      </c>
      <c r="BD9" t="s">
        <v>17</v>
      </c>
      <c r="BE9" t="s">
        <v>17</v>
      </c>
      <c r="BF9" t="s">
        <v>17</v>
      </c>
      <c r="BG9" t="s">
        <v>17</v>
      </c>
      <c r="BH9" s="1">
        <f t="shared" ca="1" si="3"/>
        <v>0</v>
      </c>
      <c r="BI9" s="1">
        <f t="shared" ca="1" si="15"/>
        <v>0.5</v>
      </c>
      <c r="BJ9" s="1">
        <f t="shared" ca="1" si="16"/>
        <v>0.5</v>
      </c>
      <c r="BK9" s="1">
        <f t="shared" ca="1" si="17"/>
        <v>0.5</v>
      </c>
      <c r="BL9">
        <f t="shared" ca="1" si="4"/>
        <v>6526</v>
      </c>
      <c r="BM9">
        <f t="shared" ca="1" si="4"/>
        <v>5128</v>
      </c>
      <c r="BN9">
        <f t="shared" ca="1" si="5"/>
        <v>2490</v>
      </c>
      <c r="BO9">
        <f t="shared" ca="1" si="5"/>
        <v>2377</v>
      </c>
      <c r="BP9">
        <f t="shared" ca="1" si="6"/>
        <v>1102</v>
      </c>
      <c r="BQ9">
        <f t="shared" ca="1" si="6"/>
        <v>1867</v>
      </c>
      <c r="BR9">
        <f t="shared" ca="1" si="7"/>
        <v>1612</v>
      </c>
      <c r="BS9">
        <f t="shared" ca="1" si="7"/>
        <v>944</v>
      </c>
      <c r="BT9">
        <f t="shared" ca="1" si="8"/>
        <v>1634</v>
      </c>
      <c r="BU9">
        <f t="shared" ca="1" si="8"/>
        <v>9784</v>
      </c>
      <c r="BV9">
        <f t="shared" ca="1" si="8"/>
        <v>9868</v>
      </c>
      <c r="BW9">
        <f t="shared" ca="1" si="8"/>
        <v>9037</v>
      </c>
      <c r="BX9">
        <f t="shared" ca="1" si="9"/>
        <v>526</v>
      </c>
      <c r="BY9">
        <f t="shared" ca="1" si="9"/>
        <v>779</v>
      </c>
      <c r="BZ9">
        <f t="shared" ca="1" si="9"/>
        <v>527</v>
      </c>
      <c r="CA9">
        <f t="shared" ca="1" si="9"/>
        <v>1065</v>
      </c>
      <c r="CB9" s="7">
        <f ca="1">AVERAGE(BL9:BM33,BP9:BQ33,BT9:BW33)</f>
        <v>5489.54</v>
      </c>
      <c r="CC9" s="7">
        <f ca="1">AVERAGE(BN9:BO33,BR9:BS33,BX9:CA33)</f>
        <v>1699.64</v>
      </c>
    </row>
    <row r="10" spans="1:81" x14ac:dyDescent="0.25">
      <c r="A10">
        <v>9</v>
      </c>
      <c r="B10">
        <f t="shared" ca="1" si="10"/>
        <v>23</v>
      </c>
      <c r="C10">
        <f t="shared" ca="1" si="11"/>
        <v>2</v>
      </c>
      <c r="D10">
        <f t="shared" ca="1" si="11"/>
        <v>2</v>
      </c>
      <c r="E10" t="s">
        <v>180</v>
      </c>
      <c r="F10">
        <f t="shared" ca="1" si="12"/>
        <v>0</v>
      </c>
      <c r="G10">
        <f t="shared" ca="1" si="12"/>
        <v>0</v>
      </c>
      <c r="H10">
        <f t="shared" ca="1" si="12"/>
        <v>0</v>
      </c>
      <c r="I10" s="14">
        <f t="shared" ca="1" si="13"/>
        <v>1</v>
      </c>
      <c r="J10" t="s">
        <v>18</v>
      </c>
      <c r="K10">
        <f t="shared" si="14"/>
        <v>1</v>
      </c>
      <c r="L10">
        <v>3</v>
      </c>
      <c r="M10" s="15" t="s">
        <v>25</v>
      </c>
      <c r="N10" s="12" t="s">
        <v>31</v>
      </c>
      <c r="O10" s="13" t="s">
        <v>31</v>
      </c>
      <c r="P10" s="16" t="s">
        <v>32</v>
      </c>
      <c r="Q10" s="4" t="s">
        <v>86</v>
      </c>
      <c r="R10" t="s">
        <v>20</v>
      </c>
      <c r="S10">
        <v>0</v>
      </c>
      <c r="T10">
        <f t="shared" ca="1" si="0"/>
        <v>1</v>
      </c>
      <c r="U10">
        <f t="shared" ca="1" si="0"/>
        <v>0</v>
      </c>
      <c r="V10">
        <f t="shared" ca="1" si="0"/>
        <v>0</v>
      </c>
      <c r="W10">
        <f t="shared" ca="1" si="0"/>
        <v>0</v>
      </c>
      <c r="X10">
        <f t="shared" ca="1" si="0"/>
        <v>0</v>
      </c>
      <c r="Y10">
        <f t="shared" ca="1" si="0"/>
        <v>1</v>
      </c>
      <c r="Z10">
        <f t="shared" ca="1" si="0"/>
        <v>0</v>
      </c>
      <c r="AA10">
        <f t="shared" ca="1" si="0"/>
        <v>0</v>
      </c>
      <c r="AB10">
        <f t="shared" ca="1" si="1"/>
        <v>0</v>
      </c>
      <c r="AC10">
        <f t="shared" ca="1" si="1"/>
        <v>0</v>
      </c>
      <c r="AD10">
        <f t="shared" ca="1" si="1"/>
        <v>0</v>
      </c>
      <c r="AE10">
        <f t="shared" ca="1" si="1"/>
        <v>0</v>
      </c>
      <c r="AF10">
        <f t="shared" ca="1" si="1"/>
        <v>1</v>
      </c>
      <c r="AG10">
        <f t="shared" ca="1" si="1"/>
        <v>1</v>
      </c>
      <c r="AH10">
        <f t="shared" ca="1" si="1"/>
        <v>0</v>
      </c>
      <c r="AI10">
        <f t="shared" ca="1" si="1"/>
        <v>1</v>
      </c>
      <c r="AJ10">
        <f t="shared" ca="1" si="1"/>
        <v>1</v>
      </c>
      <c r="AK10">
        <f t="shared" ca="1" si="1"/>
        <v>1</v>
      </c>
      <c r="AL10">
        <f t="shared" ca="1" si="1"/>
        <v>1</v>
      </c>
      <c r="AM10">
        <f t="shared" ca="1" si="1"/>
        <v>1</v>
      </c>
      <c r="AN10">
        <f t="shared" ca="1" si="1"/>
        <v>0</v>
      </c>
      <c r="AO10">
        <f t="shared" ca="1" si="1"/>
        <v>0</v>
      </c>
      <c r="AP10">
        <f t="shared" ca="1" si="1"/>
        <v>1</v>
      </c>
      <c r="AQ10">
        <f t="shared" ca="1" si="1"/>
        <v>0</v>
      </c>
      <c r="AR10" t="s">
        <v>17</v>
      </c>
      <c r="AS10" t="s">
        <v>17</v>
      </c>
      <c r="AT10" t="s">
        <v>17</v>
      </c>
      <c r="AU10" t="s">
        <v>17</v>
      </c>
      <c r="AV10" t="s">
        <v>17</v>
      </c>
      <c r="AW10" t="s">
        <v>17</v>
      </c>
      <c r="AX10" t="s">
        <v>17</v>
      </c>
      <c r="AY10" t="s">
        <v>17</v>
      </c>
      <c r="AZ10" t="s">
        <v>17</v>
      </c>
      <c r="BA10" t="s">
        <v>17</v>
      </c>
      <c r="BB10" t="s">
        <v>17</v>
      </c>
      <c r="BC10" t="s">
        <v>17</v>
      </c>
      <c r="BD10" t="s">
        <v>17</v>
      </c>
      <c r="BE10" t="s">
        <v>17</v>
      </c>
      <c r="BF10" t="s">
        <v>17</v>
      </c>
      <c r="BG10" t="s">
        <v>17</v>
      </c>
      <c r="BH10" s="1">
        <f t="shared" ca="1" si="3"/>
        <v>1</v>
      </c>
      <c r="BI10" s="1">
        <f t="shared" ca="1" si="15"/>
        <v>1</v>
      </c>
      <c r="BJ10" s="1">
        <f t="shared" ca="1" si="16"/>
        <v>0</v>
      </c>
      <c r="BK10" s="1">
        <f t="shared" ca="1" si="17"/>
        <v>0.5</v>
      </c>
      <c r="BL10">
        <f t="shared" ca="1" si="4"/>
        <v>3218</v>
      </c>
      <c r="BM10">
        <f t="shared" ca="1" si="4"/>
        <v>4945</v>
      </c>
      <c r="BN10">
        <f t="shared" ca="1" si="5"/>
        <v>621</v>
      </c>
      <c r="BO10">
        <f t="shared" ca="1" si="5"/>
        <v>836</v>
      </c>
      <c r="BP10">
        <f t="shared" ca="1" si="6"/>
        <v>8360</v>
      </c>
      <c r="BQ10">
        <f t="shared" ca="1" si="6"/>
        <v>6304</v>
      </c>
      <c r="BR10">
        <f t="shared" ca="1" si="7"/>
        <v>1092</v>
      </c>
      <c r="BS10">
        <f t="shared" ca="1" si="7"/>
        <v>2069</v>
      </c>
      <c r="BT10">
        <f t="shared" ca="1" si="8"/>
        <v>2573</v>
      </c>
      <c r="BU10">
        <f t="shared" ca="1" si="8"/>
        <v>6419</v>
      </c>
      <c r="BV10">
        <f t="shared" ca="1" si="8"/>
        <v>7558</v>
      </c>
      <c r="BW10">
        <f t="shared" ca="1" si="8"/>
        <v>9883</v>
      </c>
      <c r="BX10">
        <f t="shared" ca="1" si="9"/>
        <v>2641</v>
      </c>
      <c r="BY10">
        <f t="shared" ca="1" si="9"/>
        <v>1330</v>
      </c>
      <c r="BZ10">
        <f t="shared" ca="1" si="9"/>
        <v>2591</v>
      </c>
      <c r="CA10">
        <f t="shared" ca="1" si="9"/>
        <v>658</v>
      </c>
      <c r="CB10" s="7">
        <f ca="1">AVERAGE(BL10:BM33,BP10:BQ33,BT10:BW33)</f>
        <v>5484.177083333333</v>
      </c>
      <c r="CC10" s="7">
        <f ca="1">AVERAGE(BN10:BO33,BR10:BS33,BX10:CA33)</f>
        <v>1716.7083333333333</v>
      </c>
    </row>
    <row r="11" spans="1:81" x14ac:dyDescent="0.25">
      <c r="A11">
        <v>10</v>
      </c>
      <c r="B11">
        <f t="shared" ca="1" si="10"/>
        <v>22</v>
      </c>
      <c r="C11">
        <f t="shared" ca="1" si="11"/>
        <v>2</v>
      </c>
      <c r="D11">
        <f t="shared" ca="1" si="11"/>
        <v>4</v>
      </c>
      <c r="E11" t="s">
        <v>180</v>
      </c>
      <c r="F11">
        <f t="shared" ca="1" si="12"/>
        <v>0</v>
      </c>
      <c r="G11">
        <f t="shared" ca="1" si="12"/>
        <v>0</v>
      </c>
      <c r="H11">
        <f t="shared" ca="1" si="12"/>
        <v>1</v>
      </c>
      <c r="I11" s="14">
        <f t="shared" ca="1" si="13"/>
        <v>0</v>
      </c>
      <c r="J11" t="s">
        <v>19</v>
      </c>
      <c r="K11">
        <f t="shared" si="14"/>
        <v>0</v>
      </c>
      <c r="L11">
        <v>3</v>
      </c>
      <c r="M11" s="15" t="s">
        <v>25</v>
      </c>
      <c r="N11" s="12" t="s">
        <v>31</v>
      </c>
      <c r="O11" s="13" t="s">
        <v>31</v>
      </c>
      <c r="P11" s="16" t="s">
        <v>32</v>
      </c>
      <c r="Q11" s="4" t="s">
        <v>86</v>
      </c>
      <c r="R11" t="s">
        <v>20</v>
      </c>
      <c r="S11">
        <v>0</v>
      </c>
      <c r="T11">
        <f t="shared" ca="1" si="0"/>
        <v>1</v>
      </c>
      <c r="U11">
        <f t="shared" ca="1" si="0"/>
        <v>1</v>
      </c>
      <c r="V11">
        <f t="shared" ca="1" si="0"/>
        <v>1</v>
      </c>
      <c r="W11">
        <f t="shared" ca="1" si="0"/>
        <v>0</v>
      </c>
      <c r="X11">
        <f t="shared" ca="1" si="0"/>
        <v>1</v>
      </c>
      <c r="Y11">
        <f t="shared" ca="1" si="0"/>
        <v>0</v>
      </c>
      <c r="Z11">
        <f t="shared" ca="1" si="0"/>
        <v>1</v>
      </c>
      <c r="AA11">
        <f t="shared" ca="1" si="0"/>
        <v>1</v>
      </c>
      <c r="AB11">
        <f t="shared" ca="1" si="1"/>
        <v>1</v>
      </c>
      <c r="AC11">
        <f t="shared" ca="1" si="1"/>
        <v>1</v>
      </c>
      <c r="AD11">
        <f t="shared" ca="1" si="1"/>
        <v>1</v>
      </c>
      <c r="AE11">
        <f t="shared" ca="1" si="1"/>
        <v>0</v>
      </c>
      <c r="AF11">
        <f t="shared" ca="1" si="1"/>
        <v>1</v>
      </c>
      <c r="AG11">
        <f t="shared" ca="1" si="1"/>
        <v>0</v>
      </c>
      <c r="AH11">
        <f t="shared" ca="1" si="1"/>
        <v>1</v>
      </c>
      <c r="AI11">
        <f t="shared" ca="1" si="1"/>
        <v>0</v>
      </c>
      <c r="AJ11">
        <f t="shared" ca="1" si="1"/>
        <v>1</v>
      </c>
      <c r="AK11">
        <f t="shared" ca="1" si="1"/>
        <v>1</v>
      </c>
      <c r="AL11">
        <f t="shared" ca="1" si="1"/>
        <v>1</v>
      </c>
      <c r="AM11">
        <f t="shared" ca="1" si="1"/>
        <v>1</v>
      </c>
      <c r="AN11">
        <f t="shared" ca="1" si="1"/>
        <v>0</v>
      </c>
      <c r="AO11">
        <f t="shared" ca="1" si="1"/>
        <v>0</v>
      </c>
      <c r="AP11">
        <f t="shared" ca="1" si="1"/>
        <v>1</v>
      </c>
      <c r="AQ11">
        <f t="shared" ca="1" si="1"/>
        <v>0</v>
      </c>
      <c r="AR11" t="s">
        <v>17</v>
      </c>
      <c r="AS11" t="s">
        <v>17</v>
      </c>
      <c r="AT11" t="s">
        <v>17</v>
      </c>
      <c r="AU11" t="s">
        <v>17</v>
      </c>
      <c r="AV11" t="s">
        <v>17</v>
      </c>
      <c r="AW11" t="s">
        <v>17</v>
      </c>
      <c r="AX11" t="s">
        <v>17</v>
      </c>
      <c r="AY11" t="s">
        <v>17</v>
      </c>
      <c r="AZ11" t="s">
        <v>17</v>
      </c>
      <c r="BA11" t="s">
        <v>17</v>
      </c>
      <c r="BB11" t="s">
        <v>17</v>
      </c>
      <c r="BC11" t="s">
        <v>17</v>
      </c>
      <c r="BD11" t="s">
        <v>17</v>
      </c>
      <c r="BE11" t="s">
        <v>17</v>
      </c>
      <c r="BF11" t="s">
        <v>17</v>
      </c>
      <c r="BG11" t="s">
        <v>17</v>
      </c>
      <c r="BH11" s="1">
        <f t="shared" ca="1" si="3"/>
        <v>1</v>
      </c>
      <c r="BI11" s="1">
        <f t="shared" ca="1" si="15"/>
        <v>1</v>
      </c>
      <c r="BJ11" s="1">
        <f t="shared" ca="1" si="16"/>
        <v>0</v>
      </c>
      <c r="BK11" s="1">
        <f t="shared" ca="1" si="17"/>
        <v>0.5</v>
      </c>
      <c r="BL11">
        <f t="shared" ca="1" si="4"/>
        <v>9221</v>
      </c>
      <c r="BM11">
        <f t="shared" ca="1" si="4"/>
        <v>5067</v>
      </c>
      <c r="BN11">
        <f t="shared" ca="1" si="5"/>
        <v>2644</v>
      </c>
      <c r="BO11">
        <f t="shared" ca="1" si="5"/>
        <v>1131</v>
      </c>
      <c r="BP11">
        <f t="shared" ca="1" si="6"/>
        <v>4664</v>
      </c>
      <c r="BQ11">
        <f t="shared" ca="1" si="6"/>
        <v>6636</v>
      </c>
      <c r="BR11">
        <f t="shared" ca="1" si="7"/>
        <v>1765</v>
      </c>
      <c r="BS11">
        <f t="shared" ca="1" si="7"/>
        <v>2313</v>
      </c>
      <c r="BT11">
        <f t="shared" ca="1" si="8"/>
        <v>9706</v>
      </c>
      <c r="BU11">
        <f t="shared" ca="1" si="8"/>
        <v>3287</v>
      </c>
      <c r="BV11">
        <f t="shared" ca="1" si="8"/>
        <v>2314</v>
      </c>
      <c r="BW11">
        <f t="shared" ca="1" si="8"/>
        <v>9778</v>
      </c>
      <c r="BX11">
        <f t="shared" ca="1" si="9"/>
        <v>1753</v>
      </c>
      <c r="BY11">
        <f t="shared" ca="1" si="9"/>
        <v>1882</v>
      </c>
      <c r="BZ11">
        <f t="shared" ca="1" si="9"/>
        <v>1059</v>
      </c>
      <c r="CA11">
        <f t="shared" ca="1" si="9"/>
        <v>1710</v>
      </c>
      <c r="CB11" s="7">
        <f ca="1">AVERAGE(BL11:BM33,BP11:BQ33,BT11:BW33)</f>
        <v>5454.902173913043</v>
      </c>
      <c r="CC11" s="7">
        <f ca="1">AVERAGE(BN11:BO33,BR11:BS33,BX11:CA33)</f>
        <v>1727.0108695652175</v>
      </c>
    </row>
    <row r="12" spans="1:81" x14ac:dyDescent="0.25">
      <c r="A12">
        <v>11</v>
      </c>
      <c r="B12">
        <f t="shared" ca="1" si="10"/>
        <v>20</v>
      </c>
      <c r="C12">
        <f t="shared" ca="1" si="11"/>
        <v>1</v>
      </c>
      <c r="D12">
        <f t="shared" ca="1" si="11"/>
        <v>4</v>
      </c>
      <c r="E12" t="s">
        <v>180</v>
      </c>
      <c r="F12">
        <f t="shared" ca="1" si="12"/>
        <v>1</v>
      </c>
      <c r="G12">
        <f t="shared" ca="1" si="12"/>
        <v>1</v>
      </c>
      <c r="H12">
        <f t="shared" ca="1" si="12"/>
        <v>0</v>
      </c>
      <c r="I12" s="14">
        <f t="shared" ca="1" si="13"/>
        <v>1</v>
      </c>
      <c r="J12" t="s">
        <v>18</v>
      </c>
      <c r="K12">
        <f t="shared" si="14"/>
        <v>1</v>
      </c>
      <c r="L12">
        <v>3</v>
      </c>
      <c r="M12" s="15" t="s">
        <v>25</v>
      </c>
      <c r="N12" s="12" t="s">
        <v>31</v>
      </c>
      <c r="O12" s="13" t="s">
        <v>31</v>
      </c>
      <c r="P12" s="16" t="s">
        <v>32</v>
      </c>
      <c r="Q12" s="4" t="s">
        <v>86</v>
      </c>
      <c r="R12" t="s">
        <v>20</v>
      </c>
      <c r="S12">
        <v>0</v>
      </c>
      <c r="T12">
        <f t="shared" ca="1" si="0"/>
        <v>0</v>
      </c>
      <c r="U12">
        <f t="shared" ca="1" si="0"/>
        <v>1</v>
      </c>
      <c r="V12">
        <f t="shared" ca="1" si="0"/>
        <v>0</v>
      </c>
      <c r="W12">
        <f t="shared" ca="1" si="0"/>
        <v>0</v>
      </c>
      <c r="X12">
        <f t="shared" ca="1" si="0"/>
        <v>0</v>
      </c>
      <c r="Y12">
        <f t="shared" ca="1" si="0"/>
        <v>1</v>
      </c>
      <c r="Z12">
        <f t="shared" ca="1" si="0"/>
        <v>1</v>
      </c>
      <c r="AA12">
        <f t="shared" ca="1" si="0"/>
        <v>0</v>
      </c>
      <c r="AB12">
        <f t="shared" ca="1" si="1"/>
        <v>0</v>
      </c>
      <c r="AC12">
        <f t="shared" ca="1" si="1"/>
        <v>0</v>
      </c>
      <c r="AD12">
        <f t="shared" ca="1" si="1"/>
        <v>0</v>
      </c>
      <c r="AE12">
        <f t="shared" ca="1" si="1"/>
        <v>1</v>
      </c>
      <c r="AF12">
        <f t="shared" ca="1" si="1"/>
        <v>1</v>
      </c>
      <c r="AG12">
        <f t="shared" ca="1" si="1"/>
        <v>1</v>
      </c>
      <c r="AH12">
        <f t="shared" ca="1" si="1"/>
        <v>0</v>
      </c>
      <c r="AI12">
        <f t="shared" ca="1" si="1"/>
        <v>1</v>
      </c>
      <c r="AJ12">
        <f t="shared" ca="1" si="1"/>
        <v>0</v>
      </c>
      <c r="AK12">
        <f t="shared" ca="1" si="1"/>
        <v>1</v>
      </c>
      <c r="AL12">
        <f t="shared" ca="1" si="1"/>
        <v>1</v>
      </c>
      <c r="AM12">
        <f t="shared" ca="1" si="1"/>
        <v>1</v>
      </c>
      <c r="AN12">
        <f t="shared" ca="1" si="1"/>
        <v>1</v>
      </c>
      <c r="AO12">
        <f t="shared" ca="1" si="1"/>
        <v>0</v>
      </c>
      <c r="AP12">
        <f t="shared" ca="1" si="1"/>
        <v>0</v>
      </c>
      <c r="AQ12">
        <f t="shared" ca="1" si="1"/>
        <v>1</v>
      </c>
      <c r="AR12" t="s">
        <v>17</v>
      </c>
      <c r="AS12" t="s">
        <v>17</v>
      </c>
      <c r="AT12" t="s">
        <v>17</v>
      </c>
      <c r="AU12" t="s">
        <v>17</v>
      </c>
      <c r="AV12" t="s">
        <v>17</v>
      </c>
      <c r="AW12" t="s">
        <v>17</v>
      </c>
      <c r="AX12" t="s">
        <v>17</v>
      </c>
      <c r="AY12" t="s">
        <v>17</v>
      </c>
      <c r="AZ12" t="s">
        <v>17</v>
      </c>
      <c r="BA12" t="s">
        <v>17</v>
      </c>
      <c r="BB12" t="s">
        <v>17</v>
      </c>
      <c r="BC12" t="s">
        <v>17</v>
      </c>
      <c r="BD12" t="s">
        <v>17</v>
      </c>
      <c r="BE12" t="s">
        <v>17</v>
      </c>
      <c r="BF12" t="s">
        <v>17</v>
      </c>
      <c r="BG12" t="s">
        <v>17</v>
      </c>
      <c r="BH12" s="1">
        <f t="shared" ca="1" si="3"/>
        <v>0.5</v>
      </c>
      <c r="BI12" s="1">
        <f t="shared" ca="1" si="15"/>
        <v>1</v>
      </c>
      <c r="BJ12" s="1">
        <f t="shared" ca="1" si="16"/>
        <v>0.5</v>
      </c>
      <c r="BK12" s="1">
        <f t="shared" ca="1" si="17"/>
        <v>0.5</v>
      </c>
      <c r="BL12">
        <f t="shared" ca="1" si="4"/>
        <v>8053</v>
      </c>
      <c r="BM12">
        <f t="shared" ca="1" si="4"/>
        <v>1510</v>
      </c>
      <c r="BN12">
        <f t="shared" ca="1" si="5"/>
        <v>821</v>
      </c>
      <c r="BO12">
        <f t="shared" ca="1" si="5"/>
        <v>2717</v>
      </c>
      <c r="BP12">
        <f t="shared" ca="1" si="6"/>
        <v>1748</v>
      </c>
      <c r="BQ12">
        <f t="shared" ca="1" si="6"/>
        <v>4646</v>
      </c>
      <c r="BR12">
        <f t="shared" ca="1" si="7"/>
        <v>2712</v>
      </c>
      <c r="BS12">
        <f t="shared" ca="1" si="7"/>
        <v>767</v>
      </c>
      <c r="BT12">
        <f t="shared" ca="1" si="8"/>
        <v>8151</v>
      </c>
      <c r="BU12">
        <f t="shared" ca="1" si="8"/>
        <v>5344</v>
      </c>
      <c r="BV12">
        <f t="shared" ca="1" si="8"/>
        <v>7313</v>
      </c>
      <c r="BW12">
        <f t="shared" ca="1" si="8"/>
        <v>6719</v>
      </c>
      <c r="BX12">
        <f t="shared" ca="1" si="9"/>
        <v>1070</v>
      </c>
      <c r="BY12">
        <f t="shared" ca="1" si="9"/>
        <v>902</v>
      </c>
      <c r="BZ12">
        <f t="shared" ca="1" si="9"/>
        <v>1482</v>
      </c>
      <c r="CA12">
        <f t="shared" ca="1" si="9"/>
        <v>557</v>
      </c>
      <c r="CB12" s="7">
        <f ca="1">AVERAGE(BL12:BM33,BP12:BQ33,BT12:BW33)</f>
        <v>5414.9375</v>
      </c>
      <c r="CC12" s="7">
        <f ca="1">AVERAGE(BN12:BO33,BR12:BS33,BX12:CA33)</f>
        <v>1724.5056818181818</v>
      </c>
    </row>
    <row r="13" spans="1:81" x14ac:dyDescent="0.25">
      <c r="A13">
        <v>12</v>
      </c>
      <c r="B13">
        <f t="shared" ca="1" si="10"/>
        <v>19</v>
      </c>
      <c r="C13">
        <f t="shared" ca="1" si="11"/>
        <v>3</v>
      </c>
      <c r="D13">
        <f t="shared" ca="1" si="11"/>
        <v>1</v>
      </c>
      <c r="E13" t="s">
        <v>180</v>
      </c>
      <c r="F13">
        <f t="shared" ca="1" si="12"/>
        <v>1</v>
      </c>
      <c r="G13">
        <f t="shared" ca="1" si="12"/>
        <v>1</v>
      </c>
      <c r="H13">
        <f t="shared" ca="1" si="12"/>
        <v>0</v>
      </c>
      <c r="I13" s="14">
        <f t="shared" ca="1" si="13"/>
        <v>1</v>
      </c>
      <c r="J13" t="s">
        <v>19</v>
      </c>
      <c r="K13">
        <f t="shared" si="14"/>
        <v>0</v>
      </c>
      <c r="L13">
        <v>3</v>
      </c>
      <c r="M13" s="15" t="s">
        <v>25</v>
      </c>
      <c r="N13" s="12" t="s">
        <v>31</v>
      </c>
      <c r="O13" s="13" t="s">
        <v>31</v>
      </c>
      <c r="P13" s="16" t="s">
        <v>32</v>
      </c>
      <c r="Q13" s="4" t="s">
        <v>86</v>
      </c>
      <c r="R13" t="s">
        <v>20</v>
      </c>
      <c r="S13">
        <v>0</v>
      </c>
      <c r="T13">
        <f t="shared" ca="1" si="0"/>
        <v>0</v>
      </c>
      <c r="U13">
        <f t="shared" ca="1" si="0"/>
        <v>1</v>
      </c>
      <c r="V13">
        <f t="shared" ca="1" si="0"/>
        <v>1</v>
      </c>
      <c r="W13">
        <f t="shared" ca="1" si="0"/>
        <v>0</v>
      </c>
      <c r="X13">
        <f t="shared" ca="1" si="0"/>
        <v>1</v>
      </c>
      <c r="Y13">
        <f t="shared" ca="1" si="0"/>
        <v>0</v>
      </c>
      <c r="Z13">
        <f t="shared" ca="1" si="0"/>
        <v>0</v>
      </c>
      <c r="AA13">
        <f t="shared" ca="1" si="0"/>
        <v>1</v>
      </c>
      <c r="AB13">
        <f t="shared" ca="1" si="1"/>
        <v>1</v>
      </c>
      <c r="AC13">
        <f t="shared" ca="1" si="1"/>
        <v>1</v>
      </c>
      <c r="AD13">
        <f t="shared" ca="1" si="1"/>
        <v>1</v>
      </c>
      <c r="AE13">
        <f t="shared" ca="1" si="1"/>
        <v>0</v>
      </c>
      <c r="AF13">
        <f t="shared" ca="1" si="1"/>
        <v>1</v>
      </c>
      <c r="AG13">
        <f t="shared" ca="1" si="1"/>
        <v>0</v>
      </c>
      <c r="AH13">
        <f t="shared" ca="1" si="1"/>
        <v>1</v>
      </c>
      <c r="AI13">
        <f t="shared" ca="1" si="1"/>
        <v>0</v>
      </c>
      <c r="AJ13">
        <f t="shared" ca="1" si="1"/>
        <v>0</v>
      </c>
      <c r="AK13">
        <f t="shared" ca="1" si="1"/>
        <v>1</v>
      </c>
      <c r="AL13">
        <f t="shared" ca="1" si="1"/>
        <v>1</v>
      </c>
      <c r="AM13">
        <f t="shared" ca="1" si="1"/>
        <v>1</v>
      </c>
      <c r="AN13">
        <f t="shared" ca="1" si="1"/>
        <v>1</v>
      </c>
      <c r="AO13">
        <f t="shared" ca="1" si="1"/>
        <v>1</v>
      </c>
      <c r="AP13">
        <f t="shared" ca="1" si="1"/>
        <v>0</v>
      </c>
      <c r="AQ13">
        <f t="shared" ca="1" si="1"/>
        <v>1</v>
      </c>
      <c r="AR13" t="s">
        <v>17</v>
      </c>
      <c r="AS13" t="s">
        <v>17</v>
      </c>
      <c r="AT13" t="s">
        <v>17</v>
      </c>
      <c r="AU13" t="s">
        <v>17</v>
      </c>
      <c r="AV13" t="s">
        <v>17</v>
      </c>
      <c r="AW13" t="s">
        <v>17</v>
      </c>
      <c r="AX13" t="s">
        <v>17</v>
      </c>
      <c r="AY13" t="s">
        <v>17</v>
      </c>
      <c r="AZ13" t="s">
        <v>17</v>
      </c>
      <c r="BA13" t="s">
        <v>17</v>
      </c>
      <c r="BB13" t="s">
        <v>17</v>
      </c>
      <c r="BC13" t="s">
        <v>17</v>
      </c>
      <c r="BD13" t="s">
        <v>17</v>
      </c>
      <c r="BE13" t="s">
        <v>17</v>
      </c>
      <c r="BF13" t="s">
        <v>17</v>
      </c>
      <c r="BG13" t="s">
        <v>17</v>
      </c>
      <c r="BH13" s="1">
        <f t="shared" ca="1" si="3"/>
        <v>0.5</v>
      </c>
      <c r="BI13" s="1">
        <f t="shared" ca="1" si="15"/>
        <v>1</v>
      </c>
      <c r="BJ13" s="1">
        <f t="shared" ca="1" si="16"/>
        <v>1</v>
      </c>
      <c r="BK13" s="1">
        <f t="shared" ca="1" si="17"/>
        <v>0.5</v>
      </c>
      <c r="BL13">
        <f t="shared" ca="1" si="4"/>
        <v>4810</v>
      </c>
      <c r="BM13">
        <f t="shared" ca="1" si="4"/>
        <v>8127</v>
      </c>
      <c r="BN13">
        <f t="shared" ca="1" si="5"/>
        <v>1022</v>
      </c>
      <c r="BO13">
        <f t="shared" ca="1" si="5"/>
        <v>2730</v>
      </c>
      <c r="BP13">
        <f t="shared" ca="1" si="6"/>
        <v>4510</v>
      </c>
      <c r="BQ13">
        <f t="shared" ca="1" si="6"/>
        <v>1338</v>
      </c>
      <c r="BR13">
        <f t="shared" ca="1" si="7"/>
        <v>2306</v>
      </c>
      <c r="BS13">
        <f t="shared" ca="1" si="7"/>
        <v>1554</v>
      </c>
      <c r="BT13">
        <f t="shared" ca="1" si="8"/>
        <v>7631</v>
      </c>
      <c r="BU13">
        <f t="shared" ca="1" si="8"/>
        <v>8584</v>
      </c>
      <c r="BV13">
        <f t="shared" ca="1" si="8"/>
        <v>3457</v>
      </c>
      <c r="BW13">
        <f t="shared" ca="1" si="8"/>
        <v>5963</v>
      </c>
      <c r="BX13">
        <f t="shared" ca="1" si="9"/>
        <v>832</v>
      </c>
      <c r="BY13">
        <f t="shared" ca="1" si="9"/>
        <v>2014</v>
      </c>
      <c r="BZ13">
        <f t="shared" ca="1" si="9"/>
        <v>992</v>
      </c>
      <c r="CA13">
        <f t="shared" ca="1" si="9"/>
        <v>1837</v>
      </c>
      <c r="CB13" s="7">
        <f ca="1">AVERAGE(BL13:BM33,BP13:BQ33,BT13:BW33)</f>
        <v>5413.958333333333</v>
      </c>
      <c r="CC13" s="7">
        <f ca="1">AVERAGE(BN13:BO33,BR13:BS33,BX13:CA33)</f>
        <v>1740.9821428571429</v>
      </c>
    </row>
    <row r="14" spans="1:81" x14ac:dyDescent="0.25">
      <c r="A14">
        <v>13</v>
      </c>
      <c r="B14">
        <f t="shared" ca="1" si="10"/>
        <v>22</v>
      </c>
      <c r="C14">
        <f t="shared" ca="1" si="11"/>
        <v>1</v>
      </c>
      <c r="D14">
        <f t="shared" ca="1" si="11"/>
        <v>1</v>
      </c>
      <c r="E14" t="s">
        <v>180</v>
      </c>
      <c r="F14">
        <f t="shared" ca="1" si="12"/>
        <v>1</v>
      </c>
      <c r="G14">
        <f t="shared" ca="1" si="12"/>
        <v>0</v>
      </c>
      <c r="H14">
        <f t="shared" ca="1" si="12"/>
        <v>0</v>
      </c>
      <c r="I14" s="14">
        <f t="shared" ca="1" si="13"/>
        <v>1</v>
      </c>
      <c r="J14" t="s">
        <v>18</v>
      </c>
      <c r="K14">
        <f t="shared" si="14"/>
        <v>1</v>
      </c>
      <c r="L14">
        <v>4</v>
      </c>
      <c r="M14" s="15" t="s">
        <v>26</v>
      </c>
      <c r="N14" s="12" t="s">
        <v>32</v>
      </c>
      <c r="O14" s="13" t="s">
        <v>32</v>
      </c>
      <c r="P14" s="16" t="s">
        <v>31</v>
      </c>
      <c r="Q14" s="4" t="s">
        <v>86</v>
      </c>
      <c r="R14" t="s">
        <v>20</v>
      </c>
      <c r="S14">
        <v>0</v>
      </c>
      <c r="T14">
        <f t="shared" ca="1" si="0"/>
        <v>1</v>
      </c>
      <c r="U14">
        <f t="shared" ca="1" si="0"/>
        <v>0</v>
      </c>
      <c r="V14">
        <f t="shared" ca="1" si="0"/>
        <v>0</v>
      </c>
      <c r="W14">
        <f t="shared" ca="1" si="0"/>
        <v>1</v>
      </c>
      <c r="X14">
        <f t="shared" ca="1" si="0"/>
        <v>1</v>
      </c>
      <c r="Y14">
        <f t="shared" ca="1" si="0"/>
        <v>0</v>
      </c>
      <c r="Z14">
        <f t="shared" ca="1" si="0"/>
        <v>0</v>
      </c>
      <c r="AA14">
        <f t="shared" ca="1" si="0"/>
        <v>1</v>
      </c>
      <c r="AB14">
        <f t="shared" ca="1" si="1"/>
        <v>1</v>
      </c>
      <c r="AC14">
        <f t="shared" ca="1" si="1"/>
        <v>1</v>
      </c>
      <c r="AD14">
        <f t="shared" ca="1" si="1"/>
        <v>1</v>
      </c>
      <c r="AE14">
        <f t="shared" ca="1" si="1"/>
        <v>0</v>
      </c>
      <c r="AF14">
        <f t="shared" ca="1" si="1"/>
        <v>1</v>
      </c>
      <c r="AG14">
        <f t="shared" ca="1" si="1"/>
        <v>0</v>
      </c>
      <c r="AH14">
        <f t="shared" ca="1" si="1"/>
        <v>1</v>
      </c>
      <c r="AI14">
        <f t="shared" ca="1" si="1"/>
        <v>0</v>
      </c>
      <c r="AJ14">
        <f t="shared" ca="1" si="1"/>
        <v>0</v>
      </c>
      <c r="AK14">
        <f t="shared" ca="1" si="1"/>
        <v>1</v>
      </c>
      <c r="AL14">
        <f t="shared" ca="1" si="1"/>
        <v>1</v>
      </c>
      <c r="AM14">
        <f t="shared" ca="1" si="1"/>
        <v>0</v>
      </c>
      <c r="AN14">
        <f t="shared" ca="1" si="1"/>
        <v>0</v>
      </c>
      <c r="AO14">
        <f t="shared" ca="1" si="1"/>
        <v>0</v>
      </c>
      <c r="AP14">
        <f t="shared" ca="1" si="1"/>
        <v>0</v>
      </c>
      <c r="AQ14">
        <f t="shared" ca="1" si="1"/>
        <v>1</v>
      </c>
      <c r="AR14" t="s">
        <v>17</v>
      </c>
      <c r="AS14" t="s">
        <v>17</v>
      </c>
      <c r="AT14" t="s">
        <v>17</v>
      </c>
      <c r="AU14" t="s">
        <v>17</v>
      </c>
      <c r="AV14" t="s">
        <v>17</v>
      </c>
      <c r="AW14" t="s">
        <v>17</v>
      </c>
      <c r="AX14" t="s">
        <v>17</v>
      </c>
      <c r="AY14" t="s">
        <v>17</v>
      </c>
      <c r="AZ14" t="s">
        <v>17</v>
      </c>
      <c r="BA14" t="s">
        <v>17</v>
      </c>
      <c r="BB14" t="s">
        <v>17</v>
      </c>
      <c r="BC14" t="s">
        <v>17</v>
      </c>
      <c r="BD14" t="s">
        <v>17</v>
      </c>
      <c r="BE14" t="s">
        <v>17</v>
      </c>
      <c r="BF14" t="s">
        <v>17</v>
      </c>
      <c r="BG14" t="s">
        <v>17</v>
      </c>
      <c r="BH14" s="1">
        <f t="shared" ca="1" si="3"/>
        <v>0.5</v>
      </c>
      <c r="BI14" s="1">
        <f t="shared" ca="1" si="15"/>
        <v>0.5</v>
      </c>
      <c r="BJ14" s="1">
        <f t="shared" ca="1" si="16"/>
        <v>0</v>
      </c>
      <c r="BK14" s="1">
        <f t="shared" ca="1" si="17"/>
        <v>0.5</v>
      </c>
      <c r="BL14">
        <f t="shared" ca="1" si="4"/>
        <v>7603</v>
      </c>
      <c r="BM14">
        <f t="shared" ca="1" si="4"/>
        <v>3137</v>
      </c>
      <c r="BN14">
        <f t="shared" ca="1" si="5"/>
        <v>706</v>
      </c>
      <c r="BO14">
        <f t="shared" ca="1" si="5"/>
        <v>2444</v>
      </c>
      <c r="BP14">
        <f t="shared" ca="1" si="6"/>
        <v>2650</v>
      </c>
      <c r="BQ14">
        <f t="shared" ca="1" si="6"/>
        <v>9345</v>
      </c>
      <c r="BR14">
        <f t="shared" ca="1" si="7"/>
        <v>2956</v>
      </c>
      <c r="BS14">
        <f t="shared" ca="1" si="7"/>
        <v>609</v>
      </c>
      <c r="BT14">
        <f t="shared" ca="1" si="8"/>
        <v>8574</v>
      </c>
      <c r="BU14">
        <f t="shared" ca="1" si="8"/>
        <v>7326</v>
      </c>
      <c r="BV14">
        <f t="shared" ca="1" si="8"/>
        <v>584</v>
      </c>
      <c r="BW14">
        <f t="shared" ca="1" si="8"/>
        <v>599</v>
      </c>
      <c r="BX14">
        <f t="shared" ca="1" si="9"/>
        <v>1001</v>
      </c>
      <c r="BY14">
        <f t="shared" ca="1" si="9"/>
        <v>528</v>
      </c>
      <c r="BZ14">
        <f t="shared" ca="1" si="9"/>
        <v>578</v>
      </c>
      <c r="CA14">
        <f t="shared" ca="1" si="9"/>
        <v>720</v>
      </c>
      <c r="CB14" s="7">
        <f ca="1">AVERAGE(BL14:BM33,BP14:BQ33,BT14:BW33)</f>
        <v>5407.03125</v>
      </c>
      <c r="CC14" s="7">
        <f ca="1">AVERAGE(BN14:BO33,BR14:BS33,BX14:CA33)</f>
        <v>1744.9875</v>
      </c>
    </row>
    <row r="15" spans="1:81" x14ac:dyDescent="0.25">
      <c r="A15">
        <v>14</v>
      </c>
      <c r="B15">
        <f t="shared" ca="1" si="10"/>
        <v>25</v>
      </c>
      <c r="C15">
        <f t="shared" ca="1" si="11"/>
        <v>1</v>
      </c>
      <c r="D15">
        <f t="shared" ca="1" si="11"/>
        <v>3</v>
      </c>
      <c r="E15" t="s">
        <v>180</v>
      </c>
      <c r="F15">
        <f t="shared" ca="1" si="12"/>
        <v>0</v>
      </c>
      <c r="G15">
        <f t="shared" ca="1" si="12"/>
        <v>0</v>
      </c>
      <c r="H15">
        <f t="shared" ca="1" si="12"/>
        <v>1</v>
      </c>
      <c r="I15" s="14">
        <f t="shared" ca="1" si="13"/>
        <v>0</v>
      </c>
      <c r="J15" t="s">
        <v>19</v>
      </c>
      <c r="K15">
        <f t="shared" si="14"/>
        <v>0</v>
      </c>
      <c r="L15">
        <v>4</v>
      </c>
      <c r="M15" s="15" t="s">
        <v>26</v>
      </c>
      <c r="N15" s="12" t="s">
        <v>32</v>
      </c>
      <c r="O15" s="13" t="s">
        <v>32</v>
      </c>
      <c r="P15" s="16" t="s">
        <v>31</v>
      </c>
      <c r="Q15" s="4" t="s">
        <v>86</v>
      </c>
      <c r="R15" t="s">
        <v>20</v>
      </c>
      <c r="S15">
        <v>0</v>
      </c>
      <c r="T15">
        <f t="shared" ca="1" si="0"/>
        <v>0</v>
      </c>
      <c r="U15">
        <f t="shared" ca="1" si="0"/>
        <v>0</v>
      </c>
      <c r="V15">
        <f t="shared" ca="1" si="0"/>
        <v>1</v>
      </c>
      <c r="W15">
        <f t="shared" ca="1" si="0"/>
        <v>0</v>
      </c>
      <c r="X15">
        <f t="shared" ca="1" si="0"/>
        <v>1</v>
      </c>
      <c r="Y15">
        <f t="shared" ca="1" si="0"/>
        <v>0</v>
      </c>
      <c r="Z15">
        <f t="shared" ca="1" si="0"/>
        <v>0</v>
      </c>
      <c r="AA15">
        <f t="shared" ca="1" si="0"/>
        <v>0</v>
      </c>
      <c r="AB15">
        <f t="shared" ca="1" si="1"/>
        <v>0</v>
      </c>
      <c r="AC15">
        <f t="shared" ca="1" si="1"/>
        <v>0</v>
      </c>
      <c r="AD15">
        <f t="shared" ca="1" si="1"/>
        <v>0</v>
      </c>
      <c r="AE15">
        <f t="shared" ca="1" si="1"/>
        <v>0</v>
      </c>
      <c r="AF15">
        <f t="shared" ca="1" si="1"/>
        <v>1</v>
      </c>
      <c r="AG15">
        <f t="shared" ca="1" si="1"/>
        <v>1</v>
      </c>
      <c r="AH15">
        <f t="shared" ca="1" si="1"/>
        <v>1</v>
      </c>
      <c r="AI15">
        <f t="shared" ca="1" si="1"/>
        <v>0</v>
      </c>
      <c r="AJ15">
        <f t="shared" ca="1" si="1"/>
        <v>0</v>
      </c>
      <c r="AK15">
        <f t="shared" ca="1" si="1"/>
        <v>0</v>
      </c>
      <c r="AL15">
        <f t="shared" ca="1" si="1"/>
        <v>1</v>
      </c>
      <c r="AM15">
        <f t="shared" ca="1" si="1"/>
        <v>1</v>
      </c>
      <c r="AN15">
        <f t="shared" ca="1" si="1"/>
        <v>0</v>
      </c>
      <c r="AO15">
        <f t="shared" ca="1" si="1"/>
        <v>0</v>
      </c>
      <c r="AP15">
        <f t="shared" ca="1" si="1"/>
        <v>1</v>
      </c>
      <c r="AQ15">
        <f t="shared" ca="1" si="1"/>
        <v>1</v>
      </c>
      <c r="AR15" t="s">
        <v>17</v>
      </c>
      <c r="AS15" t="s">
        <v>17</v>
      </c>
      <c r="AT15" t="s">
        <v>17</v>
      </c>
      <c r="AU15" t="s">
        <v>17</v>
      </c>
      <c r="AV15" t="s">
        <v>17</v>
      </c>
      <c r="AW15" t="s">
        <v>17</v>
      </c>
      <c r="AX15" t="s">
        <v>17</v>
      </c>
      <c r="AY15" t="s">
        <v>17</v>
      </c>
      <c r="AZ15" t="s">
        <v>17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s="1">
        <f t="shared" ca="1" si="3"/>
        <v>0</v>
      </c>
      <c r="BI15" s="1">
        <f t="shared" ca="1" si="15"/>
        <v>1</v>
      </c>
      <c r="BJ15" s="1">
        <f t="shared" ca="1" si="16"/>
        <v>0</v>
      </c>
      <c r="BK15" s="1">
        <f t="shared" ca="1" si="17"/>
        <v>1</v>
      </c>
      <c r="BL15">
        <f t="shared" ca="1" si="4"/>
        <v>906</v>
      </c>
      <c r="BM15">
        <f t="shared" ca="1" si="4"/>
        <v>5343</v>
      </c>
      <c r="BN15">
        <f t="shared" ca="1" si="5"/>
        <v>741</v>
      </c>
      <c r="BO15">
        <f t="shared" ca="1" si="5"/>
        <v>786</v>
      </c>
      <c r="BP15">
        <f t="shared" ca="1" si="6"/>
        <v>2804</v>
      </c>
      <c r="BQ15">
        <f t="shared" ca="1" si="6"/>
        <v>2376</v>
      </c>
      <c r="BR15">
        <f t="shared" ca="1" si="7"/>
        <v>796</v>
      </c>
      <c r="BS15">
        <f t="shared" ca="1" si="7"/>
        <v>2587</v>
      </c>
      <c r="BT15">
        <f t="shared" ca="1" si="8"/>
        <v>2189</v>
      </c>
      <c r="BU15">
        <f t="shared" ca="1" si="8"/>
        <v>5880</v>
      </c>
      <c r="BV15">
        <f t="shared" ca="1" si="8"/>
        <v>5398</v>
      </c>
      <c r="BW15">
        <f t="shared" ca="1" si="8"/>
        <v>7400</v>
      </c>
      <c r="BX15">
        <f t="shared" ca="1" si="9"/>
        <v>719</v>
      </c>
      <c r="BY15">
        <f t="shared" ca="1" si="9"/>
        <v>876</v>
      </c>
      <c r="BZ15">
        <f t="shared" ca="1" si="9"/>
        <v>1140</v>
      </c>
      <c r="CA15">
        <f t="shared" ca="1" si="9"/>
        <v>1496</v>
      </c>
      <c r="CB15" s="7">
        <f ca="1">AVERAGE(BL15:BM33,BP15:BQ33,BT15:BW33)</f>
        <v>5429.6513157894733</v>
      </c>
      <c r="CC15" s="7">
        <f ca="1">AVERAGE(BN15:BO33,BR15:BS33,BX15:CA33)</f>
        <v>1774.0526315789473</v>
      </c>
    </row>
    <row r="16" spans="1:81" x14ac:dyDescent="0.25">
      <c r="A16">
        <v>15</v>
      </c>
      <c r="B16">
        <f t="shared" ca="1" si="10"/>
        <v>23</v>
      </c>
      <c r="C16">
        <f t="shared" ca="1" si="11"/>
        <v>4</v>
      </c>
      <c r="D16">
        <f t="shared" ca="1" si="11"/>
        <v>3</v>
      </c>
      <c r="E16" t="s">
        <v>180</v>
      </c>
      <c r="F16">
        <f t="shared" ca="1" si="12"/>
        <v>0</v>
      </c>
      <c r="G16">
        <f t="shared" ca="1" si="12"/>
        <v>1</v>
      </c>
      <c r="H16">
        <f t="shared" ca="1" si="12"/>
        <v>0</v>
      </c>
      <c r="I16" s="14">
        <f t="shared" ca="1" si="13"/>
        <v>1</v>
      </c>
      <c r="J16" t="s">
        <v>18</v>
      </c>
      <c r="K16">
        <f t="shared" si="14"/>
        <v>1</v>
      </c>
      <c r="L16">
        <v>4</v>
      </c>
      <c r="M16" s="15" t="s">
        <v>26</v>
      </c>
      <c r="N16" s="12" t="s">
        <v>32</v>
      </c>
      <c r="O16" s="13" t="s">
        <v>32</v>
      </c>
      <c r="P16" s="16" t="s">
        <v>31</v>
      </c>
      <c r="Q16" s="4" t="s">
        <v>86</v>
      </c>
      <c r="R16" t="s">
        <v>20</v>
      </c>
      <c r="S16">
        <v>0</v>
      </c>
      <c r="T16">
        <f t="shared" ca="1" si="0"/>
        <v>0</v>
      </c>
      <c r="U16">
        <f t="shared" ca="1" si="0"/>
        <v>1</v>
      </c>
      <c r="V16">
        <f t="shared" ca="1" si="0"/>
        <v>1</v>
      </c>
      <c r="W16">
        <f t="shared" ca="1" si="0"/>
        <v>0</v>
      </c>
      <c r="X16">
        <f t="shared" ca="1" si="0"/>
        <v>1</v>
      </c>
      <c r="Y16">
        <f t="shared" ca="1" si="0"/>
        <v>1</v>
      </c>
      <c r="Z16">
        <f t="shared" ca="1" si="0"/>
        <v>0</v>
      </c>
      <c r="AA16">
        <f t="shared" ca="1" si="0"/>
        <v>1</v>
      </c>
      <c r="AB16">
        <f t="shared" ca="1" si="1"/>
        <v>0</v>
      </c>
      <c r="AC16">
        <f t="shared" ca="1" si="1"/>
        <v>0</v>
      </c>
      <c r="AD16">
        <f t="shared" ca="1" si="1"/>
        <v>0</v>
      </c>
      <c r="AE16">
        <f t="shared" ca="1" si="1"/>
        <v>1</v>
      </c>
      <c r="AF16">
        <f t="shared" ca="1" si="1"/>
        <v>0</v>
      </c>
      <c r="AG16">
        <f t="shared" ca="1" si="1"/>
        <v>0</v>
      </c>
      <c r="AH16">
        <f t="shared" ca="1" si="1"/>
        <v>0</v>
      </c>
      <c r="AI16">
        <f t="shared" ca="1" si="1"/>
        <v>0</v>
      </c>
      <c r="AJ16">
        <f t="shared" ca="1" si="1"/>
        <v>1</v>
      </c>
      <c r="AK16">
        <f t="shared" ca="1" si="1"/>
        <v>0</v>
      </c>
      <c r="AL16">
        <f t="shared" ca="1" si="1"/>
        <v>1</v>
      </c>
      <c r="AM16">
        <f t="shared" ca="1" si="1"/>
        <v>0</v>
      </c>
      <c r="AN16">
        <f t="shared" ca="1" si="1"/>
        <v>0</v>
      </c>
      <c r="AO16">
        <f t="shared" ca="1" si="1"/>
        <v>1</v>
      </c>
      <c r="AP16">
        <f t="shared" ca="1" si="1"/>
        <v>0</v>
      </c>
      <c r="AQ16">
        <f t="shared" ca="1" si="1"/>
        <v>0</v>
      </c>
      <c r="AR16" t="s">
        <v>17</v>
      </c>
      <c r="AS16" t="s">
        <v>17</v>
      </c>
      <c r="AT16" t="s">
        <v>17</v>
      </c>
      <c r="AU16" t="s">
        <v>17</v>
      </c>
      <c r="AV16" t="s">
        <v>17</v>
      </c>
      <c r="AW16" t="s">
        <v>17</v>
      </c>
      <c r="AX16" t="s">
        <v>17</v>
      </c>
      <c r="AY16" t="s">
        <v>17</v>
      </c>
      <c r="AZ16" t="s">
        <v>17</v>
      </c>
      <c r="BA16" t="s">
        <v>17</v>
      </c>
      <c r="BB16" t="s">
        <v>17</v>
      </c>
      <c r="BC16" t="s">
        <v>17</v>
      </c>
      <c r="BD16" t="s">
        <v>17</v>
      </c>
      <c r="BE16" t="s">
        <v>17</v>
      </c>
      <c r="BF16" t="s">
        <v>17</v>
      </c>
      <c r="BG16" t="s">
        <v>17</v>
      </c>
      <c r="BH16" s="1">
        <f t="shared" ca="1" si="3"/>
        <v>0.5</v>
      </c>
      <c r="BI16" s="1">
        <f t="shared" ca="1" si="15"/>
        <v>0.5</v>
      </c>
      <c r="BJ16" s="1">
        <f t="shared" ca="1" si="16"/>
        <v>0.5</v>
      </c>
      <c r="BK16" s="1">
        <f t="shared" ca="1" si="17"/>
        <v>0</v>
      </c>
      <c r="BL16">
        <f t="shared" ca="1" si="4"/>
        <v>6764</v>
      </c>
      <c r="BM16">
        <f t="shared" ca="1" si="4"/>
        <v>3066</v>
      </c>
      <c r="BN16">
        <f t="shared" ca="1" si="5"/>
        <v>2700</v>
      </c>
      <c r="BO16">
        <f t="shared" ca="1" si="5"/>
        <v>2269</v>
      </c>
      <c r="BP16">
        <f t="shared" ca="1" si="6"/>
        <v>9725</v>
      </c>
      <c r="BQ16">
        <f t="shared" ca="1" si="6"/>
        <v>2790</v>
      </c>
      <c r="BR16">
        <f t="shared" ca="1" si="7"/>
        <v>2781</v>
      </c>
      <c r="BS16">
        <f t="shared" ca="1" si="7"/>
        <v>2900</v>
      </c>
      <c r="BT16">
        <f t="shared" ca="1" si="8"/>
        <v>8344</v>
      </c>
      <c r="BU16">
        <f t="shared" ca="1" si="8"/>
        <v>3997</v>
      </c>
      <c r="BV16">
        <f t="shared" ca="1" si="8"/>
        <v>9937</v>
      </c>
      <c r="BW16">
        <f t="shared" ca="1" si="8"/>
        <v>8453</v>
      </c>
      <c r="BX16">
        <f t="shared" ca="1" si="9"/>
        <v>2726</v>
      </c>
      <c r="BY16">
        <f t="shared" ca="1" si="9"/>
        <v>1776</v>
      </c>
      <c r="BZ16">
        <f t="shared" ca="1" si="9"/>
        <v>2317</v>
      </c>
      <c r="CA16">
        <f t="shared" ca="1" si="9"/>
        <v>2023</v>
      </c>
      <c r="CB16" s="7">
        <f ca="1">AVERAGE(BL16:BM33,BP16:BQ33,BT16:BW33)</f>
        <v>5507.020833333333</v>
      </c>
      <c r="CC16" s="7">
        <f ca="1">AVERAGE(BN16:BO33,BR16:BS33,BX16:CA33)</f>
        <v>1809.1319444444443</v>
      </c>
    </row>
    <row r="17" spans="1:81" x14ac:dyDescent="0.25">
      <c r="A17">
        <v>16</v>
      </c>
      <c r="B17">
        <f t="shared" ca="1" si="10"/>
        <v>21</v>
      </c>
      <c r="C17">
        <f t="shared" ca="1" si="11"/>
        <v>2</v>
      </c>
      <c r="D17">
        <f t="shared" ca="1" si="11"/>
        <v>3</v>
      </c>
      <c r="E17" t="s">
        <v>180</v>
      </c>
      <c r="F17">
        <f t="shared" ca="1" si="12"/>
        <v>0</v>
      </c>
      <c r="G17">
        <f t="shared" ca="1" si="12"/>
        <v>0</v>
      </c>
      <c r="H17">
        <f t="shared" ca="1" si="12"/>
        <v>1</v>
      </c>
      <c r="I17" s="14">
        <f t="shared" ca="1" si="13"/>
        <v>1</v>
      </c>
      <c r="J17" t="s">
        <v>19</v>
      </c>
      <c r="K17">
        <f t="shared" si="14"/>
        <v>0</v>
      </c>
      <c r="L17">
        <v>4</v>
      </c>
      <c r="M17" s="15" t="s">
        <v>26</v>
      </c>
      <c r="N17" s="12" t="s">
        <v>32</v>
      </c>
      <c r="O17" s="13" t="s">
        <v>32</v>
      </c>
      <c r="P17" s="16" t="s">
        <v>31</v>
      </c>
      <c r="Q17" s="4" t="s">
        <v>86</v>
      </c>
      <c r="R17" t="s">
        <v>20</v>
      </c>
      <c r="S17">
        <v>0</v>
      </c>
      <c r="T17">
        <f t="shared" ca="1" si="0"/>
        <v>0</v>
      </c>
      <c r="U17">
        <f t="shared" ca="1" si="0"/>
        <v>1</v>
      </c>
      <c r="V17">
        <f t="shared" ca="1" si="0"/>
        <v>0</v>
      </c>
      <c r="W17">
        <f t="shared" ca="1" si="0"/>
        <v>0</v>
      </c>
      <c r="X17">
        <f t="shared" ca="1" si="0"/>
        <v>1</v>
      </c>
      <c r="Y17">
        <f t="shared" ca="1" si="0"/>
        <v>0</v>
      </c>
      <c r="Z17">
        <f t="shared" ca="1" si="0"/>
        <v>0</v>
      </c>
      <c r="AA17">
        <f t="shared" ca="1" si="0"/>
        <v>0</v>
      </c>
      <c r="AB17">
        <f t="shared" ca="1" si="1"/>
        <v>0</v>
      </c>
      <c r="AC17">
        <f t="shared" ca="1" si="1"/>
        <v>0</v>
      </c>
      <c r="AD17">
        <f t="shared" ca="1" si="1"/>
        <v>1</v>
      </c>
      <c r="AE17">
        <f t="shared" ca="1" si="1"/>
        <v>0</v>
      </c>
      <c r="AF17">
        <f t="shared" ca="1" si="1"/>
        <v>0</v>
      </c>
      <c r="AG17">
        <f t="shared" ca="1" si="1"/>
        <v>1</v>
      </c>
      <c r="AH17">
        <f t="shared" ca="1" si="1"/>
        <v>0</v>
      </c>
      <c r="AI17">
        <f t="shared" ca="1" si="1"/>
        <v>0</v>
      </c>
      <c r="AJ17">
        <f t="shared" ca="1" si="1"/>
        <v>0</v>
      </c>
      <c r="AK17">
        <f t="shared" ca="1" si="1"/>
        <v>1</v>
      </c>
      <c r="AL17">
        <f t="shared" ca="1" si="1"/>
        <v>0</v>
      </c>
      <c r="AM17">
        <f t="shared" ca="1" si="1"/>
        <v>1</v>
      </c>
      <c r="AN17">
        <f t="shared" ca="1" si="1"/>
        <v>1</v>
      </c>
      <c r="AO17">
        <f t="shared" ca="1" si="1"/>
        <v>0</v>
      </c>
      <c r="AP17">
        <f t="shared" ca="1" si="1"/>
        <v>1</v>
      </c>
      <c r="AQ17">
        <f t="shared" ca="1" si="1"/>
        <v>1</v>
      </c>
      <c r="AR17" t="s">
        <v>17</v>
      </c>
      <c r="AS17" t="s">
        <v>17</v>
      </c>
      <c r="AT17" t="s">
        <v>17</v>
      </c>
      <c r="AU17" t="s">
        <v>17</v>
      </c>
      <c r="AV17" t="s">
        <v>17</v>
      </c>
      <c r="AW17" t="s">
        <v>17</v>
      </c>
      <c r="AX17" t="s">
        <v>17</v>
      </c>
      <c r="AY17" t="s">
        <v>17</v>
      </c>
      <c r="AZ17" t="s">
        <v>17</v>
      </c>
      <c r="BA17" t="s">
        <v>17</v>
      </c>
      <c r="BB17" t="s">
        <v>17</v>
      </c>
      <c r="BC17" t="s">
        <v>17</v>
      </c>
      <c r="BD17" t="s">
        <v>17</v>
      </c>
      <c r="BE17" t="s">
        <v>17</v>
      </c>
      <c r="BF17" t="s">
        <v>17</v>
      </c>
      <c r="BG17" t="s">
        <v>17</v>
      </c>
      <c r="BH17" s="1">
        <f t="shared" ca="1" si="3"/>
        <v>0.5</v>
      </c>
      <c r="BI17" s="1">
        <f t="shared" ca="1" si="15"/>
        <v>0.5</v>
      </c>
      <c r="BJ17" s="1">
        <f t="shared" ca="1" si="16"/>
        <v>0.5</v>
      </c>
      <c r="BK17" s="1">
        <f t="shared" ca="1" si="17"/>
        <v>1</v>
      </c>
      <c r="BL17">
        <f t="shared" ca="1" si="4"/>
        <v>3171</v>
      </c>
      <c r="BM17">
        <f t="shared" ca="1" si="4"/>
        <v>4021</v>
      </c>
      <c r="BN17">
        <f t="shared" ca="1" si="5"/>
        <v>524</v>
      </c>
      <c r="BO17">
        <f t="shared" ca="1" si="5"/>
        <v>1339</v>
      </c>
      <c r="BP17">
        <f t="shared" ca="1" si="6"/>
        <v>2919</v>
      </c>
      <c r="BQ17">
        <f t="shared" ca="1" si="6"/>
        <v>9477</v>
      </c>
      <c r="BR17">
        <f t="shared" ca="1" si="7"/>
        <v>1686</v>
      </c>
      <c r="BS17">
        <f t="shared" ca="1" si="7"/>
        <v>1180</v>
      </c>
      <c r="BT17">
        <f t="shared" ca="1" si="8"/>
        <v>8084</v>
      </c>
      <c r="BU17">
        <f t="shared" ca="1" si="8"/>
        <v>3796</v>
      </c>
      <c r="BV17">
        <f t="shared" ca="1" si="8"/>
        <v>7641</v>
      </c>
      <c r="BW17">
        <f t="shared" ca="1" si="8"/>
        <v>8644</v>
      </c>
      <c r="BX17">
        <f t="shared" ca="1" si="9"/>
        <v>659</v>
      </c>
      <c r="BY17">
        <f t="shared" ca="1" si="9"/>
        <v>2805</v>
      </c>
      <c r="BZ17">
        <f t="shared" ca="1" si="9"/>
        <v>2440</v>
      </c>
      <c r="CA17">
        <f t="shared" ca="1" si="9"/>
        <v>2645</v>
      </c>
      <c r="CB17" s="7">
        <f ca="1">AVERAGE(BL17:BM33,BP17:BQ33,BT17:BW33)</f>
        <v>5440.6985294117649</v>
      </c>
      <c r="CC17" s="7">
        <f ca="1">AVERAGE(BN17:BO33,BR17:BS33,BX17:CA33)</f>
        <v>1772.2279411764705</v>
      </c>
    </row>
    <row r="18" spans="1:81" x14ac:dyDescent="0.25">
      <c r="A18">
        <v>17</v>
      </c>
      <c r="B18">
        <f t="shared" ca="1" si="10"/>
        <v>25</v>
      </c>
      <c r="C18">
        <f t="shared" ca="1" si="11"/>
        <v>2</v>
      </c>
      <c r="D18">
        <f t="shared" ca="1" si="11"/>
        <v>3</v>
      </c>
      <c r="E18" t="s">
        <v>180</v>
      </c>
      <c r="F18">
        <f t="shared" ca="1" si="12"/>
        <v>1</v>
      </c>
      <c r="G18">
        <f t="shared" ca="1" si="12"/>
        <v>0</v>
      </c>
      <c r="H18">
        <f t="shared" ca="1" si="12"/>
        <v>0</v>
      </c>
      <c r="I18" s="14">
        <f t="shared" ca="1" si="13"/>
        <v>1</v>
      </c>
      <c r="J18" t="s">
        <v>18</v>
      </c>
      <c r="K18">
        <f t="shared" si="14"/>
        <v>1</v>
      </c>
      <c r="L18">
        <v>1</v>
      </c>
      <c r="M18" s="15" t="s">
        <v>23</v>
      </c>
      <c r="N18" s="12" t="s">
        <v>28</v>
      </c>
      <c r="O18" s="13" t="s">
        <v>28</v>
      </c>
      <c r="P18" s="16" t="s">
        <v>30</v>
      </c>
      <c r="Q18" s="4" t="s">
        <v>86</v>
      </c>
      <c r="R18" t="s">
        <v>21</v>
      </c>
      <c r="S18">
        <v>1</v>
      </c>
      <c r="T18">
        <f t="shared" ref="T18:AA33" ca="1" si="18">RANDBETWEEN(0,1)</f>
        <v>1</v>
      </c>
      <c r="U18">
        <f t="shared" ca="1" si="18"/>
        <v>1</v>
      </c>
      <c r="V18">
        <f t="shared" ca="1" si="18"/>
        <v>0</v>
      </c>
      <c r="W18">
        <f t="shared" ca="1" si="18"/>
        <v>1</v>
      </c>
      <c r="X18">
        <f t="shared" ca="1" si="18"/>
        <v>1</v>
      </c>
      <c r="Y18">
        <f t="shared" ca="1" si="18"/>
        <v>1</v>
      </c>
      <c r="Z18">
        <f t="shared" ca="1" si="18"/>
        <v>0</v>
      </c>
      <c r="AA18">
        <f t="shared" ca="1" si="18"/>
        <v>0</v>
      </c>
      <c r="AB18">
        <f t="shared" ref="AB18:AQ33" ca="1" si="19">RANDBETWEEN(0,1)</f>
        <v>0</v>
      </c>
      <c r="AC18">
        <f t="shared" ca="1" si="19"/>
        <v>0</v>
      </c>
      <c r="AD18">
        <f t="shared" ca="1" si="19"/>
        <v>0</v>
      </c>
      <c r="AE18">
        <f t="shared" ca="1" si="19"/>
        <v>0</v>
      </c>
      <c r="AF18">
        <f t="shared" ca="1" si="19"/>
        <v>0</v>
      </c>
      <c r="AG18">
        <f t="shared" ca="1" si="19"/>
        <v>0</v>
      </c>
      <c r="AH18">
        <f t="shared" ca="1" si="19"/>
        <v>1</v>
      </c>
      <c r="AI18">
        <f t="shared" ca="1" si="19"/>
        <v>0</v>
      </c>
      <c r="AJ18">
        <f t="shared" ca="1" si="19"/>
        <v>0</v>
      </c>
      <c r="AK18">
        <f t="shared" ca="1" si="19"/>
        <v>0</v>
      </c>
      <c r="AL18">
        <f t="shared" ca="1" si="19"/>
        <v>1</v>
      </c>
      <c r="AM18">
        <f t="shared" ca="1" si="19"/>
        <v>0</v>
      </c>
      <c r="AN18">
        <f t="shared" ca="1" si="19"/>
        <v>0</v>
      </c>
      <c r="AO18">
        <f t="shared" ca="1" si="19"/>
        <v>0</v>
      </c>
      <c r="AP18">
        <f t="shared" ca="1" si="19"/>
        <v>0</v>
      </c>
      <c r="AQ18">
        <f t="shared" ca="1" si="19"/>
        <v>0</v>
      </c>
      <c r="BH18" s="1">
        <f t="shared" ca="1" si="3"/>
        <v>0</v>
      </c>
      <c r="BI18" s="1">
        <f t="shared" ca="1" si="15"/>
        <v>0.5</v>
      </c>
      <c r="BJ18" s="1">
        <f t="shared" ca="1" si="16"/>
        <v>0</v>
      </c>
      <c r="BK18" s="1">
        <f t="shared" ca="1" si="17"/>
        <v>0</v>
      </c>
      <c r="BL18">
        <f t="shared" ca="1" si="4"/>
        <v>3119</v>
      </c>
      <c r="BM18">
        <f t="shared" ca="1" si="4"/>
        <v>9200</v>
      </c>
      <c r="BN18">
        <f t="shared" ca="1" si="5"/>
        <v>2851</v>
      </c>
      <c r="BO18">
        <f t="shared" ca="1" si="5"/>
        <v>1022</v>
      </c>
      <c r="BP18">
        <f t="shared" ca="1" si="6"/>
        <v>9806</v>
      </c>
      <c r="BQ18">
        <f t="shared" ca="1" si="6"/>
        <v>9843</v>
      </c>
      <c r="BR18">
        <f t="shared" ca="1" si="7"/>
        <v>1786</v>
      </c>
      <c r="BS18">
        <f t="shared" ca="1" si="7"/>
        <v>2903</v>
      </c>
      <c r="BT18">
        <f t="shared" ca="1" si="8"/>
        <v>6950</v>
      </c>
      <c r="BU18">
        <f t="shared" ca="1" si="8"/>
        <v>4214</v>
      </c>
      <c r="BV18">
        <f t="shared" ca="1" si="8"/>
        <v>9842</v>
      </c>
      <c r="BW18">
        <f t="shared" ca="1" si="8"/>
        <v>8256</v>
      </c>
      <c r="BX18">
        <f t="shared" ca="1" si="9"/>
        <v>1217</v>
      </c>
      <c r="BY18">
        <f t="shared" ca="1" si="9"/>
        <v>805</v>
      </c>
      <c r="BZ18">
        <f t="shared" ca="1" si="9"/>
        <v>1552</v>
      </c>
      <c r="CA18">
        <f t="shared" ca="1" si="9"/>
        <v>2009</v>
      </c>
      <c r="CB18" s="7">
        <f ca="1">AVERAGE(BL18:BM33,BP18:BQ33,BT18:BW33)</f>
        <v>5407.671875</v>
      </c>
      <c r="CC18" s="7">
        <f ca="1">AVERAGE(BN18:BO33,BR18:BS33,BX18:CA33)</f>
        <v>1779.2578125</v>
      </c>
    </row>
    <row r="19" spans="1:81" x14ac:dyDescent="0.25">
      <c r="A19">
        <v>18</v>
      </c>
      <c r="B19">
        <f t="shared" ca="1" si="10"/>
        <v>24</v>
      </c>
      <c r="C19">
        <f t="shared" ca="1" si="11"/>
        <v>4</v>
      </c>
      <c r="D19">
        <f t="shared" ca="1" si="11"/>
        <v>2</v>
      </c>
      <c r="E19" t="s">
        <v>180</v>
      </c>
      <c r="F19">
        <f t="shared" ca="1" si="12"/>
        <v>1</v>
      </c>
      <c r="G19">
        <f t="shared" ca="1" si="12"/>
        <v>1</v>
      </c>
      <c r="H19">
        <f t="shared" ca="1" si="12"/>
        <v>0</v>
      </c>
      <c r="I19" s="14">
        <f t="shared" ca="1" si="13"/>
        <v>1</v>
      </c>
      <c r="J19" t="s">
        <v>19</v>
      </c>
      <c r="K19">
        <f t="shared" si="14"/>
        <v>0</v>
      </c>
      <c r="L19">
        <v>1</v>
      </c>
      <c r="M19" s="15" t="s">
        <v>23</v>
      </c>
      <c r="N19" s="12" t="s">
        <v>28</v>
      </c>
      <c r="O19" s="13" t="s">
        <v>28</v>
      </c>
      <c r="P19" s="16" t="s">
        <v>30</v>
      </c>
      <c r="Q19" s="4" t="s">
        <v>86</v>
      </c>
      <c r="R19" t="s">
        <v>21</v>
      </c>
      <c r="S19">
        <v>1</v>
      </c>
      <c r="T19">
        <f t="shared" ca="1" si="18"/>
        <v>1</v>
      </c>
      <c r="U19">
        <f t="shared" ca="1" si="18"/>
        <v>0</v>
      </c>
      <c r="V19">
        <f t="shared" ca="1" si="18"/>
        <v>1</v>
      </c>
      <c r="W19">
        <f t="shared" ca="1" si="18"/>
        <v>0</v>
      </c>
      <c r="X19">
        <f t="shared" ca="1" si="18"/>
        <v>0</v>
      </c>
      <c r="Y19">
        <f t="shared" ca="1" si="18"/>
        <v>0</v>
      </c>
      <c r="Z19">
        <f t="shared" ca="1" si="18"/>
        <v>1</v>
      </c>
      <c r="AA19">
        <f t="shared" ca="1" si="18"/>
        <v>0</v>
      </c>
      <c r="AB19">
        <f t="shared" ca="1" si="19"/>
        <v>1</v>
      </c>
      <c r="AC19">
        <f t="shared" ca="1" si="19"/>
        <v>0</v>
      </c>
      <c r="AD19">
        <f t="shared" ca="1" si="19"/>
        <v>0</v>
      </c>
      <c r="AE19">
        <f t="shared" ca="1" si="19"/>
        <v>1</v>
      </c>
      <c r="AF19">
        <f t="shared" ca="1" si="19"/>
        <v>1</v>
      </c>
      <c r="AG19">
        <f t="shared" ca="1" si="19"/>
        <v>0</v>
      </c>
      <c r="AH19">
        <f t="shared" ca="1" si="19"/>
        <v>0</v>
      </c>
      <c r="AI19">
        <f t="shared" ca="1" si="19"/>
        <v>0</v>
      </c>
      <c r="AJ19">
        <f t="shared" ca="1" si="19"/>
        <v>0</v>
      </c>
      <c r="AK19">
        <f t="shared" ca="1" si="19"/>
        <v>1</v>
      </c>
      <c r="AL19">
        <f t="shared" ca="1" si="19"/>
        <v>1</v>
      </c>
      <c r="AM19">
        <f t="shared" ca="1" si="19"/>
        <v>0</v>
      </c>
      <c r="AN19">
        <f t="shared" ca="1" si="19"/>
        <v>0</v>
      </c>
      <c r="AO19">
        <f t="shared" ca="1" si="19"/>
        <v>1</v>
      </c>
      <c r="AP19">
        <f t="shared" ca="1" si="19"/>
        <v>1</v>
      </c>
      <c r="AQ19">
        <f t="shared" ca="1" si="19"/>
        <v>1</v>
      </c>
      <c r="BH19" s="1">
        <f t="shared" ca="1" si="3"/>
        <v>0.5</v>
      </c>
      <c r="BI19" s="1">
        <f t="shared" ca="1" si="15"/>
        <v>0.5</v>
      </c>
      <c r="BJ19" s="1">
        <f t="shared" ca="1" si="16"/>
        <v>0.5</v>
      </c>
      <c r="BK19" s="1">
        <f t="shared" ca="1" si="17"/>
        <v>1</v>
      </c>
      <c r="BL19">
        <f t="shared" ca="1" si="4"/>
        <v>1745</v>
      </c>
      <c r="BM19">
        <f t="shared" ca="1" si="4"/>
        <v>6678</v>
      </c>
      <c r="BN19">
        <f t="shared" ca="1" si="5"/>
        <v>2088</v>
      </c>
      <c r="BO19">
        <f t="shared" ca="1" si="5"/>
        <v>2955</v>
      </c>
      <c r="BP19">
        <f t="shared" ca="1" si="6"/>
        <v>5243</v>
      </c>
      <c r="BQ19">
        <f t="shared" ca="1" si="6"/>
        <v>9104</v>
      </c>
      <c r="BR19">
        <f t="shared" ca="1" si="7"/>
        <v>1164</v>
      </c>
      <c r="BS19">
        <f t="shared" ca="1" si="7"/>
        <v>2172</v>
      </c>
      <c r="BT19">
        <f t="shared" ca="1" si="8"/>
        <v>1784</v>
      </c>
      <c r="BU19">
        <f t="shared" ca="1" si="8"/>
        <v>6393</v>
      </c>
      <c r="BV19">
        <f t="shared" ca="1" si="8"/>
        <v>4213</v>
      </c>
      <c r="BW19">
        <f t="shared" ca="1" si="8"/>
        <v>4265</v>
      </c>
      <c r="BX19">
        <f t="shared" ca="1" si="9"/>
        <v>1490</v>
      </c>
      <c r="BY19">
        <f t="shared" ca="1" si="9"/>
        <v>2600</v>
      </c>
      <c r="BZ19">
        <f t="shared" ca="1" si="9"/>
        <v>2416</v>
      </c>
      <c r="CA19">
        <f t="shared" ca="1" si="9"/>
        <v>1747</v>
      </c>
      <c r="CB19" s="7">
        <f ca="1">AVERAGE(BL19:BM33,BP19:BQ33,BT19:BW33)</f>
        <v>5257.9333333333334</v>
      </c>
      <c r="CC19" s="7">
        <f ca="1">AVERAGE(BN19:BO33,BR19:BS33,BX19:CA33)</f>
        <v>1780</v>
      </c>
    </row>
    <row r="20" spans="1:81" x14ac:dyDescent="0.25">
      <c r="A20">
        <v>19</v>
      </c>
      <c r="B20">
        <f t="shared" ca="1" si="10"/>
        <v>22</v>
      </c>
      <c r="C20">
        <f t="shared" ca="1" si="11"/>
        <v>1</v>
      </c>
      <c r="D20">
        <f t="shared" ca="1" si="11"/>
        <v>3</v>
      </c>
      <c r="E20" t="s">
        <v>180</v>
      </c>
      <c r="F20">
        <f t="shared" ca="1" si="12"/>
        <v>0</v>
      </c>
      <c r="G20">
        <f t="shared" ca="1" si="12"/>
        <v>0</v>
      </c>
      <c r="H20">
        <f t="shared" ca="1" si="12"/>
        <v>1</v>
      </c>
      <c r="I20" s="14">
        <f t="shared" ca="1" si="13"/>
        <v>1</v>
      </c>
      <c r="J20" t="s">
        <v>18</v>
      </c>
      <c r="K20">
        <f t="shared" si="14"/>
        <v>1</v>
      </c>
      <c r="L20">
        <v>1</v>
      </c>
      <c r="M20" s="15" t="s">
        <v>23</v>
      </c>
      <c r="N20" s="12" t="s">
        <v>28</v>
      </c>
      <c r="O20" s="13" t="s">
        <v>28</v>
      </c>
      <c r="P20" s="16" t="s">
        <v>30</v>
      </c>
      <c r="Q20" s="4" t="s">
        <v>86</v>
      </c>
      <c r="R20" t="s">
        <v>21</v>
      </c>
      <c r="S20">
        <v>1</v>
      </c>
      <c r="T20">
        <f t="shared" ca="1" si="18"/>
        <v>0</v>
      </c>
      <c r="U20">
        <f t="shared" ca="1" si="18"/>
        <v>0</v>
      </c>
      <c r="V20">
        <f t="shared" ca="1" si="18"/>
        <v>1</v>
      </c>
      <c r="W20">
        <f t="shared" ca="1" si="18"/>
        <v>1</v>
      </c>
      <c r="X20">
        <f t="shared" ca="1" si="18"/>
        <v>0</v>
      </c>
      <c r="Y20">
        <f t="shared" ca="1" si="18"/>
        <v>0</v>
      </c>
      <c r="Z20">
        <f t="shared" ca="1" si="18"/>
        <v>0</v>
      </c>
      <c r="AA20">
        <f t="shared" ca="1" si="18"/>
        <v>0</v>
      </c>
      <c r="AB20">
        <f t="shared" ca="1" si="19"/>
        <v>0</v>
      </c>
      <c r="AC20">
        <f t="shared" ca="1" si="19"/>
        <v>1</v>
      </c>
      <c r="AD20">
        <f t="shared" ca="1" si="19"/>
        <v>0</v>
      </c>
      <c r="AE20">
        <f t="shared" ca="1" si="19"/>
        <v>0</v>
      </c>
      <c r="AF20">
        <f t="shared" ca="1" si="19"/>
        <v>1</v>
      </c>
      <c r="AG20">
        <f t="shared" ca="1" si="19"/>
        <v>0</v>
      </c>
      <c r="AH20">
        <f t="shared" ca="1" si="19"/>
        <v>0</v>
      </c>
      <c r="AI20">
        <f t="shared" ca="1" si="19"/>
        <v>0</v>
      </c>
      <c r="AJ20">
        <f t="shared" ca="1" si="19"/>
        <v>0</v>
      </c>
      <c r="AK20">
        <f t="shared" ca="1" si="19"/>
        <v>0</v>
      </c>
      <c r="AL20">
        <f t="shared" ca="1" si="19"/>
        <v>0</v>
      </c>
      <c r="AM20">
        <f t="shared" ca="1" si="19"/>
        <v>0</v>
      </c>
      <c r="AN20">
        <f t="shared" ca="1" si="19"/>
        <v>1</v>
      </c>
      <c r="AO20">
        <f t="shared" ca="1" si="19"/>
        <v>1</v>
      </c>
      <c r="AP20">
        <f t="shared" ca="1" si="19"/>
        <v>0</v>
      </c>
      <c r="AQ20">
        <f t="shared" ca="1" si="19"/>
        <v>0</v>
      </c>
      <c r="BH20" s="1">
        <f t="shared" ca="1" si="3"/>
        <v>0</v>
      </c>
      <c r="BI20" s="1">
        <f t="shared" ca="1" si="15"/>
        <v>0</v>
      </c>
      <c r="BJ20" s="1">
        <f t="shared" ca="1" si="16"/>
        <v>1</v>
      </c>
      <c r="BK20" s="1">
        <f t="shared" ca="1" si="17"/>
        <v>0</v>
      </c>
      <c r="BL20">
        <f t="shared" ca="1" si="4"/>
        <v>8689</v>
      </c>
      <c r="BM20">
        <f t="shared" ca="1" si="4"/>
        <v>7772</v>
      </c>
      <c r="BN20">
        <f t="shared" ca="1" si="5"/>
        <v>2587</v>
      </c>
      <c r="BO20">
        <f t="shared" ca="1" si="5"/>
        <v>1883</v>
      </c>
      <c r="BP20">
        <f t="shared" ca="1" si="6"/>
        <v>9754</v>
      </c>
      <c r="BQ20">
        <f t="shared" ca="1" si="6"/>
        <v>7475</v>
      </c>
      <c r="BR20">
        <f t="shared" ca="1" si="7"/>
        <v>2218</v>
      </c>
      <c r="BS20">
        <f t="shared" ca="1" si="7"/>
        <v>1509</v>
      </c>
      <c r="BT20">
        <f t="shared" ca="1" si="8"/>
        <v>3381</v>
      </c>
      <c r="BU20">
        <f t="shared" ca="1" si="8"/>
        <v>1349</v>
      </c>
      <c r="BV20">
        <f t="shared" ca="1" si="8"/>
        <v>1021</v>
      </c>
      <c r="BW20">
        <f t="shared" ca="1" si="8"/>
        <v>6589</v>
      </c>
      <c r="BX20">
        <f t="shared" ca="1" si="9"/>
        <v>1017</v>
      </c>
      <c r="BY20">
        <f t="shared" ca="1" si="9"/>
        <v>2933</v>
      </c>
      <c r="BZ20">
        <f t="shared" ca="1" si="9"/>
        <v>2385</v>
      </c>
      <c r="CA20">
        <f t="shared" ca="1" si="9"/>
        <v>1393</v>
      </c>
      <c r="CB20" s="7">
        <f ca="1">AVERAGE(BL20:BM33,BP20:BQ33,BT20:BW33)</f>
        <v>5281.4910714285716</v>
      </c>
      <c r="CC20" s="7">
        <f ca="1">AVERAGE(BN20:BO33,BR20:BS33,BX20:CA33)</f>
        <v>1758.6428571428571</v>
      </c>
    </row>
    <row r="21" spans="1:81" x14ac:dyDescent="0.25">
      <c r="A21">
        <v>20</v>
      </c>
      <c r="B21">
        <f t="shared" ca="1" si="10"/>
        <v>25</v>
      </c>
      <c r="C21">
        <f t="shared" ca="1" si="11"/>
        <v>1</v>
      </c>
      <c r="D21">
        <f t="shared" ca="1" si="11"/>
        <v>2</v>
      </c>
      <c r="E21" t="s">
        <v>180</v>
      </c>
      <c r="F21">
        <f t="shared" ca="1" si="12"/>
        <v>0</v>
      </c>
      <c r="G21">
        <f t="shared" ca="1" si="12"/>
        <v>0</v>
      </c>
      <c r="H21">
        <f t="shared" ca="1" si="12"/>
        <v>0</v>
      </c>
      <c r="I21" s="14">
        <f t="shared" ca="1" si="13"/>
        <v>1</v>
      </c>
      <c r="J21" t="s">
        <v>19</v>
      </c>
      <c r="K21">
        <f t="shared" si="14"/>
        <v>0</v>
      </c>
      <c r="L21">
        <v>1</v>
      </c>
      <c r="M21" s="15" t="s">
        <v>23</v>
      </c>
      <c r="N21" s="12" t="s">
        <v>28</v>
      </c>
      <c r="O21" s="13" t="s">
        <v>28</v>
      </c>
      <c r="P21" s="16" t="s">
        <v>30</v>
      </c>
      <c r="Q21" s="4" t="s">
        <v>86</v>
      </c>
      <c r="R21" t="s">
        <v>21</v>
      </c>
      <c r="S21">
        <v>1</v>
      </c>
      <c r="T21">
        <f t="shared" ca="1" si="18"/>
        <v>1</v>
      </c>
      <c r="U21">
        <f t="shared" ca="1" si="18"/>
        <v>0</v>
      </c>
      <c r="V21">
        <f t="shared" ca="1" si="18"/>
        <v>0</v>
      </c>
      <c r="W21">
        <f t="shared" ca="1" si="18"/>
        <v>1</v>
      </c>
      <c r="X21">
        <f t="shared" ca="1" si="18"/>
        <v>0</v>
      </c>
      <c r="Y21">
        <f t="shared" ca="1" si="18"/>
        <v>1</v>
      </c>
      <c r="Z21">
        <f t="shared" ca="1" si="18"/>
        <v>1</v>
      </c>
      <c r="AA21">
        <f t="shared" ca="1" si="18"/>
        <v>0</v>
      </c>
      <c r="AB21">
        <f t="shared" ca="1" si="19"/>
        <v>1</v>
      </c>
      <c r="AC21">
        <f t="shared" ca="1" si="19"/>
        <v>0</v>
      </c>
      <c r="AD21">
        <f t="shared" ca="1" si="19"/>
        <v>1</v>
      </c>
      <c r="AE21">
        <f t="shared" ca="1" si="19"/>
        <v>1</v>
      </c>
      <c r="AF21">
        <f t="shared" ca="1" si="19"/>
        <v>0</v>
      </c>
      <c r="AG21">
        <f t="shared" ca="1" si="19"/>
        <v>1</v>
      </c>
      <c r="AH21">
        <f t="shared" ca="1" si="19"/>
        <v>1</v>
      </c>
      <c r="AI21">
        <f t="shared" ca="1" si="19"/>
        <v>1</v>
      </c>
      <c r="AJ21">
        <f t="shared" ca="1" si="19"/>
        <v>0</v>
      </c>
      <c r="AK21">
        <f t="shared" ca="1" si="19"/>
        <v>1</v>
      </c>
      <c r="AL21">
        <f t="shared" ca="1" si="19"/>
        <v>1</v>
      </c>
      <c r="AM21">
        <f t="shared" ca="1" si="19"/>
        <v>1</v>
      </c>
      <c r="AN21">
        <f t="shared" ca="1" si="19"/>
        <v>1</v>
      </c>
      <c r="AO21">
        <f t="shared" ca="1" si="19"/>
        <v>0</v>
      </c>
      <c r="AP21">
        <f t="shared" ca="1" si="19"/>
        <v>0</v>
      </c>
      <c r="AQ21">
        <f t="shared" ca="1" si="19"/>
        <v>1</v>
      </c>
      <c r="BH21" s="1">
        <f t="shared" ca="1" si="3"/>
        <v>0.5</v>
      </c>
      <c r="BI21" s="1">
        <f t="shared" ca="1" si="15"/>
        <v>1</v>
      </c>
      <c r="BJ21" s="1">
        <f t="shared" ca="1" si="16"/>
        <v>0.5</v>
      </c>
      <c r="BK21" s="1">
        <f t="shared" ca="1" si="17"/>
        <v>0.5</v>
      </c>
      <c r="BL21">
        <f t="shared" ca="1" si="4"/>
        <v>3167</v>
      </c>
      <c r="BM21">
        <f t="shared" ca="1" si="4"/>
        <v>8143</v>
      </c>
      <c r="BN21">
        <f t="shared" ca="1" si="5"/>
        <v>1799</v>
      </c>
      <c r="BO21">
        <f t="shared" ca="1" si="5"/>
        <v>638</v>
      </c>
      <c r="BP21">
        <f t="shared" ca="1" si="6"/>
        <v>8655</v>
      </c>
      <c r="BQ21">
        <f t="shared" ca="1" si="6"/>
        <v>4777</v>
      </c>
      <c r="BR21">
        <f t="shared" ca="1" si="7"/>
        <v>2734</v>
      </c>
      <c r="BS21">
        <f t="shared" ca="1" si="7"/>
        <v>2188</v>
      </c>
      <c r="BT21">
        <f t="shared" ca="1" si="8"/>
        <v>3663</v>
      </c>
      <c r="BU21">
        <f t="shared" ca="1" si="8"/>
        <v>9436</v>
      </c>
      <c r="BV21">
        <f t="shared" ca="1" si="8"/>
        <v>3848</v>
      </c>
      <c r="BW21">
        <f t="shared" ca="1" si="8"/>
        <v>5531</v>
      </c>
      <c r="BX21">
        <f t="shared" ca="1" si="9"/>
        <v>2805</v>
      </c>
      <c r="BY21">
        <f t="shared" ca="1" si="9"/>
        <v>1188</v>
      </c>
      <c r="BZ21">
        <f t="shared" ca="1" si="9"/>
        <v>2966</v>
      </c>
      <c r="CA21">
        <f t="shared" ca="1" si="9"/>
        <v>1226</v>
      </c>
      <c r="CB21" s="7">
        <f ca="1">AVERAGE(BL21:BM33,BP21:BQ33,BT21:BW33)</f>
        <v>5245.1634615384619</v>
      </c>
      <c r="CC21" s="7">
        <f ca="1">AVERAGE(BN21:BO33,BR21:BS33,BX21:CA33)</f>
        <v>1740.7980769230769</v>
      </c>
    </row>
    <row r="22" spans="1:81" x14ac:dyDescent="0.25">
      <c r="A22">
        <v>21</v>
      </c>
      <c r="B22">
        <f t="shared" ca="1" si="10"/>
        <v>25</v>
      </c>
      <c r="C22">
        <f t="shared" ca="1" si="11"/>
        <v>2</v>
      </c>
      <c r="D22">
        <f t="shared" ca="1" si="11"/>
        <v>2</v>
      </c>
      <c r="E22" t="s">
        <v>180</v>
      </c>
      <c r="F22">
        <f t="shared" ca="1" si="12"/>
        <v>1</v>
      </c>
      <c r="G22">
        <f t="shared" ca="1" si="12"/>
        <v>1</v>
      </c>
      <c r="H22">
        <f t="shared" ca="1" si="12"/>
        <v>0</v>
      </c>
      <c r="I22" s="14">
        <f t="shared" ca="1" si="13"/>
        <v>0</v>
      </c>
      <c r="J22" t="s">
        <v>18</v>
      </c>
      <c r="K22">
        <f t="shared" si="14"/>
        <v>1</v>
      </c>
      <c r="L22">
        <v>2</v>
      </c>
      <c r="M22" s="15" t="s">
        <v>24</v>
      </c>
      <c r="N22" s="12" t="s">
        <v>30</v>
      </c>
      <c r="O22" s="13" t="s">
        <v>30</v>
      </c>
      <c r="P22" s="16" t="s">
        <v>28</v>
      </c>
      <c r="Q22" s="4" t="s">
        <v>86</v>
      </c>
      <c r="R22" t="s">
        <v>21</v>
      </c>
      <c r="S22">
        <v>1</v>
      </c>
      <c r="T22">
        <f t="shared" ca="1" si="18"/>
        <v>0</v>
      </c>
      <c r="U22">
        <f t="shared" ca="1" si="18"/>
        <v>1</v>
      </c>
      <c r="V22">
        <f t="shared" ca="1" si="18"/>
        <v>0</v>
      </c>
      <c r="W22">
        <f t="shared" ca="1" si="18"/>
        <v>1</v>
      </c>
      <c r="X22">
        <f t="shared" ca="1" si="18"/>
        <v>1</v>
      </c>
      <c r="Y22">
        <f t="shared" ca="1" si="18"/>
        <v>0</v>
      </c>
      <c r="Z22">
        <f t="shared" ca="1" si="18"/>
        <v>1</v>
      </c>
      <c r="AA22">
        <f t="shared" ca="1" si="18"/>
        <v>1</v>
      </c>
      <c r="AB22">
        <f t="shared" ca="1" si="19"/>
        <v>0</v>
      </c>
      <c r="AC22">
        <f t="shared" ca="1" si="19"/>
        <v>1</v>
      </c>
      <c r="AD22">
        <f t="shared" ca="1" si="19"/>
        <v>0</v>
      </c>
      <c r="AE22">
        <f t="shared" ca="1" si="19"/>
        <v>1</v>
      </c>
      <c r="AF22">
        <f t="shared" ca="1" si="19"/>
        <v>1</v>
      </c>
      <c r="AG22">
        <f t="shared" ca="1" si="19"/>
        <v>0</v>
      </c>
      <c r="AH22">
        <f t="shared" ca="1" si="19"/>
        <v>1</v>
      </c>
      <c r="AI22">
        <f t="shared" ca="1" si="19"/>
        <v>0</v>
      </c>
      <c r="AJ22">
        <f t="shared" ca="1" si="19"/>
        <v>0</v>
      </c>
      <c r="AK22">
        <f t="shared" ca="1" si="19"/>
        <v>1</v>
      </c>
      <c r="AL22">
        <f t="shared" ca="1" si="19"/>
        <v>0</v>
      </c>
      <c r="AM22">
        <f t="shared" ca="1" si="19"/>
        <v>1</v>
      </c>
      <c r="AN22">
        <f t="shared" ca="1" si="19"/>
        <v>0</v>
      </c>
      <c r="AO22">
        <f t="shared" ca="1" si="19"/>
        <v>0</v>
      </c>
      <c r="AP22">
        <f t="shared" ca="1" si="19"/>
        <v>1</v>
      </c>
      <c r="AQ22">
        <f t="shared" ca="1" si="19"/>
        <v>0</v>
      </c>
      <c r="BH22" s="1">
        <f t="shared" ca="1" si="3"/>
        <v>0.5</v>
      </c>
      <c r="BI22" s="1">
        <f t="shared" ca="1" si="15"/>
        <v>0.5</v>
      </c>
      <c r="BJ22" s="1">
        <f t="shared" ca="1" si="16"/>
        <v>0</v>
      </c>
      <c r="BK22" s="1">
        <f t="shared" ca="1" si="17"/>
        <v>0.5</v>
      </c>
      <c r="BL22">
        <f t="shared" ca="1" si="4"/>
        <v>7612</v>
      </c>
      <c r="BM22">
        <f t="shared" ca="1" si="4"/>
        <v>4977</v>
      </c>
      <c r="BN22">
        <f t="shared" ca="1" si="5"/>
        <v>2482</v>
      </c>
      <c r="BO22">
        <f t="shared" ca="1" si="5"/>
        <v>2995</v>
      </c>
      <c r="BP22">
        <f t="shared" ca="1" si="6"/>
        <v>9871</v>
      </c>
      <c r="BQ22">
        <f t="shared" ca="1" si="6"/>
        <v>5242</v>
      </c>
      <c r="BR22">
        <f t="shared" ca="1" si="7"/>
        <v>1555</v>
      </c>
      <c r="BS22">
        <f t="shared" ca="1" si="7"/>
        <v>848</v>
      </c>
      <c r="BT22">
        <f t="shared" ca="1" si="8"/>
        <v>611</v>
      </c>
      <c r="BU22">
        <f t="shared" ca="1" si="8"/>
        <v>7513</v>
      </c>
      <c r="BV22">
        <f t="shared" ca="1" si="8"/>
        <v>4490</v>
      </c>
      <c r="BW22">
        <f t="shared" ca="1" si="8"/>
        <v>6059</v>
      </c>
      <c r="BX22">
        <f t="shared" ca="1" si="9"/>
        <v>1613</v>
      </c>
      <c r="BY22">
        <f t="shared" ca="1" si="9"/>
        <v>1598</v>
      </c>
      <c r="BZ22">
        <f t="shared" ca="1" si="9"/>
        <v>585</v>
      </c>
      <c r="CA22">
        <f t="shared" ca="1" si="9"/>
        <v>726</v>
      </c>
      <c r="CB22" s="7">
        <f ca="1">AVERAGE(BL22:BM33,BP22:BQ33,BT22:BW33)</f>
        <v>5190.385416666667</v>
      </c>
      <c r="CC22" s="7">
        <f ca="1">AVERAGE(BN22:BO33,BR22:BS33,BX22:CA33)</f>
        <v>1723.9479166666667</v>
      </c>
    </row>
    <row r="23" spans="1:81" x14ac:dyDescent="0.25">
      <c r="A23">
        <v>22</v>
      </c>
      <c r="B23">
        <f t="shared" ca="1" si="10"/>
        <v>23</v>
      </c>
      <c r="C23">
        <f t="shared" ca="1" si="11"/>
        <v>2</v>
      </c>
      <c r="D23">
        <f t="shared" ca="1" si="11"/>
        <v>4</v>
      </c>
      <c r="E23" t="s">
        <v>180</v>
      </c>
      <c r="F23">
        <f t="shared" ca="1" si="12"/>
        <v>0</v>
      </c>
      <c r="G23">
        <f t="shared" ca="1" si="12"/>
        <v>0</v>
      </c>
      <c r="H23">
        <f t="shared" ca="1" si="12"/>
        <v>0</v>
      </c>
      <c r="I23" s="14">
        <f t="shared" ca="1" si="13"/>
        <v>1</v>
      </c>
      <c r="J23" t="s">
        <v>19</v>
      </c>
      <c r="K23">
        <f t="shared" si="14"/>
        <v>0</v>
      </c>
      <c r="L23">
        <v>2</v>
      </c>
      <c r="M23" s="15" t="s">
        <v>24</v>
      </c>
      <c r="N23" s="12" t="s">
        <v>30</v>
      </c>
      <c r="O23" s="13" t="s">
        <v>30</v>
      </c>
      <c r="P23" s="16" t="s">
        <v>28</v>
      </c>
      <c r="Q23" s="4" t="s">
        <v>86</v>
      </c>
      <c r="R23" t="s">
        <v>21</v>
      </c>
      <c r="S23">
        <v>1</v>
      </c>
      <c r="T23">
        <f t="shared" ca="1" si="18"/>
        <v>0</v>
      </c>
      <c r="U23">
        <f t="shared" ca="1" si="18"/>
        <v>1</v>
      </c>
      <c r="V23">
        <f t="shared" ca="1" si="18"/>
        <v>0</v>
      </c>
      <c r="W23">
        <f t="shared" ca="1" si="18"/>
        <v>1</v>
      </c>
      <c r="X23">
        <f t="shared" ca="1" si="18"/>
        <v>1</v>
      </c>
      <c r="Y23">
        <f t="shared" ca="1" si="18"/>
        <v>1</v>
      </c>
      <c r="Z23">
        <f t="shared" ca="1" si="18"/>
        <v>0</v>
      </c>
      <c r="AA23">
        <f t="shared" ca="1" si="18"/>
        <v>1</v>
      </c>
      <c r="AB23">
        <f t="shared" ca="1" si="19"/>
        <v>1</v>
      </c>
      <c r="AC23">
        <f t="shared" ca="1" si="19"/>
        <v>1</v>
      </c>
      <c r="AD23">
        <f t="shared" ca="1" si="19"/>
        <v>1</v>
      </c>
      <c r="AE23">
        <f t="shared" ca="1" si="19"/>
        <v>1</v>
      </c>
      <c r="AF23">
        <f t="shared" ca="1" si="19"/>
        <v>0</v>
      </c>
      <c r="AG23">
        <f t="shared" ca="1" si="19"/>
        <v>1</v>
      </c>
      <c r="AH23">
        <f t="shared" ca="1" si="19"/>
        <v>1</v>
      </c>
      <c r="AI23">
        <f t="shared" ca="1" si="19"/>
        <v>0</v>
      </c>
      <c r="AJ23">
        <f t="shared" ca="1" si="19"/>
        <v>0</v>
      </c>
      <c r="AK23">
        <f t="shared" ca="1" si="19"/>
        <v>1</v>
      </c>
      <c r="AL23">
        <f t="shared" ca="1" si="19"/>
        <v>0</v>
      </c>
      <c r="AM23">
        <f t="shared" ca="1" si="19"/>
        <v>1</v>
      </c>
      <c r="AN23">
        <f t="shared" ca="1" si="19"/>
        <v>1</v>
      </c>
      <c r="AO23">
        <f t="shared" ca="1" si="19"/>
        <v>0</v>
      </c>
      <c r="AP23">
        <f t="shared" ca="1" si="19"/>
        <v>0</v>
      </c>
      <c r="AQ23">
        <f t="shared" ca="1" si="19"/>
        <v>1</v>
      </c>
      <c r="BH23" s="1">
        <f t="shared" ca="1" si="3"/>
        <v>0.5</v>
      </c>
      <c r="BI23" s="1">
        <f t="shared" ca="1" si="15"/>
        <v>0.5</v>
      </c>
      <c r="BJ23" s="1">
        <f t="shared" ca="1" si="16"/>
        <v>0.5</v>
      </c>
      <c r="BK23" s="1">
        <f t="shared" ca="1" si="17"/>
        <v>0.5</v>
      </c>
      <c r="BL23">
        <f t="shared" ca="1" si="4"/>
        <v>911</v>
      </c>
      <c r="BM23">
        <f t="shared" ca="1" si="4"/>
        <v>5738</v>
      </c>
      <c r="BN23">
        <f t="shared" ca="1" si="5"/>
        <v>882</v>
      </c>
      <c r="BO23">
        <f t="shared" ca="1" si="5"/>
        <v>1353</v>
      </c>
      <c r="BP23">
        <f t="shared" ca="1" si="6"/>
        <v>3929</v>
      </c>
      <c r="BQ23">
        <f t="shared" ca="1" si="6"/>
        <v>3385</v>
      </c>
      <c r="BR23">
        <f t="shared" ca="1" si="7"/>
        <v>1942</v>
      </c>
      <c r="BS23">
        <f t="shared" ca="1" si="7"/>
        <v>1130</v>
      </c>
      <c r="BT23">
        <f t="shared" ca="1" si="8"/>
        <v>1508</v>
      </c>
      <c r="BU23">
        <f t="shared" ca="1" si="8"/>
        <v>5032</v>
      </c>
      <c r="BV23">
        <f t="shared" ca="1" si="8"/>
        <v>8785</v>
      </c>
      <c r="BW23">
        <f t="shared" ca="1" si="8"/>
        <v>3749</v>
      </c>
      <c r="BX23">
        <f t="shared" ca="1" si="9"/>
        <v>940</v>
      </c>
      <c r="BY23">
        <f t="shared" ca="1" si="9"/>
        <v>2873</v>
      </c>
      <c r="BZ23">
        <f t="shared" ca="1" si="9"/>
        <v>1915</v>
      </c>
      <c r="CA23">
        <f t="shared" ca="1" si="9"/>
        <v>2929</v>
      </c>
      <c r="CB23" s="7">
        <f ca="1">AVERAGE(BL23:BM33,BP23:BQ33,BT23:BW33)</f>
        <v>5135.25</v>
      </c>
      <c r="CC23" s="7">
        <f ca="1">AVERAGE(BN23:BO33,BR23:BS33,BX23:CA33)</f>
        <v>1739.7386363636363</v>
      </c>
    </row>
    <row r="24" spans="1:81" x14ac:dyDescent="0.25">
      <c r="A24">
        <v>23</v>
      </c>
      <c r="B24">
        <f t="shared" ca="1" si="10"/>
        <v>21</v>
      </c>
      <c r="C24">
        <f t="shared" ca="1" si="11"/>
        <v>3</v>
      </c>
      <c r="D24">
        <f t="shared" ca="1" si="11"/>
        <v>4</v>
      </c>
      <c r="E24" t="s">
        <v>180</v>
      </c>
      <c r="F24">
        <f t="shared" ca="1" si="12"/>
        <v>1</v>
      </c>
      <c r="G24">
        <f t="shared" ca="1" si="12"/>
        <v>0</v>
      </c>
      <c r="H24">
        <f t="shared" ca="1" si="12"/>
        <v>1</v>
      </c>
      <c r="I24" s="14">
        <f t="shared" ca="1" si="13"/>
        <v>0</v>
      </c>
      <c r="J24" t="s">
        <v>18</v>
      </c>
      <c r="K24">
        <f t="shared" si="14"/>
        <v>1</v>
      </c>
      <c r="L24">
        <v>2</v>
      </c>
      <c r="M24" s="15" t="s">
        <v>24</v>
      </c>
      <c r="N24" s="12" t="s">
        <v>30</v>
      </c>
      <c r="O24" s="13" t="s">
        <v>30</v>
      </c>
      <c r="P24" s="16" t="s">
        <v>28</v>
      </c>
      <c r="Q24" s="4" t="s">
        <v>86</v>
      </c>
      <c r="R24" t="s">
        <v>21</v>
      </c>
      <c r="S24">
        <v>1</v>
      </c>
      <c r="T24">
        <f t="shared" ca="1" si="18"/>
        <v>1</v>
      </c>
      <c r="U24">
        <f t="shared" ca="1" si="18"/>
        <v>1</v>
      </c>
      <c r="V24">
        <f t="shared" ca="1" si="18"/>
        <v>1</v>
      </c>
      <c r="W24">
        <f t="shared" ca="1" si="18"/>
        <v>0</v>
      </c>
      <c r="X24">
        <f t="shared" ca="1" si="18"/>
        <v>1</v>
      </c>
      <c r="Y24">
        <f t="shared" ca="1" si="18"/>
        <v>1</v>
      </c>
      <c r="Z24">
        <f t="shared" ca="1" si="18"/>
        <v>1</v>
      </c>
      <c r="AA24">
        <f t="shared" ca="1" si="18"/>
        <v>0</v>
      </c>
      <c r="AB24">
        <f t="shared" ca="1" si="19"/>
        <v>0</v>
      </c>
      <c r="AC24">
        <f t="shared" ca="1" si="19"/>
        <v>1</v>
      </c>
      <c r="AD24">
        <f t="shared" ca="1" si="19"/>
        <v>0</v>
      </c>
      <c r="AE24">
        <f t="shared" ca="1" si="19"/>
        <v>0</v>
      </c>
      <c r="AF24">
        <f t="shared" ca="1" si="19"/>
        <v>0</v>
      </c>
      <c r="AG24">
        <f t="shared" ca="1" si="19"/>
        <v>0</v>
      </c>
      <c r="AH24">
        <f t="shared" ca="1" si="19"/>
        <v>0</v>
      </c>
      <c r="AI24">
        <f t="shared" ca="1" si="19"/>
        <v>1</v>
      </c>
      <c r="AJ24">
        <f t="shared" ca="1" si="19"/>
        <v>1</v>
      </c>
      <c r="AK24">
        <f t="shared" ca="1" si="19"/>
        <v>0</v>
      </c>
      <c r="AL24">
        <f t="shared" ca="1" si="19"/>
        <v>1</v>
      </c>
      <c r="AM24">
        <f t="shared" ca="1" si="19"/>
        <v>1</v>
      </c>
      <c r="AN24">
        <f t="shared" ca="1" si="19"/>
        <v>1</v>
      </c>
      <c r="AO24">
        <f t="shared" ca="1" si="19"/>
        <v>0</v>
      </c>
      <c r="AP24">
        <f t="shared" ca="1" si="19"/>
        <v>0</v>
      </c>
      <c r="AQ24">
        <f t="shared" ca="1" si="19"/>
        <v>1</v>
      </c>
      <c r="BH24" s="1">
        <f t="shared" ca="1" si="3"/>
        <v>0.5</v>
      </c>
      <c r="BI24" s="1">
        <f t="shared" ca="1" si="15"/>
        <v>1</v>
      </c>
      <c r="BJ24" s="1">
        <f t="shared" ca="1" si="16"/>
        <v>0.5</v>
      </c>
      <c r="BK24" s="1">
        <f t="shared" ca="1" si="17"/>
        <v>0.5</v>
      </c>
      <c r="BL24">
        <f t="shared" ca="1" si="4"/>
        <v>8016</v>
      </c>
      <c r="BM24">
        <f t="shared" ca="1" si="4"/>
        <v>4749</v>
      </c>
      <c r="BN24">
        <f t="shared" ca="1" si="5"/>
        <v>1201</v>
      </c>
      <c r="BO24">
        <f t="shared" ca="1" si="5"/>
        <v>1116</v>
      </c>
      <c r="BP24">
        <f t="shared" ca="1" si="6"/>
        <v>4435</v>
      </c>
      <c r="BQ24">
        <f t="shared" ca="1" si="6"/>
        <v>8754</v>
      </c>
      <c r="BR24">
        <f t="shared" ca="1" si="7"/>
        <v>861</v>
      </c>
      <c r="BS24">
        <f t="shared" ca="1" si="7"/>
        <v>2911</v>
      </c>
      <c r="BT24">
        <f t="shared" ca="1" si="8"/>
        <v>6442</v>
      </c>
      <c r="BU24">
        <f t="shared" ca="1" si="8"/>
        <v>1554</v>
      </c>
      <c r="BV24">
        <f t="shared" ca="1" si="8"/>
        <v>5498</v>
      </c>
      <c r="BW24">
        <f t="shared" ca="1" si="8"/>
        <v>9383</v>
      </c>
      <c r="BX24">
        <f t="shared" ca="1" si="9"/>
        <v>2676</v>
      </c>
      <c r="BY24">
        <f t="shared" ca="1" si="9"/>
        <v>1420</v>
      </c>
      <c r="BZ24">
        <f t="shared" ca="1" si="9"/>
        <v>1501</v>
      </c>
      <c r="CA24">
        <f t="shared" ca="1" si="9"/>
        <v>2202</v>
      </c>
      <c r="CB24" s="7">
        <f ca="1">AVERAGE(BL24:BM33,BP24:BQ33,BT24:BW33)</f>
        <v>5235.8125</v>
      </c>
      <c r="CC24" s="7">
        <f ca="1">AVERAGE(BN24:BO33,BR24:BS33,BX24:CA33)</f>
        <v>1739.1624999999999</v>
      </c>
    </row>
    <row r="25" spans="1:81" x14ac:dyDescent="0.25">
      <c r="A25">
        <v>24</v>
      </c>
      <c r="B25">
        <f t="shared" ca="1" si="10"/>
        <v>24</v>
      </c>
      <c r="C25">
        <f t="shared" ca="1" si="11"/>
        <v>2</v>
      </c>
      <c r="D25">
        <f t="shared" ca="1" si="11"/>
        <v>4</v>
      </c>
      <c r="E25" t="s">
        <v>180</v>
      </c>
      <c r="F25">
        <f t="shared" ca="1" si="12"/>
        <v>1</v>
      </c>
      <c r="G25">
        <f t="shared" ca="1" si="12"/>
        <v>1</v>
      </c>
      <c r="H25">
        <f t="shared" ca="1" si="12"/>
        <v>1</v>
      </c>
      <c r="I25" s="14">
        <f t="shared" ca="1" si="13"/>
        <v>0</v>
      </c>
      <c r="J25" t="s">
        <v>19</v>
      </c>
      <c r="K25">
        <f t="shared" si="14"/>
        <v>0</v>
      </c>
      <c r="L25">
        <v>2</v>
      </c>
      <c r="M25" s="15" t="s">
        <v>24</v>
      </c>
      <c r="N25" s="12" t="s">
        <v>30</v>
      </c>
      <c r="O25" s="13" t="s">
        <v>30</v>
      </c>
      <c r="P25" s="16" t="s">
        <v>28</v>
      </c>
      <c r="Q25" s="4" t="s">
        <v>86</v>
      </c>
      <c r="R25" t="s">
        <v>21</v>
      </c>
      <c r="S25">
        <v>1</v>
      </c>
      <c r="T25">
        <f t="shared" ca="1" si="18"/>
        <v>0</v>
      </c>
      <c r="U25">
        <f t="shared" ca="1" si="18"/>
        <v>1</v>
      </c>
      <c r="V25">
        <f t="shared" ca="1" si="18"/>
        <v>0</v>
      </c>
      <c r="W25">
        <f t="shared" ca="1" si="18"/>
        <v>0</v>
      </c>
      <c r="X25">
        <f t="shared" ca="1" si="18"/>
        <v>0</v>
      </c>
      <c r="Y25">
        <f t="shared" ca="1" si="18"/>
        <v>0</v>
      </c>
      <c r="Z25">
        <f t="shared" ca="1" si="18"/>
        <v>0</v>
      </c>
      <c r="AA25">
        <f t="shared" ca="1" si="18"/>
        <v>1</v>
      </c>
      <c r="AB25">
        <f t="shared" ca="1" si="19"/>
        <v>1</v>
      </c>
      <c r="AC25">
        <f t="shared" ca="1" si="19"/>
        <v>1</v>
      </c>
      <c r="AD25">
        <f t="shared" ca="1" si="19"/>
        <v>0</v>
      </c>
      <c r="AE25">
        <f t="shared" ca="1" si="19"/>
        <v>0</v>
      </c>
      <c r="AF25">
        <f t="shared" ca="1" si="19"/>
        <v>0</v>
      </c>
      <c r="AG25">
        <f t="shared" ca="1" si="19"/>
        <v>1</v>
      </c>
      <c r="AH25">
        <f t="shared" ca="1" si="19"/>
        <v>1</v>
      </c>
      <c r="AI25">
        <f t="shared" ca="1" si="19"/>
        <v>0</v>
      </c>
      <c r="AJ25">
        <f t="shared" ca="1" si="19"/>
        <v>1</v>
      </c>
      <c r="AK25">
        <f t="shared" ca="1" si="19"/>
        <v>0</v>
      </c>
      <c r="AL25">
        <f t="shared" ca="1" si="19"/>
        <v>0</v>
      </c>
      <c r="AM25">
        <f t="shared" ca="1" si="19"/>
        <v>0</v>
      </c>
      <c r="AN25">
        <f t="shared" ca="1" si="19"/>
        <v>1</v>
      </c>
      <c r="AO25">
        <f t="shared" ca="1" si="19"/>
        <v>0</v>
      </c>
      <c r="AP25">
        <f t="shared" ca="1" si="19"/>
        <v>1</v>
      </c>
      <c r="AQ25">
        <f t="shared" ca="1" si="19"/>
        <v>1</v>
      </c>
      <c r="BH25" s="1">
        <f t="shared" ca="1" si="3"/>
        <v>0.5</v>
      </c>
      <c r="BI25" s="1">
        <f t="shared" ca="1" si="15"/>
        <v>0</v>
      </c>
      <c r="BJ25" s="1">
        <f t="shared" ca="1" si="16"/>
        <v>0.5</v>
      </c>
      <c r="BK25" s="1">
        <f t="shared" ca="1" si="17"/>
        <v>1</v>
      </c>
      <c r="BL25">
        <f t="shared" ca="1" si="4"/>
        <v>7238</v>
      </c>
      <c r="BM25">
        <f t="shared" ca="1" si="4"/>
        <v>6653</v>
      </c>
      <c r="BN25">
        <f t="shared" ca="1" si="5"/>
        <v>1515</v>
      </c>
      <c r="BO25">
        <f t="shared" ca="1" si="5"/>
        <v>2857</v>
      </c>
      <c r="BP25">
        <f t="shared" ca="1" si="6"/>
        <v>8521</v>
      </c>
      <c r="BQ25">
        <f t="shared" ca="1" si="6"/>
        <v>8831</v>
      </c>
      <c r="BR25">
        <f t="shared" ca="1" si="7"/>
        <v>1457</v>
      </c>
      <c r="BS25">
        <f t="shared" ca="1" si="7"/>
        <v>1221</v>
      </c>
      <c r="BT25">
        <f t="shared" ca="1" si="8"/>
        <v>5576</v>
      </c>
      <c r="BU25">
        <f t="shared" ca="1" si="8"/>
        <v>6420</v>
      </c>
      <c r="BV25">
        <f t="shared" ca="1" si="8"/>
        <v>9687</v>
      </c>
      <c r="BW25">
        <f t="shared" ca="1" si="8"/>
        <v>1365</v>
      </c>
      <c r="BX25">
        <f t="shared" ca="1" si="9"/>
        <v>2201</v>
      </c>
      <c r="BY25">
        <f t="shared" ca="1" si="9"/>
        <v>1781</v>
      </c>
      <c r="BZ25">
        <f t="shared" ca="1" si="9"/>
        <v>1915</v>
      </c>
      <c r="CA25">
        <f t="shared" ca="1" si="9"/>
        <v>1787</v>
      </c>
      <c r="CB25" s="7">
        <f ca="1">AVERAGE(BL25:BM33,BP25:BQ33,BT25:BW33)</f>
        <v>5139.3611111111113</v>
      </c>
      <c r="CC25" s="7">
        <f ca="1">AVERAGE(BN25:BO33,BR25:BS33,BX25:CA33)</f>
        <v>1739.5138888888889</v>
      </c>
    </row>
    <row r="26" spans="1:81" x14ac:dyDescent="0.25">
      <c r="A26">
        <v>25</v>
      </c>
      <c r="B26">
        <f t="shared" ca="1" si="10"/>
        <v>21</v>
      </c>
      <c r="C26">
        <f t="shared" ca="1" si="11"/>
        <v>1</v>
      </c>
      <c r="D26">
        <f t="shared" ca="1" si="11"/>
        <v>4</v>
      </c>
      <c r="E26" t="s">
        <v>180</v>
      </c>
      <c r="F26">
        <f t="shared" ca="1" si="12"/>
        <v>0</v>
      </c>
      <c r="G26">
        <f t="shared" ca="1" si="12"/>
        <v>0</v>
      </c>
      <c r="H26">
        <f t="shared" ca="1" si="12"/>
        <v>1</v>
      </c>
      <c r="I26" s="14">
        <f t="shared" ca="1" si="13"/>
        <v>1</v>
      </c>
      <c r="J26" t="s">
        <v>18</v>
      </c>
      <c r="K26">
        <f t="shared" si="14"/>
        <v>1</v>
      </c>
      <c r="L26">
        <v>3</v>
      </c>
      <c r="M26" s="15" t="s">
        <v>25</v>
      </c>
      <c r="N26" s="12" t="s">
        <v>31</v>
      </c>
      <c r="O26" s="13" t="s">
        <v>31</v>
      </c>
      <c r="P26" s="16" t="s">
        <v>32</v>
      </c>
      <c r="Q26" s="4" t="s">
        <v>86</v>
      </c>
      <c r="R26" t="s">
        <v>21</v>
      </c>
      <c r="S26">
        <v>1</v>
      </c>
      <c r="T26">
        <f t="shared" ca="1" si="18"/>
        <v>1</v>
      </c>
      <c r="U26">
        <f t="shared" ca="1" si="18"/>
        <v>1</v>
      </c>
      <c r="V26">
        <f t="shared" ca="1" si="18"/>
        <v>1</v>
      </c>
      <c r="W26">
        <f t="shared" ca="1" si="18"/>
        <v>1</v>
      </c>
      <c r="X26">
        <f t="shared" ca="1" si="18"/>
        <v>1</v>
      </c>
      <c r="Y26">
        <f t="shared" ca="1" si="18"/>
        <v>1</v>
      </c>
      <c r="Z26">
        <f t="shared" ca="1" si="18"/>
        <v>1</v>
      </c>
      <c r="AA26">
        <f t="shared" ca="1" si="18"/>
        <v>0</v>
      </c>
      <c r="AB26">
        <f t="shared" ca="1" si="19"/>
        <v>1</v>
      </c>
      <c r="AC26">
        <f t="shared" ca="1" si="19"/>
        <v>1</v>
      </c>
      <c r="AD26">
        <f t="shared" ca="1" si="19"/>
        <v>0</v>
      </c>
      <c r="AE26">
        <f t="shared" ca="1" si="19"/>
        <v>1</v>
      </c>
      <c r="AF26">
        <f t="shared" ca="1" si="19"/>
        <v>1</v>
      </c>
      <c r="AG26">
        <f t="shared" ca="1" si="19"/>
        <v>1</v>
      </c>
      <c r="AH26">
        <f t="shared" ca="1" si="19"/>
        <v>1</v>
      </c>
      <c r="AI26">
        <f t="shared" ca="1" si="19"/>
        <v>0</v>
      </c>
      <c r="AJ26">
        <f t="shared" ca="1" si="19"/>
        <v>0</v>
      </c>
      <c r="AK26">
        <f t="shared" ca="1" si="19"/>
        <v>1</v>
      </c>
      <c r="AL26">
        <f t="shared" ca="1" si="19"/>
        <v>1</v>
      </c>
      <c r="AM26">
        <f t="shared" ca="1" si="19"/>
        <v>0</v>
      </c>
      <c r="AN26">
        <f t="shared" ca="1" si="19"/>
        <v>0</v>
      </c>
      <c r="AO26">
        <f t="shared" ca="1" si="19"/>
        <v>1</v>
      </c>
      <c r="AP26">
        <f t="shared" ca="1" si="19"/>
        <v>0</v>
      </c>
      <c r="AQ26">
        <f t="shared" ca="1" si="19"/>
        <v>1</v>
      </c>
      <c r="BH26" s="1">
        <f t="shared" ca="1" si="3"/>
        <v>0.5</v>
      </c>
      <c r="BI26" s="1">
        <f t="shared" ca="1" si="15"/>
        <v>0.5</v>
      </c>
      <c r="BJ26" s="1">
        <f t="shared" ca="1" si="16"/>
        <v>0.5</v>
      </c>
      <c r="BK26" s="1">
        <f t="shared" ca="1" si="17"/>
        <v>0.5</v>
      </c>
      <c r="BL26">
        <f t="shared" ca="1" si="4"/>
        <v>971</v>
      </c>
      <c r="BM26">
        <f t="shared" ca="1" si="4"/>
        <v>3811</v>
      </c>
      <c r="BN26">
        <f t="shared" ca="1" si="5"/>
        <v>2038</v>
      </c>
      <c r="BO26">
        <f t="shared" ca="1" si="5"/>
        <v>1135</v>
      </c>
      <c r="BP26">
        <f t="shared" ca="1" si="6"/>
        <v>1006</v>
      </c>
      <c r="BQ26">
        <f t="shared" ca="1" si="6"/>
        <v>2008</v>
      </c>
      <c r="BR26">
        <f t="shared" ca="1" si="7"/>
        <v>1411</v>
      </c>
      <c r="BS26">
        <f t="shared" ca="1" si="7"/>
        <v>1969</v>
      </c>
      <c r="BT26">
        <f t="shared" ca="1" si="8"/>
        <v>1726</v>
      </c>
      <c r="BU26">
        <f t="shared" ca="1" si="8"/>
        <v>1353</v>
      </c>
      <c r="BV26">
        <f t="shared" ca="1" si="8"/>
        <v>2908</v>
      </c>
      <c r="BW26">
        <f t="shared" ca="1" si="8"/>
        <v>1576</v>
      </c>
      <c r="BX26">
        <f t="shared" ca="1" si="9"/>
        <v>1534</v>
      </c>
      <c r="BY26">
        <f t="shared" ca="1" si="9"/>
        <v>784</v>
      </c>
      <c r="BZ26">
        <f t="shared" ca="1" si="9"/>
        <v>1580</v>
      </c>
      <c r="CA26">
        <f t="shared" ca="1" si="9"/>
        <v>1741</v>
      </c>
      <c r="CB26" s="7">
        <f ca="1">AVERAGE(BL26:BM33,BP26:BQ33,BT26:BW33)</f>
        <v>4933.484375</v>
      </c>
      <c r="CC26" s="7">
        <f ca="1">AVERAGE(BN26:BO33,BR26:BS33,BX26:CA33)</f>
        <v>1726.734375</v>
      </c>
    </row>
    <row r="27" spans="1:81" x14ac:dyDescent="0.25">
      <c r="A27">
        <v>26</v>
      </c>
      <c r="B27">
        <f t="shared" ca="1" si="10"/>
        <v>25</v>
      </c>
      <c r="C27">
        <f t="shared" ca="1" si="11"/>
        <v>1</v>
      </c>
      <c r="D27">
        <f t="shared" ca="1" si="11"/>
        <v>1</v>
      </c>
      <c r="E27" t="s">
        <v>180</v>
      </c>
      <c r="F27">
        <f t="shared" ca="1" si="12"/>
        <v>1</v>
      </c>
      <c r="G27">
        <f t="shared" ca="1" si="12"/>
        <v>1</v>
      </c>
      <c r="H27">
        <f t="shared" ca="1" si="12"/>
        <v>0</v>
      </c>
      <c r="I27" s="14">
        <f t="shared" ca="1" si="13"/>
        <v>0</v>
      </c>
      <c r="J27" t="s">
        <v>19</v>
      </c>
      <c r="K27">
        <f t="shared" si="14"/>
        <v>0</v>
      </c>
      <c r="L27">
        <v>3</v>
      </c>
      <c r="M27" s="15" t="s">
        <v>25</v>
      </c>
      <c r="N27" s="12" t="s">
        <v>31</v>
      </c>
      <c r="O27" s="13" t="s">
        <v>31</v>
      </c>
      <c r="P27" s="16" t="s">
        <v>32</v>
      </c>
      <c r="Q27" s="4" t="s">
        <v>86</v>
      </c>
      <c r="R27" t="s">
        <v>21</v>
      </c>
      <c r="S27">
        <v>1</v>
      </c>
      <c r="T27">
        <f t="shared" ca="1" si="18"/>
        <v>0</v>
      </c>
      <c r="U27">
        <f t="shared" ca="1" si="18"/>
        <v>1</v>
      </c>
      <c r="V27">
        <f t="shared" ca="1" si="18"/>
        <v>1</v>
      </c>
      <c r="W27">
        <f t="shared" ca="1" si="18"/>
        <v>0</v>
      </c>
      <c r="X27">
        <f t="shared" ca="1" si="18"/>
        <v>1</v>
      </c>
      <c r="Y27">
        <f t="shared" ca="1" si="18"/>
        <v>0</v>
      </c>
      <c r="Z27">
        <f t="shared" ca="1" si="18"/>
        <v>1</v>
      </c>
      <c r="AA27">
        <f t="shared" ca="1" si="18"/>
        <v>0</v>
      </c>
      <c r="AB27">
        <f t="shared" ca="1" si="19"/>
        <v>0</v>
      </c>
      <c r="AC27">
        <f t="shared" ca="1" si="19"/>
        <v>1</v>
      </c>
      <c r="AD27">
        <f t="shared" ca="1" si="19"/>
        <v>1</v>
      </c>
      <c r="AE27">
        <f t="shared" ca="1" si="19"/>
        <v>0</v>
      </c>
      <c r="AF27">
        <f t="shared" ca="1" si="19"/>
        <v>0</v>
      </c>
      <c r="AG27">
        <f t="shared" ca="1" si="19"/>
        <v>0</v>
      </c>
      <c r="AH27">
        <f t="shared" ca="1" si="19"/>
        <v>1</v>
      </c>
      <c r="AI27">
        <f t="shared" ca="1" si="19"/>
        <v>1</v>
      </c>
      <c r="AJ27">
        <f t="shared" ca="1" si="19"/>
        <v>0</v>
      </c>
      <c r="AK27">
        <f t="shared" ca="1" si="19"/>
        <v>1</v>
      </c>
      <c r="AL27">
        <f t="shared" ca="1" si="19"/>
        <v>1</v>
      </c>
      <c r="AM27">
        <f t="shared" ca="1" si="19"/>
        <v>1</v>
      </c>
      <c r="AN27">
        <f t="shared" ca="1" si="19"/>
        <v>0</v>
      </c>
      <c r="AO27">
        <f t="shared" ca="1" si="19"/>
        <v>1</v>
      </c>
      <c r="AP27">
        <f t="shared" ca="1" si="19"/>
        <v>0</v>
      </c>
      <c r="AQ27">
        <f t="shared" ca="1" si="19"/>
        <v>0</v>
      </c>
      <c r="BH27" s="1">
        <f t="shared" ca="1" si="3"/>
        <v>0.5</v>
      </c>
      <c r="BI27" s="1">
        <f t="shared" ca="1" si="15"/>
        <v>1</v>
      </c>
      <c r="BJ27" s="1">
        <f t="shared" ca="1" si="16"/>
        <v>0.5</v>
      </c>
      <c r="BK27" s="1">
        <f t="shared" ca="1" si="17"/>
        <v>0</v>
      </c>
      <c r="BL27">
        <f t="shared" ca="1" si="4"/>
        <v>7648</v>
      </c>
      <c r="BM27">
        <f t="shared" ca="1" si="4"/>
        <v>7231</v>
      </c>
      <c r="BN27">
        <f t="shared" ca="1" si="5"/>
        <v>956</v>
      </c>
      <c r="BO27">
        <f t="shared" ca="1" si="5"/>
        <v>2583</v>
      </c>
      <c r="BP27">
        <f t="shared" ca="1" si="6"/>
        <v>6576</v>
      </c>
      <c r="BQ27">
        <f t="shared" ca="1" si="6"/>
        <v>8564</v>
      </c>
      <c r="BR27">
        <f t="shared" ca="1" si="7"/>
        <v>729</v>
      </c>
      <c r="BS27">
        <f t="shared" ca="1" si="7"/>
        <v>2602</v>
      </c>
      <c r="BT27">
        <f t="shared" ca="1" si="8"/>
        <v>4394</v>
      </c>
      <c r="BU27">
        <f t="shared" ca="1" si="8"/>
        <v>5454</v>
      </c>
      <c r="BV27">
        <f t="shared" ca="1" si="8"/>
        <v>2683</v>
      </c>
      <c r="BW27">
        <f t="shared" ca="1" si="8"/>
        <v>2680</v>
      </c>
      <c r="BX27">
        <f t="shared" ca="1" si="9"/>
        <v>1317</v>
      </c>
      <c r="BY27">
        <f t="shared" ca="1" si="9"/>
        <v>2155</v>
      </c>
      <c r="BZ27">
        <f t="shared" ca="1" si="9"/>
        <v>1783</v>
      </c>
      <c r="CA27">
        <f t="shared" ca="1" si="9"/>
        <v>2910</v>
      </c>
      <c r="CB27" s="7">
        <f ca="1">AVERAGE(BL27:BM33,BP27:BQ33,BT27:BW33)</f>
        <v>5364</v>
      </c>
      <c r="CC27" s="7">
        <f ca="1">AVERAGE(BN27:BO33,BR27:BS33,BX27:CA33)</f>
        <v>1755.6964285714287</v>
      </c>
    </row>
    <row r="28" spans="1:81" x14ac:dyDescent="0.25">
      <c r="A28">
        <v>27</v>
      </c>
      <c r="B28">
        <f t="shared" ca="1" si="10"/>
        <v>23</v>
      </c>
      <c r="C28">
        <f t="shared" ca="1" si="11"/>
        <v>2</v>
      </c>
      <c r="D28">
        <f t="shared" ca="1" si="11"/>
        <v>3</v>
      </c>
      <c r="E28" t="s">
        <v>180</v>
      </c>
      <c r="F28">
        <f t="shared" ca="1" si="12"/>
        <v>1</v>
      </c>
      <c r="G28">
        <f t="shared" ca="1" si="12"/>
        <v>0</v>
      </c>
      <c r="H28">
        <f t="shared" ca="1" si="12"/>
        <v>1</v>
      </c>
      <c r="I28" s="14">
        <f t="shared" ca="1" si="13"/>
        <v>1</v>
      </c>
      <c r="J28" t="s">
        <v>18</v>
      </c>
      <c r="K28">
        <f t="shared" si="14"/>
        <v>1</v>
      </c>
      <c r="L28">
        <v>3</v>
      </c>
      <c r="M28" s="15" t="s">
        <v>25</v>
      </c>
      <c r="N28" s="12" t="s">
        <v>31</v>
      </c>
      <c r="O28" s="13" t="s">
        <v>31</v>
      </c>
      <c r="P28" s="16" t="s">
        <v>32</v>
      </c>
      <c r="Q28" s="4" t="s">
        <v>86</v>
      </c>
      <c r="R28" t="s">
        <v>21</v>
      </c>
      <c r="S28">
        <v>1</v>
      </c>
      <c r="T28">
        <f t="shared" ca="1" si="18"/>
        <v>0</v>
      </c>
      <c r="U28">
        <f t="shared" ca="1" si="18"/>
        <v>0</v>
      </c>
      <c r="V28">
        <f t="shared" ca="1" si="18"/>
        <v>1</v>
      </c>
      <c r="W28">
        <f t="shared" ca="1" si="18"/>
        <v>0</v>
      </c>
      <c r="X28">
        <f t="shared" ca="1" si="18"/>
        <v>1</v>
      </c>
      <c r="Y28">
        <f t="shared" ca="1" si="18"/>
        <v>0</v>
      </c>
      <c r="Z28">
        <f t="shared" ca="1" si="18"/>
        <v>0</v>
      </c>
      <c r="AA28">
        <f t="shared" ca="1" si="18"/>
        <v>1</v>
      </c>
      <c r="AB28">
        <f t="shared" ca="1" si="19"/>
        <v>1</v>
      </c>
      <c r="AC28">
        <f t="shared" ca="1" si="19"/>
        <v>1</v>
      </c>
      <c r="AD28">
        <f t="shared" ca="1" si="19"/>
        <v>0</v>
      </c>
      <c r="AE28">
        <f t="shared" ca="1" si="19"/>
        <v>0</v>
      </c>
      <c r="AF28">
        <f t="shared" ca="1" si="19"/>
        <v>1</v>
      </c>
      <c r="AG28">
        <f t="shared" ca="1" si="19"/>
        <v>1</v>
      </c>
      <c r="AH28">
        <f t="shared" ca="1" si="19"/>
        <v>1</v>
      </c>
      <c r="AI28">
        <f t="shared" ca="1" si="19"/>
        <v>0</v>
      </c>
      <c r="AJ28">
        <f t="shared" ca="1" si="19"/>
        <v>1</v>
      </c>
      <c r="AK28">
        <f t="shared" ca="1" si="19"/>
        <v>0</v>
      </c>
      <c r="AL28">
        <f t="shared" ca="1" si="19"/>
        <v>0</v>
      </c>
      <c r="AM28">
        <f t="shared" ca="1" si="19"/>
        <v>0</v>
      </c>
      <c r="AN28">
        <f t="shared" ca="1" si="19"/>
        <v>1</v>
      </c>
      <c r="AO28">
        <f t="shared" ca="1" si="19"/>
        <v>0</v>
      </c>
      <c r="AP28">
        <f t="shared" ca="1" si="19"/>
        <v>1</v>
      </c>
      <c r="AQ28">
        <f t="shared" ca="1" si="19"/>
        <v>0</v>
      </c>
      <c r="BH28" s="1">
        <f t="shared" ca="1" si="3"/>
        <v>0.5</v>
      </c>
      <c r="BI28" s="1">
        <f t="shared" ca="1" si="15"/>
        <v>0</v>
      </c>
      <c r="BJ28" s="1">
        <f t="shared" ca="1" si="16"/>
        <v>0.5</v>
      </c>
      <c r="BK28" s="1">
        <f t="shared" ca="1" si="17"/>
        <v>0.5</v>
      </c>
      <c r="BL28">
        <f t="shared" ca="1" si="4"/>
        <v>7099</v>
      </c>
      <c r="BM28">
        <f t="shared" ca="1" si="4"/>
        <v>1440</v>
      </c>
      <c r="BN28">
        <f t="shared" ca="1" si="5"/>
        <v>2962</v>
      </c>
      <c r="BO28">
        <f t="shared" ca="1" si="5"/>
        <v>2755</v>
      </c>
      <c r="BP28">
        <f t="shared" ca="1" si="6"/>
        <v>1842</v>
      </c>
      <c r="BQ28">
        <f t="shared" ca="1" si="6"/>
        <v>9854</v>
      </c>
      <c r="BR28">
        <f t="shared" ca="1" si="7"/>
        <v>1589</v>
      </c>
      <c r="BS28">
        <f t="shared" ca="1" si="7"/>
        <v>1292</v>
      </c>
      <c r="BT28">
        <f t="shared" ca="1" si="8"/>
        <v>6634</v>
      </c>
      <c r="BU28">
        <f t="shared" ca="1" si="8"/>
        <v>5433</v>
      </c>
      <c r="BV28">
        <f t="shared" ca="1" si="8"/>
        <v>4849</v>
      </c>
      <c r="BW28">
        <f t="shared" ca="1" si="8"/>
        <v>7380</v>
      </c>
      <c r="BX28">
        <f t="shared" ca="1" si="9"/>
        <v>1123</v>
      </c>
      <c r="BY28">
        <f t="shared" ca="1" si="9"/>
        <v>1642</v>
      </c>
      <c r="BZ28">
        <f t="shared" ca="1" si="9"/>
        <v>2689</v>
      </c>
      <c r="CA28">
        <f t="shared" ca="1" si="9"/>
        <v>2922</v>
      </c>
      <c r="CB28" s="7">
        <f ca="1">AVERAGE(BL28:BM33,BP28:BQ33,BT28:BW33)</f>
        <v>5315.708333333333</v>
      </c>
      <c r="CC28" s="7">
        <f ca="1">AVERAGE(BN28:BO33,BR28:BS33,BX28:CA33)</f>
        <v>1735.0833333333333</v>
      </c>
    </row>
    <row r="29" spans="1:81" x14ac:dyDescent="0.25">
      <c r="A29">
        <v>28</v>
      </c>
      <c r="B29">
        <f t="shared" ca="1" si="10"/>
        <v>22</v>
      </c>
      <c r="C29">
        <f t="shared" ca="1" si="11"/>
        <v>2</v>
      </c>
      <c r="D29">
        <f t="shared" ca="1" si="11"/>
        <v>3</v>
      </c>
      <c r="E29" t="s">
        <v>180</v>
      </c>
      <c r="F29">
        <f t="shared" ca="1" si="12"/>
        <v>1</v>
      </c>
      <c r="G29">
        <f t="shared" ca="1" si="12"/>
        <v>0</v>
      </c>
      <c r="H29">
        <f t="shared" ca="1" si="12"/>
        <v>0</v>
      </c>
      <c r="I29" s="14">
        <f t="shared" ca="1" si="13"/>
        <v>1</v>
      </c>
      <c r="J29" t="s">
        <v>19</v>
      </c>
      <c r="K29">
        <f t="shared" si="14"/>
        <v>0</v>
      </c>
      <c r="L29">
        <v>3</v>
      </c>
      <c r="M29" s="15" t="s">
        <v>25</v>
      </c>
      <c r="N29" s="12" t="s">
        <v>31</v>
      </c>
      <c r="O29" s="13" t="s">
        <v>31</v>
      </c>
      <c r="P29" s="16" t="s">
        <v>32</v>
      </c>
      <c r="Q29" s="4" t="s">
        <v>86</v>
      </c>
      <c r="R29" t="s">
        <v>21</v>
      </c>
      <c r="S29">
        <v>1</v>
      </c>
      <c r="T29">
        <f t="shared" ca="1" si="18"/>
        <v>1</v>
      </c>
      <c r="U29">
        <f t="shared" ca="1" si="18"/>
        <v>0</v>
      </c>
      <c r="V29">
        <f t="shared" ca="1" si="18"/>
        <v>1</v>
      </c>
      <c r="W29">
        <f t="shared" ca="1" si="18"/>
        <v>1</v>
      </c>
      <c r="X29">
        <f t="shared" ca="1" si="18"/>
        <v>0</v>
      </c>
      <c r="Y29">
        <f t="shared" ca="1" si="18"/>
        <v>0</v>
      </c>
      <c r="Z29">
        <f t="shared" ca="1" si="18"/>
        <v>1</v>
      </c>
      <c r="AA29">
        <f t="shared" ca="1" si="18"/>
        <v>1</v>
      </c>
      <c r="AB29">
        <f t="shared" ca="1" si="19"/>
        <v>1</v>
      </c>
      <c r="AC29">
        <f t="shared" ca="1" si="19"/>
        <v>0</v>
      </c>
      <c r="AD29">
        <f t="shared" ca="1" si="19"/>
        <v>0</v>
      </c>
      <c r="AE29">
        <f t="shared" ca="1" si="19"/>
        <v>0</v>
      </c>
      <c r="AF29">
        <f t="shared" ca="1" si="19"/>
        <v>0</v>
      </c>
      <c r="AG29">
        <f t="shared" ca="1" si="19"/>
        <v>0</v>
      </c>
      <c r="AH29">
        <f t="shared" ca="1" si="19"/>
        <v>1</v>
      </c>
      <c r="AI29">
        <f t="shared" ca="1" si="19"/>
        <v>1</v>
      </c>
      <c r="AJ29">
        <f t="shared" ca="1" si="19"/>
        <v>0</v>
      </c>
      <c r="AK29">
        <f t="shared" ca="1" si="19"/>
        <v>0</v>
      </c>
      <c r="AL29">
        <f t="shared" ca="1" si="19"/>
        <v>0</v>
      </c>
      <c r="AM29">
        <f t="shared" ca="1" si="19"/>
        <v>1</v>
      </c>
      <c r="AN29">
        <f t="shared" ca="1" si="19"/>
        <v>0</v>
      </c>
      <c r="AO29">
        <f t="shared" ca="1" si="19"/>
        <v>0</v>
      </c>
      <c r="AP29">
        <f t="shared" ca="1" si="19"/>
        <v>0</v>
      </c>
      <c r="AQ29">
        <f t="shared" ca="1" si="19"/>
        <v>0</v>
      </c>
      <c r="BH29" s="1">
        <f t="shared" ca="1" si="3"/>
        <v>0</v>
      </c>
      <c r="BI29" s="1">
        <f t="shared" ca="1" si="15"/>
        <v>0.5</v>
      </c>
      <c r="BJ29" s="1">
        <f t="shared" ca="1" si="16"/>
        <v>0</v>
      </c>
      <c r="BK29" s="1">
        <f t="shared" ca="1" si="17"/>
        <v>0</v>
      </c>
      <c r="BL29">
        <f t="shared" ca="1" si="4"/>
        <v>4920</v>
      </c>
      <c r="BM29">
        <f t="shared" ca="1" si="4"/>
        <v>5235</v>
      </c>
      <c r="BN29">
        <f t="shared" ca="1" si="5"/>
        <v>1935</v>
      </c>
      <c r="BO29">
        <f t="shared" ca="1" si="5"/>
        <v>2700</v>
      </c>
      <c r="BP29">
        <f t="shared" ca="1" si="6"/>
        <v>2110</v>
      </c>
      <c r="BQ29">
        <f t="shared" ca="1" si="6"/>
        <v>7668</v>
      </c>
      <c r="BR29">
        <f t="shared" ca="1" si="7"/>
        <v>2404</v>
      </c>
      <c r="BS29">
        <f t="shared" ca="1" si="7"/>
        <v>1907</v>
      </c>
      <c r="BT29">
        <f t="shared" ca="1" si="8"/>
        <v>5321</v>
      </c>
      <c r="BU29">
        <f t="shared" ca="1" si="8"/>
        <v>9956</v>
      </c>
      <c r="BV29">
        <f t="shared" ca="1" si="8"/>
        <v>9806</v>
      </c>
      <c r="BW29">
        <f t="shared" ca="1" si="8"/>
        <v>7292</v>
      </c>
      <c r="BX29">
        <f t="shared" ca="1" si="9"/>
        <v>808</v>
      </c>
      <c r="BY29">
        <f t="shared" ca="1" si="9"/>
        <v>1320</v>
      </c>
      <c r="BZ29">
        <f t="shared" ca="1" si="9"/>
        <v>1694</v>
      </c>
      <c r="CA29">
        <f t="shared" ca="1" si="9"/>
        <v>1387</v>
      </c>
      <c r="CB29" s="7">
        <f ca="1">AVERAGE(BL29:BM33,BP29:BQ33,BT29:BW33)</f>
        <v>5265.5749999999998</v>
      </c>
      <c r="CC29" s="7">
        <f ca="1">AVERAGE(BN29:BO33,BR29:BS33,BX29:CA33)</f>
        <v>1657.75</v>
      </c>
    </row>
    <row r="30" spans="1:81" x14ac:dyDescent="0.25">
      <c r="A30">
        <v>29</v>
      </c>
      <c r="B30">
        <f t="shared" ca="1" si="10"/>
        <v>19</v>
      </c>
      <c r="C30">
        <f t="shared" ca="1" si="11"/>
        <v>3</v>
      </c>
      <c r="D30">
        <f t="shared" ca="1" si="11"/>
        <v>2</v>
      </c>
      <c r="E30" t="s">
        <v>180</v>
      </c>
      <c r="F30">
        <f t="shared" ca="1" si="12"/>
        <v>0</v>
      </c>
      <c r="G30">
        <f t="shared" ca="1" si="12"/>
        <v>1</v>
      </c>
      <c r="H30">
        <f t="shared" ca="1" si="12"/>
        <v>1</v>
      </c>
      <c r="I30" s="14">
        <f t="shared" ca="1" si="13"/>
        <v>1</v>
      </c>
      <c r="J30" t="s">
        <v>18</v>
      </c>
      <c r="K30">
        <f t="shared" si="14"/>
        <v>1</v>
      </c>
      <c r="L30">
        <v>4</v>
      </c>
      <c r="M30" s="15" t="s">
        <v>26</v>
      </c>
      <c r="N30" s="12" t="s">
        <v>32</v>
      </c>
      <c r="O30" s="13" t="s">
        <v>32</v>
      </c>
      <c r="P30" s="16" t="s">
        <v>31</v>
      </c>
      <c r="Q30" s="4" t="s">
        <v>86</v>
      </c>
      <c r="R30" t="s">
        <v>21</v>
      </c>
      <c r="S30">
        <v>1</v>
      </c>
      <c r="T30">
        <f t="shared" ca="1" si="18"/>
        <v>0</v>
      </c>
      <c r="U30">
        <f t="shared" ca="1" si="18"/>
        <v>1</v>
      </c>
      <c r="V30">
        <f t="shared" ca="1" si="18"/>
        <v>1</v>
      </c>
      <c r="W30">
        <f t="shared" ca="1" si="18"/>
        <v>0</v>
      </c>
      <c r="X30">
        <f t="shared" ca="1" si="18"/>
        <v>0</v>
      </c>
      <c r="Y30">
        <f t="shared" ca="1" si="18"/>
        <v>0</v>
      </c>
      <c r="Z30">
        <f t="shared" ca="1" si="18"/>
        <v>0</v>
      </c>
      <c r="AA30">
        <f t="shared" ca="1" si="18"/>
        <v>1</v>
      </c>
      <c r="AB30">
        <f t="shared" ca="1" si="19"/>
        <v>1</v>
      </c>
      <c r="AC30">
        <f t="shared" ca="1" si="19"/>
        <v>0</v>
      </c>
      <c r="AD30">
        <f t="shared" ca="1" si="19"/>
        <v>0</v>
      </c>
      <c r="AE30">
        <f t="shared" ca="1" si="19"/>
        <v>0</v>
      </c>
      <c r="AF30">
        <f t="shared" ca="1" si="19"/>
        <v>0</v>
      </c>
      <c r="AG30">
        <f t="shared" ca="1" si="19"/>
        <v>1</v>
      </c>
      <c r="AH30">
        <f t="shared" ca="1" si="19"/>
        <v>0</v>
      </c>
      <c r="AI30">
        <f t="shared" ca="1" si="19"/>
        <v>0</v>
      </c>
      <c r="AJ30">
        <f t="shared" ca="1" si="19"/>
        <v>0</v>
      </c>
      <c r="AK30">
        <f t="shared" ca="1" si="19"/>
        <v>1</v>
      </c>
      <c r="AL30">
        <f t="shared" ca="1" si="19"/>
        <v>0</v>
      </c>
      <c r="AM30">
        <f t="shared" ca="1" si="19"/>
        <v>1</v>
      </c>
      <c r="AN30">
        <f t="shared" ca="1" si="19"/>
        <v>1</v>
      </c>
      <c r="AO30">
        <f t="shared" ca="1" si="19"/>
        <v>0</v>
      </c>
      <c r="AP30">
        <f t="shared" ca="1" si="19"/>
        <v>1</v>
      </c>
      <c r="AQ30">
        <f t="shared" ca="1" si="19"/>
        <v>1</v>
      </c>
      <c r="BH30" s="1">
        <f t="shared" ca="1" si="3"/>
        <v>0.5</v>
      </c>
      <c r="BI30" s="1">
        <f t="shared" ca="1" si="15"/>
        <v>0.5</v>
      </c>
      <c r="BJ30" s="1">
        <f t="shared" ca="1" si="16"/>
        <v>0.5</v>
      </c>
      <c r="BK30" s="1">
        <f t="shared" ca="1" si="17"/>
        <v>1</v>
      </c>
      <c r="BL30">
        <f t="shared" ca="1" si="4"/>
        <v>5367</v>
      </c>
      <c r="BM30">
        <f t="shared" ca="1" si="4"/>
        <v>3330</v>
      </c>
      <c r="BN30">
        <f t="shared" ca="1" si="5"/>
        <v>660</v>
      </c>
      <c r="BO30">
        <f t="shared" ca="1" si="5"/>
        <v>1325</v>
      </c>
      <c r="BP30">
        <f t="shared" ca="1" si="6"/>
        <v>2474</v>
      </c>
      <c r="BQ30">
        <f t="shared" ca="1" si="6"/>
        <v>6623</v>
      </c>
      <c r="BR30">
        <f t="shared" ca="1" si="7"/>
        <v>1829</v>
      </c>
      <c r="BS30">
        <f t="shared" ca="1" si="7"/>
        <v>574</v>
      </c>
      <c r="BT30">
        <f t="shared" ca="1" si="8"/>
        <v>6528</v>
      </c>
      <c r="BU30">
        <f t="shared" ca="1" si="8"/>
        <v>5884</v>
      </c>
      <c r="BV30">
        <f t="shared" ca="1" si="8"/>
        <v>9109</v>
      </c>
      <c r="BW30">
        <f t="shared" ca="1" si="8"/>
        <v>5233</v>
      </c>
      <c r="BX30">
        <f t="shared" ca="1" si="9"/>
        <v>842</v>
      </c>
      <c r="BY30">
        <f t="shared" ca="1" si="9"/>
        <v>1814</v>
      </c>
      <c r="BZ30">
        <f t="shared" ca="1" si="9"/>
        <v>1034</v>
      </c>
      <c r="CA30">
        <f t="shared" ca="1" si="9"/>
        <v>1962</v>
      </c>
      <c r="CB30" s="7">
        <f ca="1">AVERAGE(BL30:BM33,BP30:BQ33,BT30:BW33)</f>
        <v>4947.34375</v>
      </c>
      <c r="CC30" s="7">
        <f ca="1">AVERAGE(BN30:BO33,BR30:BS33,BX30:CA33)</f>
        <v>1629.84375</v>
      </c>
    </row>
    <row r="31" spans="1:81" x14ac:dyDescent="0.25">
      <c r="A31">
        <v>30</v>
      </c>
      <c r="B31">
        <f t="shared" ca="1" si="10"/>
        <v>22</v>
      </c>
      <c r="C31">
        <f t="shared" ca="1" si="11"/>
        <v>3</v>
      </c>
      <c r="D31">
        <f t="shared" ca="1" si="11"/>
        <v>2</v>
      </c>
      <c r="E31" t="s">
        <v>180</v>
      </c>
      <c r="F31">
        <f t="shared" ca="1" si="12"/>
        <v>1</v>
      </c>
      <c r="G31">
        <f t="shared" ca="1" si="12"/>
        <v>0</v>
      </c>
      <c r="H31">
        <f t="shared" ca="1" si="12"/>
        <v>1</v>
      </c>
      <c r="I31" s="14">
        <f t="shared" ca="1" si="13"/>
        <v>0</v>
      </c>
      <c r="J31" t="s">
        <v>19</v>
      </c>
      <c r="K31">
        <f t="shared" si="14"/>
        <v>0</v>
      </c>
      <c r="L31">
        <v>4</v>
      </c>
      <c r="M31" s="15" t="s">
        <v>26</v>
      </c>
      <c r="N31" s="12" t="s">
        <v>32</v>
      </c>
      <c r="O31" s="13" t="s">
        <v>32</v>
      </c>
      <c r="P31" s="16" t="s">
        <v>31</v>
      </c>
      <c r="Q31" s="4" t="s">
        <v>86</v>
      </c>
      <c r="R31" t="s">
        <v>21</v>
      </c>
      <c r="S31">
        <v>1</v>
      </c>
      <c r="T31">
        <f t="shared" ca="1" si="18"/>
        <v>1</v>
      </c>
      <c r="U31">
        <f t="shared" ca="1" si="18"/>
        <v>0</v>
      </c>
      <c r="V31">
        <f t="shared" ca="1" si="18"/>
        <v>1</v>
      </c>
      <c r="W31">
        <f t="shared" ca="1" si="18"/>
        <v>0</v>
      </c>
      <c r="X31">
        <f t="shared" ca="1" si="18"/>
        <v>1</v>
      </c>
      <c r="Y31">
        <f t="shared" ca="1" si="18"/>
        <v>0</v>
      </c>
      <c r="Z31">
        <f t="shared" ca="1" si="18"/>
        <v>1</v>
      </c>
      <c r="AA31">
        <f t="shared" ca="1" si="18"/>
        <v>0</v>
      </c>
      <c r="AB31">
        <f t="shared" ca="1" si="19"/>
        <v>1</v>
      </c>
      <c r="AC31">
        <f t="shared" ca="1" si="19"/>
        <v>0</v>
      </c>
      <c r="AD31">
        <f t="shared" ca="1" si="19"/>
        <v>0</v>
      </c>
      <c r="AE31">
        <f t="shared" ca="1" si="19"/>
        <v>1</v>
      </c>
      <c r="AF31">
        <f t="shared" ca="1" si="19"/>
        <v>0</v>
      </c>
      <c r="AG31">
        <f t="shared" ca="1" si="19"/>
        <v>1</v>
      </c>
      <c r="AH31">
        <f t="shared" ca="1" si="19"/>
        <v>1</v>
      </c>
      <c r="AI31">
        <f t="shared" ca="1" si="19"/>
        <v>1</v>
      </c>
      <c r="AJ31">
        <f t="shared" ca="1" si="19"/>
        <v>0</v>
      </c>
      <c r="AK31">
        <f t="shared" ca="1" si="19"/>
        <v>1</v>
      </c>
      <c r="AL31">
        <f t="shared" ca="1" si="19"/>
        <v>1</v>
      </c>
      <c r="AM31">
        <f t="shared" ca="1" si="19"/>
        <v>0</v>
      </c>
      <c r="AN31">
        <f t="shared" ca="1" si="19"/>
        <v>0</v>
      </c>
      <c r="AO31">
        <f t="shared" ca="1" si="19"/>
        <v>1</v>
      </c>
      <c r="AP31">
        <f t="shared" ca="1" si="19"/>
        <v>0</v>
      </c>
      <c r="AQ31">
        <f t="shared" ca="1" si="19"/>
        <v>0</v>
      </c>
      <c r="BH31" s="1">
        <f t="shared" ca="1" si="3"/>
        <v>0.5</v>
      </c>
      <c r="BI31" s="1">
        <f t="shared" ca="1" si="15"/>
        <v>0.5</v>
      </c>
      <c r="BJ31" s="1">
        <f t="shared" ca="1" si="16"/>
        <v>0.5</v>
      </c>
      <c r="BK31" s="1">
        <f t="shared" ca="1" si="17"/>
        <v>0</v>
      </c>
      <c r="BL31">
        <f t="shared" ca="1" si="4"/>
        <v>1687</v>
      </c>
      <c r="BM31">
        <f t="shared" ca="1" si="4"/>
        <v>6666</v>
      </c>
      <c r="BN31">
        <f t="shared" ca="1" si="5"/>
        <v>1612</v>
      </c>
      <c r="BO31">
        <f t="shared" ca="1" si="5"/>
        <v>1763</v>
      </c>
      <c r="BP31">
        <f t="shared" ca="1" si="6"/>
        <v>9283</v>
      </c>
      <c r="BQ31">
        <f t="shared" ca="1" si="6"/>
        <v>6759</v>
      </c>
      <c r="BR31">
        <f t="shared" ca="1" si="7"/>
        <v>1460</v>
      </c>
      <c r="BS31">
        <f t="shared" ca="1" si="7"/>
        <v>2920</v>
      </c>
      <c r="BT31">
        <f t="shared" ca="1" si="8"/>
        <v>5034</v>
      </c>
      <c r="BU31">
        <f t="shared" ca="1" si="8"/>
        <v>3812</v>
      </c>
      <c r="BV31">
        <f t="shared" ca="1" si="8"/>
        <v>6436</v>
      </c>
      <c r="BW31">
        <f t="shared" ca="1" si="8"/>
        <v>8296</v>
      </c>
      <c r="BX31">
        <f t="shared" ca="1" si="9"/>
        <v>2941</v>
      </c>
      <c r="BY31">
        <f t="shared" ca="1" si="9"/>
        <v>564</v>
      </c>
      <c r="BZ31">
        <f t="shared" ca="1" si="9"/>
        <v>2364</v>
      </c>
      <c r="CA31">
        <f t="shared" ca="1" si="9"/>
        <v>1483</v>
      </c>
      <c r="CB31" s="7">
        <f ca="1">AVERAGE(BL31:BM33,BP31:BQ33,BT31:BW33)</f>
        <v>4740.291666666667</v>
      </c>
      <c r="CC31" s="7">
        <f ca="1">AVERAGE(BN31:BO33,BR31:BS33,BX31:CA33)</f>
        <v>1754.7916666666667</v>
      </c>
    </row>
    <row r="32" spans="1:81" x14ac:dyDescent="0.25">
      <c r="A32">
        <v>31</v>
      </c>
      <c r="B32">
        <f t="shared" ca="1" si="10"/>
        <v>18</v>
      </c>
      <c r="C32">
        <f t="shared" ca="1" si="11"/>
        <v>2</v>
      </c>
      <c r="D32">
        <f t="shared" ca="1" si="11"/>
        <v>4</v>
      </c>
      <c r="E32" t="s">
        <v>180</v>
      </c>
      <c r="F32">
        <f t="shared" ca="1" si="12"/>
        <v>0</v>
      </c>
      <c r="G32">
        <f t="shared" ca="1" si="12"/>
        <v>1</v>
      </c>
      <c r="H32">
        <f t="shared" ca="1" si="12"/>
        <v>1</v>
      </c>
      <c r="I32" s="14">
        <f t="shared" ca="1" si="13"/>
        <v>1</v>
      </c>
      <c r="J32" t="s">
        <v>18</v>
      </c>
      <c r="K32">
        <f t="shared" si="14"/>
        <v>1</v>
      </c>
      <c r="L32">
        <v>4</v>
      </c>
      <c r="M32" s="15" t="s">
        <v>26</v>
      </c>
      <c r="N32" s="12" t="s">
        <v>32</v>
      </c>
      <c r="O32" s="13" t="s">
        <v>32</v>
      </c>
      <c r="P32" s="16" t="s">
        <v>31</v>
      </c>
      <c r="Q32" s="4" t="s">
        <v>86</v>
      </c>
      <c r="R32" t="s">
        <v>21</v>
      </c>
      <c r="S32">
        <v>1</v>
      </c>
      <c r="T32">
        <f t="shared" ca="1" si="18"/>
        <v>0</v>
      </c>
      <c r="U32">
        <f t="shared" ca="1" si="18"/>
        <v>0</v>
      </c>
      <c r="V32">
        <f t="shared" ca="1" si="18"/>
        <v>0</v>
      </c>
      <c r="W32">
        <f t="shared" ca="1" si="18"/>
        <v>1</v>
      </c>
      <c r="X32">
        <f t="shared" ca="1" si="18"/>
        <v>1</v>
      </c>
      <c r="Y32">
        <f t="shared" ca="1" si="18"/>
        <v>0</v>
      </c>
      <c r="Z32">
        <f t="shared" ca="1" si="18"/>
        <v>1</v>
      </c>
      <c r="AA32">
        <f t="shared" ca="1" si="18"/>
        <v>0</v>
      </c>
      <c r="AB32">
        <f t="shared" ca="1" si="19"/>
        <v>1</v>
      </c>
      <c r="AC32">
        <f t="shared" ca="1" si="19"/>
        <v>1</v>
      </c>
      <c r="AD32">
        <f t="shared" ca="1" si="19"/>
        <v>1</v>
      </c>
      <c r="AE32">
        <f t="shared" ca="1" si="19"/>
        <v>1</v>
      </c>
      <c r="AF32">
        <f t="shared" ca="1" si="19"/>
        <v>0</v>
      </c>
      <c r="AG32">
        <f t="shared" ca="1" si="19"/>
        <v>0</v>
      </c>
      <c r="AH32">
        <f t="shared" ca="1" si="19"/>
        <v>1</v>
      </c>
      <c r="AI32">
        <f t="shared" ca="1" si="19"/>
        <v>1</v>
      </c>
      <c r="AJ32">
        <f t="shared" ca="1" si="19"/>
        <v>0</v>
      </c>
      <c r="AK32">
        <f t="shared" ca="1" si="19"/>
        <v>1</v>
      </c>
      <c r="AL32">
        <f t="shared" ca="1" si="19"/>
        <v>1</v>
      </c>
      <c r="AM32">
        <f t="shared" ca="1" si="19"/>
        <v>0</v>
      </c>
      <c r="AN32">
        <f t="shared" ca="1" si="19"/>
        <v>0</v>
      </c>
      <c r="AO32">
        <f t="shared" ca="1" si="19"/>
        <v>0</v>
      </c>
      <c r="AP32">
        <f t="shared" ca="1" si="19"/>
        <v>1</v>
      </c>
      <c r="AQ32">
        <f t="shared" ca="1" si="19"/>
        <v>1</v>
      </c>
      <c r="BH32" s="1">
        <f t="shared" ca="1" si="3"/>
        <v>0.5</v>
      </c>
      <c r="BI32" s="1">
        <f t="shared" ca="1" si="15"/>
        <v>0.5</v>
      </c>
      <c r="BJ32" s="1">
        <f t="shared" ca="1" si="16"/>
        <v>0</v>
      </c>
      <c r="BK32" s="1">
        <f t="shared" ca="1" si="17"/>
        <v>1</v>
      </c>
      <c r="BL32">
        <f t="shared" ca="1" si="4"/>
        <v>895</v>
      </c>
      <c r="BM32">
        <f t="shared" ca="1" si="4"/>
        <v>4576</v>
      </c>
      <c r="BN32">
        <f t="shared" ca="1" si="5"/>
        <v>734</v>
      </c>
      <c r="BO32">
        <f t="shared" ca="1" si="5"/>
        <v>2107</v>
      </c>
      <c r="BP32">
        <f t="shared" ca="1" si="6"/>
        <v>5984</v>
      </c>
      <c r="BQ32">
        <f t="shared" ca="1" si="6"/>
        <v>7395</v>
      </c>
      <c r="BR32">
        <f t="shared" ca="1" si="7"/>
        <v>2426</v>
      </c>
      <c r="BS32">
        <f t="shared" ca="1" si="7"/>
        <v>609</v>
      </c>
      <c r="BT32">
        <f t="shared" ca="1" si="8"/>
        <v>1478</v>
      </c>
      <c r="BU32">
        <f t="shared" ca="1" si="8"/>
        <v>2173</v>
      </c>
      <c r="BV32">
        <f t="shared" ca="1" si="8"/>
        <v>2566</v>
      </c>
      <c r="BW32">
        <f t="shared" ca="1" si="8"/>
        <v>8076</v>
      </c>
      <c r="BX32">
        <f t="shared" ca="1" si="9"/>
        <v>1117</v>
      </c>
      <c r="BY32">
        <f t="shared" ca="1" si="9"/>
        <v>2163</v>
      </c>
      <c r="BZ32">
        <f t="shared" ca="1" si="9"/>
        <v>2525</v>
      </c>
      <c r="CA32">
        <f t="shared" ca="1" si="9"/>
        <v>2502</v>
      </c>
      <c r="CB32" s="7">
        <f ca="1">AVERAGE(BL32:BM33,BP32:BQ33,BT32:BW33)</f>
        <v>4112.125</v>
      </c>
      <c r="CC32" s="7">
        <f ca="1">AVERAGE(BN32:BO33,BR32:BS33,BX32:CA33)</f>
        <v>1688</v>
      </c>
    </row>
    <row r="33" spans="1:81" x14ac:dyDescent="0.25">
      <c r="A33">
        <v>32</v>
      </c>
      <c r="B33">
        <f t="shared" ca="1" si="10"/>
        <v>20</v>
      </c>
      <c r="C33">
        <f t="shared" ca="1" si="11"/>
        <v>3</v>
      </c>
      <c r="D33">
        <f t="shared" ca="1" si="11"/>
        <v>4</v>
      </c>
      <c r="E33" t="s">
        <v>180</v>
      </c>
      <c r="F33">
        <f t="shared" ca="1" si="12"/>
        <v>0</v>
      </c>
      <c r="G33">
        <f t="shared" ca="1" si="12"/>
        <v>1</v>
      </c>
      <c r="H33">
        <f t="shared" ca="1" si="12"/>
        <v>0</v>
      </c>
      <c r="I33" s="14">
        <f t="shared" ca="1" si="13"/>
        <v>0</v>
      </c>
      <c r="J33" t="s">
        <v>19</v>
      </c>
      <c r="K33">
        <f t="shared" si="14"/>
        <v>0</v>
      </c>
      <c r="L33">
        <v>4</v>
      </c>
      <c r="M33" s="15" t="s">
        <v>26</v>
      </c>
      <c r="N33" s="12" t="s">
        <v>32</v>
      </c>
      <c r="O33" s="13" t="s">
        <v>32</v>
      </c>
      <c r="P33" s="16" t="s">
        <v>31</v>
      </c>
      <c r="Q33" s="4" t="s">
        <v>86</v>
      </c>
      <c r="R33" t="s">
        <v>21</v>
      </c>
      <c r="S33">
        <v>1</v>
      </c>
      <c r="T33">
        <f t="shared" ca="1" si="18"/>
        <v>1</v>
      </c>
      <c r="U33">
        <f t="shared" ca="1" si="18"/>
        <v>0</v>
      </c>
      <c r="V33">
        <f t="shared" ca="1" si="18"/>
        <v>1</v>
      </c>
      <c r="W33">
        <f t="shared" ca="1" si="18"/>
        <v>0</v>
      </c>
      <c r="X33">
        <f t="shared" ca="1" si="18"/>
        <v>0</v>
      </c>
      <c r="Y33">
        <f t="shared" ca="1" si="18"/>
        <v>1</v>
      </c>
      <c r="Z33">
        <f t="shared" ca="1" si="18"/>
        <v>1</v>
      </c>
      <c r="AA33">
        <f t="shared" ca="1" si="18"/>
        <v>0</v>
      </c>
      <c r="AB33">
        <f t="shared" ca="1" si="19"/>
        <v>0</v>
      </c>
      <c r="AC33">
        <f t="shared" ca="1" si="19"/>
        <v>1</v>
      </c>
      <c r="AD33">
        <f t="shared" ca="1" si="19"/>
        <v>1</v>
      </c>
      <c r="AE33">
        <f t="shared" ca="1" si="19"/>
        <v>0</v>
      </c>
      <c r="AF33">
        <f t="shared" ca="1" si="19"/>
        <v>1</v>
      </c>
      <c r="AG33">
        <f t="shared" ca="1" si="19"/>
        <v>1</v>
      </c>
      <c r="AH33">
        <f t="shared" ca="1" si="19"/>
        <v>0</v>
      </c>
      <c r="AI33">
        <f t="shared" ca="1" si="19"/>
        <v>1</v>
      </c>
      <c r="AJ33">
        <f t="shared" ca="1" si="19"/>
        <v>0</v>
      </c>
      <c r="AK33">
        <f t="shared" ca="1" si="19"/>
        <v>0</v>
      </c>
      <c r="AL33">
        <f t="shared" ca="1" si="19"/>
        <v>1</v>
      </c>
      <c r="AM33">
        <f t="shared" ca="1" si="19"/>
        <v>0</v>
      </c>
      <c r="AN33">
        <f t="shared" ca="1" si="19"/>
        <v>0</v>
      </c>
      <c r="AO33">
        <f t="shared" ca="1" si="19"/>
        <v>1</v>
      </c>
      <c r="AP33">
        <f t="shared" ca="1" si="19"/>
        <v>1</v>
      </c>
      <c r="AQ33">
        <f t="shared" ref="AQ33" ca="1" si="20">RANDBETWEEN(0,1)</f>
        <v>1</v>
      </c>
      <c r="BH33" s="1">
        <f t="shared" ca="1" si="3"/>
        <v>0</v>
      </c>
      <c r="BI33" s="1">
        <f t="shared" ca="1" si="15"/>
        <v>0.5</v>
      </c>
      <c r="BJ33" s="1">
        <f t="shared" ca="1" si="16"/>
        <v>0.5</v>
      </c>
      <c r="BK33" s="1">
        <f t="shared" ca="1" si="17"/>
        <v>1</v>
      </c>
      <c r="BL33">
        <f t="shared" ca="1" si="4"/>
        <v>1162</v>
      </c>
      <c r="BM33">
        <f t="shared" ca="1" si="4"/>
        <v>3770</v>
      </c>
      <c r="BN33">
        <f t="shared" ca="1" si="5"/>
        <v>2547</v>
      </c>
      <c r="BO33">
        <f t="shared" ca="1" si="5"/>
        <v>754</v>
      </c>
      <c r="BP33">
        <f t="shared" ca="1" si="6"/>
        <v>869</v>
      </c>
      <c r="BQ33">
        <f t="shared" ca="1" si="6"/>
        <v>1135</v>
      </c>
      <c r="BR33">
        <f t="shared" ca="1" si="7"/>
        <v>2381</v>
      </c>
      <c r="BS33">
        <f t="shared" ca="1" si="7"/>
        <v>1809</v>
      </c>
      <c r="BT33">
        <f t="shared" ca="1" si="8"/>
        <v>8863</v>
      </c>
      <c r="BU33">
        <f t="shared" ca="1" si="8"/>
        <v>4175</v>
      </c>
      <c r="BV33">
        <f t="shared" ca="1" si="8"/>
        <v>5714</v>
      </c>
      <c r="BW33">
        <f t="shared" ca="1" si="8"/>
        <v>6963</v>
      </c>
      <c r="BX33">
        <f t="shared" ca="1" si="9"/>
        <v>1374</v>
      </c>
      <c r="BY33">
        <f t="shared" ca="1" si="9"/>
        <v>2239</v>
      </c>
      <c r="BZ33">
        <f t="shared" ca="1" si="9"/>
        <v>627</v>
      </c>
      <c r="CA33">
        <f t="shared" ca="1" si="9"/>
        <v>1094</v>
      </c>
      <c r="CB33" s="7">
        <f ca="1">AVERAGE(BL33:BM33,BP33:BQ33,BT33:BW33)</f>
        <v>4081.375</v>
      </c>
      <c r="CC33" s="7">
        <f ca="1">AVERAGE(BN33:BO33,BR33:BS33,BX33:CA33)</f>
        <v>1603.125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3"/>
  <sheetViews>
    <sheetView zoomScale="80" zoomScaleNormal="80" workbookViewId="0">
      <selection activeCell="P1" sqref="A1:P1048576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7.5703125" bestFit="1" customWidth="1"/>
    <col min="4" max="5" width="7.5703125" customWidth="1"/>
    <col min="6" max="6" width="18.5703125" bestFit="1" customWidth="1"/>
    <col min="7" max="7" width="18.5703125" customWidth="1"/>
    <col min="8" max="8" width="19.28515625" bestFit="1" customWidth="1"/>
    <col min="9" max="9" width="7.5703125" customWidth="1"/>
    <col min="10" max="10" width="13.42578125" bestFit="1" customWidth="1"/>
    <col min="11" max="11" width="10.5703125" bestFit="1" customWidth="1"/>
    <col min="12" max="12" width="11" bestFit="1" customWidth="1"/>
    <col min="13" max="13" width="10.85546875" bestFit="1" customWidth="1"/>
    <col min="14" max="14" width="14.140625" bestFit="1" customWidth="1"/>
    <col min="15" max="16" width="14.140625" customWidth="1"/>
    <col min="17" max="18" width="19.42578125" style="10" bestFit="1" customWidth="1"/>
    <col min="19" max="20" width="23.7109375" style="10" bestFit="1" customWidth="1"/>
    <col min="21" max="22" width="28.140625" style="10" bestFit="1" customWidth="1"/>
    <col min="23" max="24" width="30.5703125" style="10" bestFit="1" customWidth="1"/>
    <col min="25" max="26" width="19.42578125" style="5" bestFit="1" customWidth="1"/>
    <col min="27" max="28" width="23.7109375" style="5" bestFit="1" customWidth="1"/>
    <col min="29" max="30" width="28.140625" style="5" bestFit="1" customWidth="1"/>
    <col min="31" max="32" width="30.5703125" style="5" bestFit="1" customWidth="1"/>
  </cols>
  <sheetData>
    <row r="1" spans="1:32" x14ac:dyDescent="0.25">
      <c r="A1" t="s">
        <v>0</v>
      </c>
      <c r="B1" t="s">
        <v>118</v>
      </c>
      <c r="C1" t="s">
        <v>181</v>
      </c>
      <c r="D1" t="s">
        <v>182</v>
      </c>
      <c r="E1" t="s">
        <v>128</v>
      </c>
      <c r="F1" t="s">
        <v>173</v>
      </c>
      <c r="G1" t="s">
        <v>174</v>
      </c>
      <c r="H1" t="s">
        <v>175</v>
      </c>
      <c r="I1" t="s">
        <v>129</v>
      </c>
      <c r="J1" t="s">
        <v>44</v>
      </c>
      <c r="K1" t="s">
        <v>85</v>
      </c>
      <c r="L1" t="s">
        <v>46</v>
      </c>
      <c r="M1" t="s">
        <v>22</v>
      </c>
      <c r="N1" t="s">
        <v>119</v>
      </c>
      <c r="O1" t="s">
        <v>146</v>
      </c>
      <c r="P1" t="s">
        <v>147</v>
      </c>
      <c r="Q1" s="17" t="s">
        <v>136</v>
      </c>
      <c r="R1" s="17" t="s">
        <v>137</v>
      </c>
      <c r="S1" s="18" t="s">
        <v>130</v>
      </c>
      <c r="T1" s="19" t="s">
        <v>131</v>
      </c>
      <c r="U1" s="18" t="s">
        <v>132</v>
      </c>
      <c r="V1" s="19" t="s">
        <v>133</v>
      </c>
      <c r="W1" s="18" t="s">
        <v>134</v>
      </c>
      <c r="X1" s="20" t="s">
        <v>135</v>
      </c>
      <c r="Y1" s="13" t="s">
        <v>138</v>
      </c>
      <c r="Z1" s="13" t="s">
        <v>139</v>
      </c>
      <c r="AA1" s="25" t="s">
        <v>140</v>
      </c>
      <c r="AB1" s="26" t="s">
        <v>141</v>
      </c>
      <c r="AC1" s="25" t="s">
        <v>142</v>
      </c>
      <c r="AD1" s="26" t="s">
        <v>143</v>
      </c>
      <c r="AE1" s="25" t="s">
        <v>144</v>
      </c>
      <c r="AF1" s="27" t="s">
        <v>145</v>
      </c>
    </row>
    <row r="2" spans="1:32" x14ac:dyDescent="0.25">
      <c r="A2">
        <v>1</v>
      </c>
      <c r="B2">
        <f ca="1">RANDBETWEEN(18,25)</f>
        <v>20</v>
      </c>
      <c r="C2">
        <f ca="1">RANDBETWEEN(1,4)</f>
        <v>2</v>
      </c>
      <c r="D2">
        <f ca="1">RANDBETWEEN(1,4)</f>
        <v>1</v>
      </c>
      <c r="E2" t="s">
        <v>180</v>
      </c>
      <c r="F2">
        <f ca="1">RANDBETWEEN(0,1)</f>
        <v>0</v>
      </c>
      <c r="G2">
        <f ca="1">RANDBETWEEN(0,1)</f>
        <v>0</v>
      </c>
      <c r="H2">
        <f ca="1">RANDBETWEEN(0,1)</f>
        <v>0</v>
      </c>
      <c r="I2" s="14">
        <f ca="1">ROUND(RAND(),0)</f>
        <v>1</v>
      </c>
      <c r="J2" t="s">
        <v>126</v>
      </c>
      <c r="K2">
        <f>IF(J2 = "Express-first", 1, 0)</f>
        <v>1</v>
      </c>
      <c r="L2">
        <v>1</v>
      </c>
      <c r="M2" t="str">
        <f>IF(L2 = 1, "food", "elephant")</f>
        <v>food</v>
      </c>
      <c r="N2">
        <f ca="1">RANDBETWEEN(1,100)</f>
        <v>86</v>
      </c>
      <c r="O2">
        <f ca="1">AVERAGE(Q2,Y2)</f>
        <v>39</v>
      </c>
      <c r="P2">
        <f ca="1">AVERAGE(R2,Z2)</f>
        <v>34.5</v>
      </c>
      <c r="Q2" s="10">
        <f ca="1">SUM(S2,U2,W2)</f>
        <v>48</v>
      </c>
      <c r="R2" s="10">
        <f ca="1">SUM(T2,V2,X2)</f>
        <v>41</v>
      </c>
      <c r="S2" s="21">
        <f t="shared" ref="S2:X17" ca="1" si="0">RANDBETWEEN(0,20)</f>
        <v>20</v>
      </c>
      <c r="T2" s="22">
        <f t="shared" ca="1" si="0"/>
        <v>7</v>
      </c>
      <c r="U2" s="21">
        <f t="shared" ca="1" si="0"/>
        <v>15</v>
      </c>
      <c r="V2" s="22">
        <f t="shared" ca="1" si="0"/>
        <v>18</v>
      </c>
      <c r="W2" s="21">
        <f t="shared" ca="1" si="0"/>
        <v>13</v>
      </c>
      <c r="X2" s="22">
        <f t="shared" ca="1" si="0"/>
        <v>16</v>
      </c>
      <c r="Y2" s="5">
        <f t="shared" ref="Y2:Y33" ca="1" si="1">X2+W2+RANDBETWEEN(-1,1)</f>
        <v>30</v>
      </c>
      <c r="Z2" s="5">
        <f t="shared" ref="Z2:Z33" ca="1" si="2">X2+W2+RANDBETWEEN(-1,1)</f>
        <v>28</v>
      </c>
      <c r="AA2" s="28">
        <f t="shared" ref="AA2:AF17" ca="1" si="3">RANDBETWEEN(0,20)</f>
        <v>15</v>
      </c>
      <c r="AB2" s="29">
        <f t="shared" ca="1" si="3"/>
        <v>7</v>
      </c>
      <c r="AC2" s="28">
        <f t="shared" ca="1" si="3"/>
        <v>6</v>
      </c>
      <c r="AD2" s="29">
        <f t="shared" ca="1" si="3"/>
        <v>0</v>
      </c>
      <c r="AE2" s="28">
        <f t="shared" ca="1" si="3"/>
        <v>11</v>
      </c>
      <c r="AF2" s="29">
        <f t="shared" ca="1" si="3"/>
        <v>15</v>
      </c>
    </row>
    <row r="3" spans="1:32" x14ac:dyDescent="0.25">
      <c r="A3">
        <v>2</v>
      </c>
      <c r="B3">
        <f t="shared" ref="B3:B33" ca="1" si="4">RANDBETWEEN(18,25)</f>
        <v>20</v>
      </c>
      <c r="C3">
        <f t="shared" ref="C3:D33" ca="1" si="5">RANDBETWEEN(1,4)</f>
        <v>3</v>
      </c>
      <c r="D3">
        <f t="shared" ca="1" si="5"/>
        <v>3</v>
      </c>
      <c r="E3" t="s">
        <v>180</v>
      </c>
      <c r="F3">
        <f t="shared" ref="F3:H33" ca="1" si="6">RANDBETWEEN(0,1)</f>
        <v>1</v>
      </c>
      <c r="G3">
        <f t="shared" ca="1" si="6"/>
        <v>0</v>
      </c>
      <c r="H3">
        <f t="shared" ca="1" si="6"/>
        <v>0</v>
      </c>
      <c r="I3" s="14">
        <f t="shared" ref="I3:I33" ca="1" si="7">ROUND(RAND(),0)</f>
        <v>0</v>
      </c>
      <c r="J3" t="s">
        <v>127</v>
      </c>
      <c r="K3">
        <f t="shared" ref="K3:K33" si="8">IF(J3 = "Express-first", 1, 0)</f>
        <v>0</v>
      </c>
      <c r="L3">
        <v>1</v>
      </c>
      <c r="M3" t="str">
        <f t="shared" ref="M3:M33" si="9">IF(L3 = 1, "food", "elephant")</f>
        <v>food</v>
      </c>
      <c r="N3">
        <f t="shared" ref="N3:N33" ca="1" si="10">RANDBETWEEN(1,100)</f>
        <v>24</v>
      </c>
      <c r="O3">
        <f t="shared" ref="O3:O33" ca="1" si="11">AVERAGE(Q3,Y3)</f>
        <v>22.5</v>
      </c>
      <c r="P3">
        <f t="shared" ref="P3:P33" ca="1" si="12">AVERAGE(R3,Z3)</f>
        <v>31.5</v>
      </c>
      <c r="Q3" s="10">
        <f t="shared" ref="Q3:Q33" ca="1" si="13">SUM(S3,U3,W3)</f>
        <v>32</v>
      </c>
      <c r="R3" s="10">
        <f t="shared" ref="R3:R33" ca="1" si="14">SUM(T3,V3,X3)</f>
        <v>51</v>
      </c>
      <c r="S3" s="21">
        <f t="shared" ref="S3:V33" ca="1" si="15">RANDBETWEEN(0,20)</f>
        <v>17</v>
      </c>
      <c r="T3" s="22">
        <f t="shared" ca="1" si="15"/>
        <v>20</v>
      </c>
      <c r="U3" s="21">
        <f t="shared" ca="1" si="15"/>
        <v>15</v>
      </c>
      <c r="V3" s="22">
        <f t="shared" ca="1" si="15"/>
        <v>19</v>
      </c>
      <c r="W3" s="21">
        <f t="shared" ca="1" si="0"/>
        <v>0</v>
      </c>
      <c r="X3" s="22">
        <f t="shared" ca="1" si="0"/>
        <v>12</v>
      </c>
      <c r="Y3" s="5">
        <f t="shared" ca="1" si="1"/>
        <v>13</v>
      </c>
      <c r="Z3" s="5">
        <f t="shared" ca="1" si="2"/>
        <v>12</v>
      </c>
      <c r="AA3" s="28">
        <f t="shared" ca="1" si="3"/>
        <v>1</v>
      </c>
      <c r="AB3" s="29">
        <f t="shared" ca="1" si="3"/>
        <v>6</v>
      </c>
      <c r="AC3" s="28">
        <f t="shared" ca="1" si="3"/>
        <v>12</v>
      </c>
      <c r="AD3" s="29">
        <f t="shared" ca="1" si="3"/>
        <v>4</v>
      </c>
      <c r="AE3" s="28">
        <f t="shared" ca="1" si="3"/>
        <v>11</v>
      </c>
      <c r="AF3" s="29">
        <f t="shared" ca="1" si="3"/>
        <v>4</v>
      </c>
    </row>
    <row r="4" spans="1:32" x14ac:dyDescent="0.25">
      <c r="A4">
        <v>3</v>
      </c>
      <c r="B4">
        <f t="shared" ca="1" si="4"/>
        <v>18</v>
      </c>
      <c r="C4">
        <f t="shared" ca="1" si="5"/>
        <v>2</v>
      </c>
      <c r="D4">
        <f t="shared" ca="1" si="5"/>
        <v>3</v>
      </c>
      <c r="E4" t="s">
        <v>180</v>
      </c>
      <c r="F4">
        <f t="shared" ca="1" si="6"/>
        <v>0</v>
      </c>
      <c r="G4">
        <f t="shared" ca="1" si="6"/>
        <v>0</v>
      </c>
      <c r="H4">
        <f t="shared" ca="1" si="6"/>
        <v>0</v>
      </c>
      <c r="I4" s="14">
        <f t="shared" ca="1" si="7"/>
        <v>1</v>
      </c>
      <c r="J4" t="s">
        <v>126</v>
      </c>
      <c r="K4">
        <f t="shared" si="8"/>
        <v>1</v>
      </c>
      <c r="L4">
        <v>1</v>
      </c>
      <c r="M4" t="str">
        <f t="shared" si="9"/>
        <v>food</v>
      </c>
      <c r="N4">
        <f t="shared" ca="1" si="10"/>
        <v>51</v>
      </c>
      <c r="O4">
        <f t="shared" ca="1" si="11"/>
        <v>34.5</v>
      </c>
      <c r="P4">
        <f t="shared" ca="1" si="12"/>
        <v>31.5</v>
      </c>
      <c r="Q4" s="10">
        <f t="shared" ca="1" si="13"/>
        <v>39</v>
      </c>
      <c r="R4" s="10">
        <f t="shared" ca="1" si="14"/>
        <v>32</v>
      </c>
      <c r="S4" s="21">
        <f t="shared" ca="1" si="15"/>
        <v>17</v>
      </c>
      <c r="T4" s="22">
        <f t="shared" ca="1" si="15"/>
        <v>11</v>
      </c>
      <c r="U4" s="21">
        <f t="shared" ca="1" si="15"/>
        <v>10</v>
      </c>
      <c r="V4" s="22">
        <f t="shared" ca="1" si="15"/>
        <v>2</v>
      </c>
      <c r="W4" s="21">
        <f t="shared" ca="1" si="0"/>
        <v>12</v>
      </c>
      <c r="X4" s="22">
        <f t="shared" ca="1" si="0"/>
        <v>19</v>
      </c>
      <c r="Y4" s="5">
        <f t="shared" ca="1" si="1"/>
        <v>30</v>
      </c>
      <c r="Z4" s="5">
        <f t="shared" ca="1" si="2"/>
        <v>31</v>
      </c>
      <c r="AA4" s="28">
        <f t="shared" ca="1" si="3"/>
        <v>16</v>
      </c>
      <c r="AB4" s="29">
        <f t="shared" ca="1" si="3"/>
        <v>10</v>
      </c>
      <c r="AC4" s="28">
        <f t="shared" ca="1" si="3"/>
        <v>8</v>
      </c>
      <c r="AD4" s="29">
        <f t="shared" ca="1" si="3"/>
        <v>0</v>
      </c>
      <c r="AE4" s="28">
        <f t="shared" ca="1" si="3"/>
        <v>1</v>
      </c>
      <c r="AF4" s="29">
        <f t="shared" ca="1" si="3"/>
        <v>14</v>
      </c>
    </row>
    <row r="5" spans="1:32" x14ac:dyDescent="0.25">
      <c r="A5">
        <v>4</v>
      </c>
      <c r="B5">
        <f t="shared" ca="1" si="4"/>
        <v>23</v>
      </c>
      <c r="C5">
        <f t="shared" ca="1" si="5"/>
        <v>4</v>
      </c>
      <c r="D5">
        <f t="shared" ca="1" si="5"/>
        <v>4</v>
      </c>
      <c r="E5" t="s">
        <v>180</v>
      </c>
      <c r="F5">
        <f t="shared" ca="1" si="6"/>
        <v>1</v>
      </c>
      <c r="G5">
        <f t="shared" ca="1" si="6"/>
        <v>0</v>
      </c>
      <c r="H5">
        <f t="shared" ca="1" si="6"/>
        <v>1</v>
      </c>
      <c r="I5" s="14">
        <f t="shared" ca="1" si="7"/>
        <v>0</v>
      </c>
      <c r="J5" t="s">
        <v>127</v>
      </c>
      <c r="K5">
        <f t="shared" si="8"/>
        <v>0</v>
      </c>
      <c r="L5">
        <v>1</v>
      </c>
      <c r="M5" t="str">
        <f t="shared" si="9"/>
        <v>food</v>
      </c>
      <c r="N5">
        <f t="shared" ca="1" si="10"/>
        <v>1</v>
      </c>
      <c r="O5">
        <f t="shared" ca="1" si="11"/>
        <v>26</v>
      </c>
      <c r="P5">
        <f t="shared" ca="1" si="12"/>
        <v>17.5</v>
      </c>
      <c r="Q5" s="10">
        <f t="shared" ca="1" si="13"/>
        <v>31</v>
      </c>
      <c r="R5" s="10">
        <f t="shared" ca="1" si="14"/>
        <v>16</v>
      </c>
      <c r="S5" s="21">
        <f t="shared" ca="1" si="15"/>
        <v>12</v>
      </c>
      <c r="T5" s="22">
        <f t="shared" ca="1" si="15"/>
        <v>0</v>
      </c>
      <c r="U5" s="21">
        <f t="shared" ca="1" si="15"/>
        <v>11</v>
      </c>
      <c r="V5" s="22">
        <f t="shared" ca="1" si="15"/>
        <v>4</v>
      </c>
      <c r="W5" s="21">
        <f t="shared" ca="1" si="0"/>
        <v>8</v>
      </c>
      <c r="X5" s="22">
        <f t="shared" ca="1" si="0"/>
        <v>12</v>
      </c>
      <c r="Y5" s="5">
        <f t="shared" ca="1" si="1"/>
        <v>21</v>
      </c>
      <c r="Z5" s="5">
        <f t="shared" ca="1" si="2"/>
        <v>19</v>
      </c>
      <c r="AA5" s="28">
        <f t="shared" ca="1" si="3"/>
        <v>12</v>
      </c>
      <c r="AB5" s="29">
        <f t="shared" ca="1" si="3"/>
        <v>8</v>
      </c>
      <c r="AC5" s="28">
        <f t="shared" ca="1" si="3"/>
        <v>0</v>
      </c>
      <c r="AD5" s="29">
        <f t="shared" ca="1" si="3"/>
        <v>17</v>
      </c>
      <c r="AE5" s="28">
        <f t="shared" ca="1" si="3"/>
        <v>11</v>
      </c>
      <c r="AF5" s="29">
        <f t="shared" ca="1" si="3"/>
        <v>12</v>
      </c>
    </row>
    <row r="6" spans="1:32" x14ac:dyDescent="0.25">
      <c r="A6">
        <v>5</v>
      </c>
      <c r="B6">
        <f t="shared" ca="1" si="4"/>
        <v>18</v>
      </c>
      <c r="C6">
        <f t="shared" ca="1" si="5"/>
        <v>4</v>
      </c>
      <c r="D6">
        <f t="shared" ca="1" si="5"/>
        <v>2</v>
      </c>
      <c r="E6" t="s">
        <v>180</v>
      </c>
      <c r="F6">
        <f t="shared" ca="1" si="6"/>
        <v>1</v>
      </c>
      <c r="G6">
        <f t="shared" ca="1" si="6"/>
        <v>0</v>
      </c>
      <c r="H6">
        <f t="shared" ca="1" si="6"/>
        <v>0</v>
      </c>
      <c r="I6" s="14">
        <f t="shared" ca="1" si="7"/>
        <v>0</v>
      </c>
      <c r="J6" t="s">
        <v>126</v>
      </c>
      <c r="K6">
        <f t="shared" si="8"/>
        <v>1</v>
      </c>
      <c r="L6">
        <v>1</v>
      </c>
      <c r="M6" t="str">
        <f t="shared" si="9"/>
        <v>food</v>
      </c>
      <c r="N6">
        <f t="shared" ca="1" si="10"/>
        <v>15</v>
      </c>
      <c r="O6">
        <f t="shared" ca="1" si="11"/>
        <v>28.5</v>
      </c>
      <c r="P6">
        <f t="shared" ca="1" si="12"/>
        <v>17.5</v>
      </c>
      <c r="Q6" s="10">
        <f t="shared" ca="1" si="13"/>
        <v>45</v>
      </c>
      <c r="R6" s="10">
        <f t="shared" ca="1" si="14"/>
        <v>23</v>
      </c>
      <c r="S6" s="21">
        <f t="shared" ca="1" si="15"/>
        <v>14</v>
      </c>
      <c r="T6" s="22">
        <f t="shared" ca="1" si="15"/>
        <v>3</v>
      </c>
      <c r="U6" s="21">
        <f t="shared" ca="1" si="15"/>
        <v>19</v>
      </c>
      <c r="V6" s="22">
        <f t="shared" ca="1" si="15"/>
        <v>19</v>
      </c>
      <c r="W6" s="21">
        <f t="shared" ca="1" si="0"/>
        <v>12</v>
      </c>
      <c r="X6" s="22">
        <f t="shared" ca="1" si="0"/>
        <v>1</v>
      </c>
      <c r="Y6" s="5">
        <f t="shared" ca="1" si="1"/>
        <v>12</v>
      </c>
      <c r="Z6" s="5">
        <f t="shared" ca="1" si="2"/>
        <v>12</v>
      </c>
      <c r="AA6" s="28">
        <f t="shared" ca="1" si="3"/>
        <v>10</v>
      </c>
      <c r="AB6" s="29">
        <f t="shared" ca="1" si="3"/>
        <v>18</v>
      </c>
      <c r="AC6" s="28">
        <f t="shared" ca="1" si="3"/>
        <v>20</v>
      </c>
      <c r="AD6" s="29">
        <f t="shared" ca="1" si="3"/>
        <v>20</v>
      </c>
      <c r="AE6" s="28">
        <f t="shared" ca="1" si="3"/>
        <v>9</v>
      </c>
      <c r="AF6" s="29">
        <f t="shared" ca="1" si="3"/>
        <v>13</v>
      </c>
    </row>
    <row r="7" spans="1:32" x14ac:dyDescent="0.25">
      <c r="A7">
        <v>6</v>
      </c>
      <c r="B7">
        <f t="shared" ca="1" si="4"/>
        <v>19</v>
      </c>
      <c r="C7">
        <f t="shared" ca="1" si="5"/>
        <v>3</v>
      </c>
      <c r="D7">
        <f t="shared" ca="1" si="5"/>
        <v>3</v>
      </c>
      <c r="E7" t="s">
        <v>180</v>
      </c>
      <c r="F7">
        <f t="shared" ca="1" si="6"/>
        <v>1</v>
      </c>
      <c r="G7">
        <f t="shared" ca="1" si="6"/>
        <v>0</v>
      </c>
      <c r="H7">
        <f t="shared" ca="1" si="6"/>
        <v>0</v>
      </c>
      <c r="I7" s="14">
        <f t="shared" ca="1" si="7"/>
        <v>1</v>
      </c>
      <c r="J7" t="s">
        <v>127</v>
      </c>
      <c r="K7">
        <f t="shared" si="8"/>
        <v>0</v>
      </c>
      <c r="L7">
        <v>1</v>
      </c>
      <c r="M7" t="str">
        <f t="shared" si="9"/>
        <v>food</v>
      </c>
      <c r="N7">
        <f t="shared" ca="1" si="10"/>
        <v>97</v>
      </c>
      <c r="O7">
        <f t="shared" ca="1" si="11"/>
        <v>28.5</v>
      </c>
      <c r="P7">
        <f t="shared" ca="1" si="12"/>
        <v>23</v>
      </c>
      <c r="Q7" s="10">
        <f t="shared" ca="1" si="13"/>
        <v>48</v>
      </c>
      <c r="R7" s="10">
        <f t="shared" ca="1" si="14"/>
        <v>35</v>
      </c>
      <c r="S7" s="21">
        <f t="shared" ca="1" si="15"/>
        <v>19</v>
      </c>
      <c r="T7" s="22">
        <f t="shared" ca="1" si="15"/>
        <v>19</v>
      </c>
      <c r="U7" s="21">
        <f t="shared" ca="1" si="15"/>
        <v>20</v>
      </c>
      <c r="V7" s="22">
        <f t="shared" ca="1" si="15"/>
        <v>15</v>
      </c>
      <c r="W7" s="21">
        <f t="shared" ca="1" si="0"/>
        <v>9</v>
      </c>
      <c r="X7" s="22">
        <f t="shared" ca="1" si="0"/>
        <v>1</v>
      </c>
      <c r="Y7" s="5">
        <f t="shared" ca="1" si="1"/>
        <v>9</v>
      </c>
      <c r="Z7" s="5">
        <f t="shared" ca="1" si="2"/>
        <v>11</v>
      </c>
      <c r="AA7" s="28">
        <f t="shared" ca="1" si="3"/>
        <v>14</v>
      </c>
      <c r="AB7" s="29">
        <f t="shared" ca="1" si="3"/>
        <v>20</v>
      </c>
      <c r="AC7" s="28">
        <f t="shared" ca="1" si="3"/>
        <v>4</v>
      </c>
      <c r="AD7" s="29">
        <f t="shared" ca="1" si="3"/>
        <v>18</v>
      </c>
      <c r="AE7" s="28">
        <f t="shared" ca="1" si="3"/>
        <v>13</v>
      </c>
      <c r="AF7" s="29">
        <f t="shared" ca="1" si="3"/>
        <v>17</v>
      </c>
    </row>
    <row r="8" spans="1:32" x14ac:dyDescent="0.25">
      <c r="A8">
        <v>7</v>
      </c>
      <c r="B8">
        <f t="shared" ca="1" si="4"/>
        <v>20</v>
      </c>
      <c r="C8">
        <f t="shared" ca="1" si="5"/>
        <v>3</v>
      </c>
      <c r="D8">
        <f t="shared" ca="1" si="5"/>
        <v>4</v>
      </c>
      <c r="E8" t="s">
        <v>180</v>
      </c>
      <c r="F8">
        <f t="shared" ca="1" si="6"/>
        <v>0</v>
      </c>
      <c r="G8">
        <f t="shared" ca="1" si="6"/>
        <v>0</v>
      </c>
      <c r="H8">
        <f t="shared" ca="1" si="6"/>
        <v>1</v>
      </c>
      <c r="I8" s="14">
        <f t="shared" ca="1" si="7"/>
        <v>1</v>
      </c>
      <c r="J8" t="s">
        <v>126</v>
      </c>
      <c r="K8">
        <f t="shared" si="8"/>
        <v>1</v>
      </c>
      <c r="L8">
        <v>1</v>
      </c>
      <c r="M8" t="str">
        <f t="shared" si="9"/>
        <v>food</v>
      </c>
      <c r="N8">
        <f t="shared" ca="1" si="10"/>
        <v>66</v>
      </c>
      <c r="O8">
        <f t="shared" ca="1" si="11"/>
        <v>41</v>
      </c>
      <c r="P8">
        <f t="shared" ca="1" si="12"/>
        <v>34</v>
      </c>
      <c r="Q8" s="10">
        <f t="shared" ca="1" si="13"/>
        <v>44</v>
      </c>
      <c r="R8" s="10">
        <f t="shared" ca="1" si="14"/>
        <v>30</v>
      </c>
      <c r="S8" s="21">
        <f t="shared" ca="1" si="15"/>
        <v>14</v>
      </c>
      <c r="T8" s="22">
        <f t="shared" ca="1" si="15"/>
        <v>7</v>
      </c>
      <c r="U8" s="21">
        <f t="shared" ca="1" si="15"/>
        <v>13</v>
      </c>
      <c r="V8" s="22">
        <f t="shared" ca="1" si="15"/>
        <v>3</v>
      </c>
      <c r="W8" s="21">
        <f t="shared" ca="1" si="0"/>
        <v>17</v>
      </c>
      <c r="X8" s="22">
        <f t="shared" ca="1" si="0"/>
        <v>20</v>
      </c>
      <c r="Y8" s="5">
        <f t="shared" ca="1" si="1"/>
        <v>38</v>
      </c>
      <c r="Z8" s="5">
        <f t="shared" ca="1" si="2"/>
        <v>38</v>
      </c>
      <c r="AA8" s="28">
        <f t="shared" ca="1" si="3"/>
        <v>7</v>
      </c>
      <c r="AB8" s="29">
        <f t="shared" ca="1" si="3"/>
        <v>9</v>
      </c>
      <c r="AC8" s="28">
        <f t="shared" ca="1" si="3"/>
        <v>20</v>
      </c>
      <c r="AD8" s="29">
        <f t="shared" ca="1" si="3"/>
        <v>0</v>
      </c>
      <c r="AE8" s="28">
        <f t="shared" ca="1" si="3"/>
        <v>1</v>
      </c>
      <c r="AF8" s="29">
        <f t="shared" ca="1" si="3"/>
        <v>19</v>
      </c>
    </row>
    <row r="9" spans="1:32" x14ac:dyDescent="0.25">
      <c r="A9">
        <v>8</v>
      </c>
      <c r="B9">
        <f t="shared" ca="1" si="4"/>
        <v>25</v>
      </c>
      <c r="C9">
        <f t="shared" ca="1" si="5"/>
        <v>3</v>
      </c>
      <c r="D9">
        <f t="shared" ca="1" si="5"/>
        <v>3</v>
      </c>
      <c r="E9" t="s">
        <v>180</v>
      </c>
      <c r="F9">
        <f t="shared" ca="1" si="6"/>
        <v>0</v>
      </c>
      <c r="G9">
        <f t="shared" ca="1" si="6"/>
        <v>1</v>
      </c>
      <c r="H9">
        <f t="shared" ca="1" si="6"/>
        <v>1</v>
      </c>
      <c r="I9" s="14">
        <f t="shared" ca="1" si="7"/>
        <v>0</v>
      </c>
      <c r="J9" t="s">
        <v>127</v>
      </c>
      <c r="K9">
        <f t="shared" si="8"/>
        <v>0</v>
      </c>
      <c r="L9">
        <v>1</v>
      </c>
      <c r="M9" t="str">
        <f t="shared" si="9"/>
        <v>food</v>
      </c>
      <c r="N9">
        <f t="shared" ca="1" si="10"/>
        <v>34</v>
      </c>
      <c r="O9">
        <f t="shared" ca="1" si="11"/>
        <v>24</v>
      </c>
      <c r="P9">
        <f t="shared" ca="1" si="12"/>
        <v>22</v>
      </c>
      <c r="Q9" s="10">
        <f t="shared" ca="1" si="13"/>
        <v>32</v>
      </c>
      <c r="R9" s="10">
        <f t="shared" ca="1" si="14"/>
        <v>28</v>
      </c>
      <c r="S9" s="21">
        <f t="shared" ca="1" si="15"/>
        <v>15</v>
      </c>
      <c r="T9" s="22">
        <f t="shared" ca="1" si="15"/>
        <v>17</v>
      </c>
      <c r="U9" s="21">
        <f t="shared" ca="1" si="15"/>
        <v>3</v>
      </c>
      <c r="V9" s="22">
        <f t="shared" ca="1" si="15"/>
        <v>9</v>
      </c>
      <c r="W9" s="21">
        <f t="shared" ca="1" si="0"/>
        <v>14</v>
      </c>
      <c r="X9" s="22">
        <f t="shared" ca="1" si="0"/>
        <v>2</v>
      </c>
      <c r="Y9" s="5">
        <f t="shared" ca="1" si="1"/>
        <v>16</v>
      </c>
      <c r="Z9" s="5">
        <f t="shared" ca="1" si="2"/>
        <v>16</v>
      </c>
      <c r="AA9" s="28">
        <f t="shared" ca="1" si="3"/>
        <v>8</v>
      </c>
      <c r="AB9" s="29">
        <f t="shared" ca="1" si="3"/>
        <v>18</v>
      </c>
      <c r="AC9" s="28">
        <f t="shared" ca="1" si="3"/>
        <v>19</v>
      </c>
      <c r="AD9" s="29">
        <f t="shared" ca="1" si="3"/>
        <v>10</v>
      </c>
      <c r="AE9" s="28">
        <f t="shared" ca="1" si="3"/>
        <v>18</v>
      </c>
      <c r="AF9" s="29">
        <f t="shared" ca="1" si="3"/>
        <v>3</v>
      </c>
    </row>
    <row r="10" spans="1:32" x14ac:dyDescent="0.25">
      <c r="A10">
        <v>9</v>
      </c>
      <c r="B10">
        <f t="shared" ca="1" si="4"/>
        <v>18</v>
      </c>
      <c r="C10">
        <f t="shared" ca="1" si="5"/>
        <v>3</v>
      </c>
      <c r="D10">
        <f t="shared" ca="1" si="5"/>
        <v>2</v>
      </c>
      <c r="E10" t="s">
        <v>180</v>
      </c>
      <c r="F10">
        <f t="shared" ca="1" si="6"/>
        <v>0</v>
      </c>
      <c r="G10">
        <f t="shared" ca="1" si="6"/>
        <v>0</v>
      </c>
      <c r="H10">
        <f t="shared" ca="1" si="6"/>
        <v>0</v>
      </c>
      <c r="I10" s="14">
        <f t="shared" ca="1" si="7"/>
        <v>1</v>
      </c>
      <c r="J10" t="s">
        <v>126</v>
      </c>
      <c r="K10">
        <f t="shared" si="8"/>
        <v>1</v>
      </c>
      <c r="L10">
        <v>1</v>
      </c>
      <c r="M10" t="str">
        <f t="shared" si="9"/>
        <v>food</v>
      </c>
      <c r="N10">
        <f t="shared" ca="1" si="10"/>
        <v>97</v>
      </c>
      <c r="O10">
        <f t="shared" ca="1" si="11"/>
        <v>30</v>
      </c>
      <c r="P10">
        <f t="shared" ca="1" si="12"/>
        <v>24</v>
      </c>
      <c r="Q10" s="10">
        <f t="shared" ca="1" si="13"/>
        <v>44</v>
      </c>
      <c r="R10" s="10">
        <f t="shared" ca="1" si="14"/>
        <v>34</v>
      </c>
      <c r="S10" s="21">
        <f t="shared" ca="1" si="15"/>
        <v>18</v>
      </c>
      <c r="T10" s="22">
        <f t="shared" ca="1" si="15"/>
        <v>11</v>
      </c>
      <c r="U10" s="21">
        <f t="shared" ca="1" si="15"/>
        <v>20</v>
      </c>
      <c r="V10" s="22">
        <f t="shared" ca="1" si="15"/>
        <v>14</v>
      </c>
      <c r="W10" s="21">
        <f t="shared" ca="1" si="0"/>
        <v>6</v>
      </c>
      <c r="X10" s="22">
        <f t="shared" ca="1" si="0"/>
        <v>9</v>
      </c>
      <c r="Y10" s="5">
        <f t="shared" ca="1" si="1"/>
        <v>16</v>
      </c>
      <c r="Z10" s="5">
        <f t="shared" ca="1" si="2"/>
        <v>14</v>
      </c>
      <c r="AA10" s="28">
        <f t="shared" ca="1" si="3"/>
        <v>4</v>
      </c>
      <c r="AB10" s="29">
        <f t="shared" ca="1" si="3"/>
        <v>12</v>
      </c>
      <c r="AC10" s="28">
        <f t="shared" ca="1" si="3"/>
        <v>16</v>
      </c>
      <c r="AD10" s="29">
        <f t="shared" ca="1" si="3"/>
        <v>9</v>
      </c>
      <c r="AE10" s="28">
        <f t="shared" ca="1" si="3"/>
        <v>16</v>
      </c>
      <c r="AF10" s="29">
        <f t="shared" ca="1" si="3"/>
        <v>2</v>
      </c>
    </row>
    <row r="11" spans="1:32" x14ac:dyDescent="0.25">
      <c r="A11">
        <v>10</v>
      </c>
      <c r="B11">
        <f t="shared" ca="1" si="4"/>
        <v>18</v>
      </c>
      <c r="C11">
        <f t="shared" ca="1" si="5"/>
        <v>2</v>
      </c>
      <c r="D11">
        <f t="shared" ca="1" si="5"/>
        <v>3</v>
      </c>
      <c r="E11" t="s">
        <v>180</v>
      </c>
      <c r="F11">
        <f t="shared" ca="1" si="6"/>
        <v>1</v>
      </c>
      <c r="G11">
        <f t="shared" ca="1" si="6"/>
        <v>1</v>
      </c>
      <c r="H11">
        <f t="shared" ca="1" si="6"/>
        <v>1</v>
      </c>
      <c r="I11" s="14">
        <f t="shared" ca="1" si="7"/>
        <v>1</v>
      </c>
      <c r="J11" t="s">
        <v>127</v>
      </c>
      <c r="K11">
        <f t="shared" si="8"/>
        <v>0</v>
      </c>
      <c r="L11">
        <v>1</v>
      </c>
      <c r="M11" t="str">
        <f t="shared" si="9"/>
        <v>food</v>
      </c>
      <c r="N11">
        <f t="shared" ca="1" si="10"/>
        <v>65</v>
      </c>
      <c r="O11">
        <f t="shared" ca="1" si="11"/>
        <v>22</v>
      </c>
      <c r="P11">
        <f t="shared" ca="1" si="12"/>
        <v>22.5</v>
      </c>
      <c r="Q11" s="10">
        <f t="shared" ca="1" si="13"/>
        <v>33</v>
      </c>
      <c r="R11" s="10">
        <f t="shared" ca="1" si="14"/>
        <v>34</v>
      </c>
      <c r="S11" s="21">
        <f t="shared" ca="1" si="15"/>
        <v>12</v>
      </c>
      <c r="T11" s="22">
        <f t="shared" ca="1" si="15"/>
        <v>10</v>
      </c>
      <c r="U11" s="21">
        <f t="shared" ca="1" si="15"/>
        <v>19</v>
      </c>
      <c r="V11" s="22">
        <f t="shared" ca="1" si="15"/>
        <v>15</v>
      </c>
      <c r="W11" s="21">
        <f t="shared" ca="1" si="0"/>
        <v>2</v>
      </c>
      <c r="X11" s="22">
        <f t="shared" ca="1" si="0"/>
        <v>9</v>
      </c>
      <c r="Y11" s="5">
        <f t="shared" ca="1" si="1"/>
        <v>11</v>
      </c>
      <c r="Z11" s="5">
        <f t="shared" ca="1" si="2"/>
        <v>11</v>
      </c>
      <c r="AA11" s="28">
        <f t="shared" ca="1" si="3"/>
        <v>19</v>
      </c>
      <c r="AB11" s="29">
        <f t="shared" ca="1" si="3"/>
        <v>4</v>
      </c>
      <c r="AC11" s="28">
        <f t="shared" ca="1" si="3"/>
        <v>5</v>
      </c>
      <c r="AD11" s="29">
        <f t="shared" ca="1" si="3"/>
        <v>1</v>
      </c>
      <c r="AE11" s="28">
        <f t="shared" ca="1" si="3"/>
        <v>5</v>
      </c>
      <c r="AF11" s="29">
        <f t="shared" ca="1" si="3"/>
        <v>6</v>
      </c>
    </row>
    <row r="12" spans="1:32" x14ac:dyDescent="0.25">
      <c r="A12">
        <v>11</v>
      </c>
      <c r="B12">
        <f t="shared" ca="1" si="4"/>
        <v>21</v>
      </c>
      <c r="C12">
        <f t="shared" ca="1" si="5"/>
        <v>2</v>
      </c>
      <c r="D12">
        <f t="shared" ca="1" si="5"/>
        <v>1</v>
      </c>
      <c r="E12" t="s">
        <v>180</v>
      </c>
      <c r="F12">
        <f t="shared" ca="1" si="6"/>
        <v>1</v>
      </c>
      <c r="G12">
        <f t="shared" ca="1" si="6"/>
        <v>1</v>
      </c>
      <c r="H12">
        <f t="shared" ca="1" si="6"/>
        <v>1</v>
      </c>
      <c r="I12" s="14">
        <f t="shared" ca="1" si="7"/>
        <v>1</v>
      </c>
      <c r="J12" t="s">
        <v>126</v>
      </c>
      <c r="K12">
        <f t="shared" si="8"/>
        <v>1</v>
      </c>
      <c r="L12">
        <v>1</v>
      </c>
      <c r="M12" t="str">
        <f t="shared" si="9"/>
        <v>food</v>
      </c>
      <c r="N12">
        <f t="shared" ca="1" si="10"/>
        <v>52</v>
      </c>
      <c r="O12">
        <f t="shared" ca="1" si="11"/>
        <v>23.5</v>
      </c>
      <c r="P12">
        <f t="shared" ca="1" si="12"/>
        <v>16</v>
      </c>
      <c r="Q12" s="10">
        <f t="shared" ca="1" si="13"/>
        <v>32</v>
      </c>
      <c r="R12" s="10">
        <f t="shared" ca="1" si="14"/>
        <v>17</v>
      </c>
      <c r="S12" s="21">
        <f t="shared" ca="1" si="15"/>
        <v>9</v>
      </c>
      <c r="T12" s="22">
        <f t="shared" ca="1" si="15"/>
        <v>4</v>
      </c>
      <c r="U12" s="21">
        <f t="shared" ca="1" si="15"/>
        <v>17</v>
      </c>
      <c r="V12" s="22">
        <f t="shared" ca="1" si="15"/>
        <v>3</v>
      </c>
      <c r="W12" s="21">
        <f t="shared" ca="1" si="0"/>
        <v>6</v>
      </c>
      <c r="X12" s="22">
        <f t="shared" ca="1" si="0"/>
        <v>10</v>
      </c>
      <c r="Y12" s="5">
        <f t="shared" ca="1" si="1"/>
        <v>15</v>
      </c>
      <c r="Z12" s="5">
        <f t="shared" ca="1" si="2"/>
        <v>15</v>
      </c>
      <c r="AA12" s="28">
        <f t="shared" ca="1" si="3"/>
        <v>5</v>
      </c>
      <c r="AB12" s="29">
        <f t="shared" ca="1" si="3"/>
        <v>2</v>
      </c>
      <c r="AC12" s="28">
        <f t="shared" ca="1" si="3"/>
        <v>10</v>
      </c>
      <c r="AD12" s="29">
        <f t="shared" ca="1" si="3"/>
        <v>4</v>
      </c>
      <c r="AE12" s="28">
        <f t="shared" ca="1" si="3"/>
        <v>12</v>
      </c>
      <c r="AF12" s="29">
        <f t="shared" ca="1" si="3"/>
        <v>13</v>
      </c>
    </row>
    <row r="13" spans="1:32" x14ac:dyDescent="0.25">
      <c r="A13">
        <v>12</v>
      </c>
      <c r="B13">
        <f t="shared" ca="1" si="4"/>
        <v>21</v>
      </c>
      <c r="C13">
        <f t="shared" ca="1" si="5"/>
        <v>1</v>
      </c>
      <c r="D13">
        <f t="shared" ca="1" si="5"/>
        <v>4</v>
      </c>
      <c r="E13" t="s">
        <v>180</v>
      </c>
      <c r="F13">
        <f t="shared" ca="1" si="6"/>
        <v>0</v>
      </c>
      <c r="G13">
        <f t="shared" ca="1" si="6"/>
        <v>0</v>
      </c>
      <c r="H13">
        <f t="shared" ca="1" si="6"/>
        <v>1</v>
      </c>
      <c r="I13" s="14">
        <f t="shared" ca="1" si="7"/>
        <v>0</v>
      </c>
      <c r="J13" t="s">
        <v>127</v>
      </c>
      <c r="K13">
        <f t="shared" si="8"/>
        <v>0</v>
      </c>
      <c r="L13">
        <v>1</v>
      </c>
      <c r="M13" t="str">
        <f t="shared" si="9"/>
        <v>food</v>
      </c>
      <c r="N13">
        <f t="shared" ca="1" si="10"/>
        <v>75</v>
      </c>
      <c r="O13">
        <f t="shared" ca="1" si="11"/>
        <v>32.5</v>
      </c>
      <c r="P13">
        <f t="shared" ca="1" si="12"/>
        <v>30</v>
      </c>
      <c r="Q13" s="10">
        <f t="shared" ca="1" si="13"/>
        <v>44</v>
      </c>
      <c r="R13" s="10">
        <f t="shared" ca="1" si="14"/>
        <v>37</v>
      </c>
      <c r="S13" s="21">
        <f t="shared" ca="1" si="15"/>
        <v>8</v>
      </c>
      <c r="T13" s="22">
        <f t="shared" ca="1" si="15"/>
        <v>13</v>
      </c>
      <c r="U13" s="21">
        <f t="shared" ca="1" si="15"/>
        <v>19</v>
      </c>
      <c r="V13" s="22">
        <f t="shared" ca="1" si="15"/>
        <v>19</v>
      </c>
      <c r="W13" s="21">
        <f t="shared" ca="1" si="0"/>
        <v>17</v>
      </c>
      <c r="X13" s="22">
        <f t="shared" ca="1" si="0"/>
        <v>5</v>
      </c>
      <c r="Y13" s="5">
        <f t="shared" ca="1" si="1"/>
        <v>21</v>
      </c>
      <c r="Z13" s="5">
        <f t="shared" ca="1" si="2"/>
        <v>23</v>
      </c>
      <c r="AA13" s="28">
        <f t="shared" ca="1" si="3"/>
        <v>1</v>
      </c>
      <c r="AB13" s="29">
        <f t="shared" ca="1" si="3"/>
        <v>1</v>
      </c>
      <c r="AC13" s="28">
        <f t="shared" ca="1" si="3"/>
        <v>17</v>
      </c>
      <c r="AD13" s="29">
        <f t="shared" ca="1" si="3"/>
        <v>10</v>
      </c>
      <c r="AE13" s="28">
        <f t="shared" ca="1" si="3"/>
        <v>5</v>
      </c>
      <c r="AF13" s="29">
        <f t="shared" ca="1" si="3"/>
        <v>7</v>
      </c>
    </row>
    <row r="14" spans="1:32" x14ac:dyDescent="0.25">
      <c r="A14">
        <v>13</v>
      </c>
      <c r="B14">
        <f t="shared" ca="1" si="4"/>
        <v>18</v>
      </c>
      <c r="C14">
        <f t="shared" ca="1" si="5"/>
        <v>3</v>
      </c>
      <c r="D14">
        <f t="shared" ca="1" si="5"/>
        <v>4</v>
      </c>
      <c r="E14" t="s">
        <v>180</v>
      </c>
      <c r="F14">
        <f t="shared" ca="1" si="6"/>
        <v>1</v>
      </c>
      <c r="G14">
        <f t="shared" ca="1" si="6"/>
        <v>0</v>
      </c>
      <c r="H14">
        <f t="shared" ca="1" si="6"/>
        <v>1</v>
      </c>
      <c r="I14" s="14">
        <f t="shared" ca="1" si="7"/>
        <v>1</v>
      </c>
      <c r="J14" t="s">
        <v>126</v>
      </c>
      <c r="K14">
        <f t="shared" si="8"/>
        <v>1</v>
      </c>
      <c r="L14">
        <v>1</v>
      </c>
      <c r="M14" t="str">
        <f t="shared" si="9"/>
        <v>food</v>
      </c>
      <c r="N14">
        <f t="shared" ca="1" si="10"/>
        <v>41</v>
      </c>
      <c r="O14">
        <f t="shared" ca="1" si="11"/>
        <v>22.5</v>
      </c>
      <c r="P14">
        <f t="shared" ca="1" si="12"/>
        <v>30.5</v>
      </c>
      <c r="Q14" s="10">
        <f t="shared" ca="1" si="13"/>
        <v>24</v>
      </c>
      <c r="R14" s="10">
        <f t="shared" ca="1" si="14"/>
        <v>40</v>
      </c>
      <c r="S14" s="21">
        <f t="shared" ca="1" si="15"/>
        <v>19</v>
      </c>
      <c r="T14" s="22">
        <f t="shared" ca="1" si="15"/>
        <v>6</v>
      </c>
      <c r="U14" s="21">
        <f t="shared" ca="1" si="15"/>
        <v>1</v>
      </c>
      <c r="V14" s="22">
        <f t="shared" ca="1" si="15"/>
        <v>18</v>
      </c>
      <c r="W14" s="21">
        <f t="shared" ca="1" si="0"/>
        <v>4</v>
      </c>
      <c r="X14" s="22">
        <f t="shared" ca="1" si="0"/>
        <v>16</v>
      </c>
      <c r="Y14" s="5">
        <f t="shared" ca="1" si="1"/>
        <v>21</v>
      </c>
      <c r="Z14" s="5">
        <f t="shared" ca="1" si="2"/>
        <v>21</v>
      </c>
      <c r="AA14" s="28">
        <f t="shared" ca="1" si="3"/>
        <v>2</v>
      </c>
      <c r="AB14" s="29">
        <f t="shared" ca="1" si="3"/>
        <v>11</v>
      </c>
      <c r="AC14" s="28">
        <f t="shared" ca="1" si="3"/>
        <v>5</v>
      </c>
      <c r="AD14" s="29">
        <f t="shared" ca="1" si="3"/>
        <v>8</v>
      </c>
      <c r="AE14" s="28">
        <f t="shared" ca="1" si="3"/>
        <v>2</v>
      </c>
      <c r="AF14" s="29">
        <f t="shared" ca="1" si="3"/>
        <v>4</v>
      </c>
    </row>
    <row r="15" spans="1:32" x14ac:dyDescent="0.25">
      <c r="A15">
        <v>14</v>
      </c>
      <c r="B15">
        <f t="shared" ca="1" si="4"/>
        <v>20</v>
      </c>
      <c r="C15">
        <f t="shared" ca="1" si="5"/>
        <v>3</v>
      </c>
      <c r="D15">
        <f t="shared" ca="1" si="5"/>
        <v>2</v>
      </c>
      <c r="E15" t="s">
        <v>180</v>
      </c>
      <c r="F15">
        <f t="shared" ca="1" si="6"/>
        <v>0</v>
      </c>
      <c r="G15">
        <f t="shared" ca="1" si="6"/>
        <v>1</v>
      </c>
      <c r="H15">
        <f t="shared" ca="1" si="6"/>
        <v>1</v>
      </c>
      <c r="I15" s="14">
        <f t="shared" ca="1" si="7"/>
        <v>1</v>
      </c>
      <c r="J15" t="s">
        <v>127</v>
      </c>
      <c r="K15">
        <f t="shared" si="8"/>
        <v>0</v>
      </c>
      <c r="L15">
        <v>1</v>
      </c>
      <c r="M15" t="str">
        <f t="shared" si="9"/>
        <v>food</v>
      </c>
      <c r="N15">
        <f t="shared" ca="1" si="10"/>
        <v>45</v>
      </c>
      <c r="O15">
        <f t="shared" ca="1" si="11"/>
        <v>26.5</v>
      </c>
      <c r="P15">
        <f t="shared" ca="1" si="12"/>
        <v>31.5</v>
      </c>
      <c r="Q15" s="10">
        <f t="shared" ca="1" si="13"/>
        <v>29</v>
      </c>
      <c r="R15" s="10">
        <f t="shared" ca="1" si="14"/>
        <v>40</v>
      </c>
      <c r="S15" s="21">
        <f t="shared" ca="1" si="15"/>
        <v>8</v>
      </c>
      <c r="T15" s="22">
        <f t="shared" ca="1" si="15"/>
        <v>20</v>
      </c>
      <c r="U15" s="21">
        <f t="shared" ca="1" si="15"/>
        <v>6</v>
      </c>
      <c r="V15" s="22">
        <f t="shared" ca="1" si="15"/>
        <v>11</v>
      </c>
      <c r="W15" s="21">
        <f t="shared" ca="1" si="0"/>
        <v>15</v>
      </c>
      <c r="X15" s="22">
        <f t="shared" ca="1" si="0"/>
        <v>9</v>
      </c>
      <c r="Y15" s="5">
        <f t="shared" ca="1" si="1"/>
        <v>24</v>
      </c>
      <c r="Z15" s="5">
        <f t="shared" ca="1" si="2"/>
        <v>23</v>
      </c>
      <c r="AA15" s="28">
        <f t="shared" ca="1" si="3"/>
        <v>11</v>
      </c>
      <c r="AB15" s="29">
        <f t="shared" ca="1" si="3"/>
        <v>14</v>
      </c>
      <c r="AC15" s="28">
        <f t="shared" ca="1" si="3"/>
        <v>8</v>
      </c>
      <c r="AD15" s="29">
        <f t="shared" ca="1" si="3"/>
        <v>0</v>
      </c>
      <c r="AE15" s="28">
        <f t="shared" ca="1" si="3"/>
        <v>19</v>
      </c>
      <c r="AF15" s="29">
        <f t="shared" ca="1" si="3"/>
        <v>10</v>
      </c>
    </row>
    <row r="16" spans="1:32" x14ac:dyDescent="0.25">
      <c r="A16">
        <v>15</v>
      </c>
      <c r="B16">
        <f t="shared" ca="1" si="4"/>
        <v>19</v>
      </c>
      <c r="C16">
        <f t="shared" ca="1" si="5"/>
        <v>3</v>
      </c>
      <c r="D16">
        <f t="shared" ca="1" si="5"/>
        <v>3</v>
      </c>
      <c r="E16" t="s">
        <v>180</v>
      </c>
      <c r="F16">
        <f t="shared" ca="1" si="6"/>
        <v>1</v>
      </c>
      <c r="G16">
        <f t="shared" ca="1" si="6"/>
        <v>0</v>
      </c>
      <c r="H16">
        <f t="shared" ca="1" si="6"/>
        <v>0</v>
      </c>
      <c r="I16" s="14">
        <f t="shared" ca="1" si="7"/>
        <v>1</v>
      </c>
      <c r="J16" t="s">
        <v>126</v>
      </c>
      <c r="K16">
        <f t="shared" si="8"/>
        <v>1</v>
      </c>
      <c r="L16">
        <v>1</v>
      </c>
      <c r="M16" t="str">
        <f t="shared" si="9"/>
        <v>food</v>
      </c>
      <c r="N16">
        <f t="shared" ca="1" si="10"/>
        <v>4</v>
      </c>
      <c r="O16">
        <f t="shared" ca="1" si="11"/>
        <v>29.5</v>
      </c>
      <c r="P16">
        <f t="shared" ca="1" si="12"/>
        <v>28.5</v>
      </c>
      <c r="Q16" s="10">
        <f t="shared" ca="1" si="13"/>
        <v>37</v>
      </c>
      <c r="R16" s="10">
        <f t="shared" ca="1" si="14"/>
        <v>33</v>
      </c>
      <c r="S16" s="21">
        <f t="shared" ca="1" si="15"/>
        <v>7</v>
      </c>
      <c r="T16" s="22">
        <f t="shared" ca="1" si="15"/>
        <v>18</v>
      </c>
      <c r="U16" s="21">
        <f t="shared" ca="1" si="15"/>
        <v>14</v>
      </c>
      <c r="V16" s="22">
        <f t="shared" ca="1" si="15"/>
        <v>8</v>
      </c>
      <c r="W16" s="21">
        <f t="shared" ca="1" si="0"/>
        <v>16</v>
      </c>
      <c r="X16" s="22">
        <f t="shared" ca="1" si="0"/>
        <v>7</v>
      </c>
      <c r="Y16" s="5">
        <f t="shared" ca="1" si="1"/>
        <v>22</v>
      </c>
      <c r="Z16" s="5">
        <f t="shared" ca="1" si="2"/>
        <v>24</v>
      </c>
      <c r="AA16" s="28">
        <f t="shared" ca="1" si="3"/>
        <v>12</v>
      </c>
      <c r="AB16" s="29">
        <f t="shared" ca="1" si="3"/>
        <v>8</v>
      </c>
      <c r="AC16" s="28">
        <f t="shared" ca="1" si="3"/>
        <v>10</v>
      </c>
      <c r="AD16" s="29">
        <f t="shared" ca="1" si="3"/>
        <v>4</v>
      </c>
      <c r="AE16" s="28">
        <f t="shared" ca="1" si="3"/>
        <v>18</v>
      </c>
      <c r="AF16" s="29">
        <f t="shared" ca="1" si="3"/>
        <v>2</v>
      </c>
    </row>
    <row r="17" spans="1:32" x14ac:dyDescent="0.25">
      <c r="A17">
        <v>16</v>
      </c>
      <c r="B17">
        <f t="shared" ca="1" si="4"/>
        <v>20</v>
      </c>
      <c r="C17">
        <f t="shared" ca="1" si="5"/>
        <v>1</v>
      </c>
      <c r="D17">
        <f t="shared" ca="1" si="5"/>
        <v>1</v>
      </c>
      <c r="E17" t="s">
        <v>180</v>
      </c>
      <c r="F17">
        <f t="shared" ca="1" si="6"/>
        <v>1</v>
      </c>
      <c r="G17">
        <f t="shared" ca="1" si="6"/>
        <v>0</v>
      </c>
      <c r="H17">
        <f t="shared" ca="1" si="6"/>
        <v>1</v>
      </c>
      <c r="I17" s="14">
        <f t="shared" ca="1" si="7"/>
        <v>0</v>
      </c>
      <c r="J17" t="s">
        <v>127</v>
      </c>
      <c r="K17">
        <f t="shared" si="8"/>
        <v>0</v>
      </c>
      <c r="L17">
        <v>1</v>
      </c>
      <c r="M17" t="str">
        <f t="shared" si="9"/>
        <v>food</v>
      </c>
      <c r="N17">
        <f t="shared" ca="1" si="10"/>
        <v>96</v>
      </c>
      <c r="O17">
        <f t="shared" ca="1" si="11"/>
        <v>20.5</v>
      </c>
      <c r="P17">
        <f t="shared" ca="1" si="12"/>
        <v>25</v>
      </c>
      <c r="Q17" s="10">
        <f t="shared" ca="1" si="13"/>
        <v>35</v>
      </c>
      <c r="R17" s="10">
        <f t="shared" ca="1" si="14"/>
        <v>44</v>
      </c>
      <c r="S17" s="21">
        <f t="shared" ca="1" si="15"/>
        <v>19</v>
      </c>
      <c r="T17" s="22">
        <f t="shared" ca="1" si="15"/>
        <v>19</v>
      </c>
      <c r="U17" s="21">
        <f t="shared" ca="1" si="15"/>
        <v>15</v>
      </c>
      <c r="V17" s="22">
        <f t="shared" ca="1" si="15"/>
        <v>19</v>
      </c>
      <c r="W17" s="21">
        <f t="shared" ca="1" si="0"/>
        <v>1</v>
      </c>
      <c r="X17" s="22">
        <f t="shared" ca="1" si="0"/>
        <v>6</v>
      </c>
      <c r="Y17" s="5">
        <f t="shared" ca="1" si="1"/>
        <v>6</v>
      </c>
      <c r="Z17" s="5">
        <f t="shared" ca="1" si="2"/>
        <v>6</v>
      </c>
      <c r="AA17" s="28">
        <f t="shared" ca="1" si="3"/>
        <v>5</v>
      </c>
      <c r="AB17" s="29">
        <f t="shared" ca="1" si="3"/>
        <v>18</v>
      </c>
      <c r="AC17" s="28">
        <f t="shared" ca="1" si="3"/>
        <v>2</v>
      </c>
      <c r="AD17" s="29">
        <f t="shared" ca="1" si="3"/>
        <v>8</v>
      </c>
      <c r="AE17" s="28">
        <f t="shared" ca="1" si="3"/>
        <v>10</v>
      </c>
      <c r="AF17" s="29">
        <f t="shared" ca="1" si="3"/>
        <v>8</v>
      </c>
    </row>
    <row r="18" spans="1:32" x14ac:dyDescent="0.25">
      <c r="A18">
        <v>17</v>
      </c>
      <c r="B18">
        <f t="shared" ca="1" si="4"/>
        <v>18</v>
      </c>
      <c r="C18">
        <f t="shared" ca="1" si="5"/>
        <v>4</v>
      </c>
      <c r="D18">
        <f t="shared" ca="1" si="5"/>
        <v>2</v>
      </c>
      <c r="E18" t="s">
        <v>180</v>
      </c>
      <c r="F18">
        <f t="shared" ca="1" si="6"/>
        <v>1</v>
      </c>
      <c r="G18">
        <f t="shared" ca="1" si="6"/>
        <v>0</v>
      </c>
      <c r="H18">
        <f t="shared" ca="1" si="6"/>
        <v>1</v>
      </c>
      <c r="I18" s="14">
        <f t="shared" ca="1" si="7"/>
        <v>1</v>
      </c>
      <c r="J18" t="s">
        <v>126</v>
      </c>
      <c r="K18">
        <f t="shared" si="8"/>
        <v>1</v>
      </c>
      <c r="L18">
        <v>2</v>
      </c>
      <c r="M18" t="str">
        <f t="shared" si="9"/>
        <v>elephant</v>
      </c>
      <c r="N18">
        <f t="shared" ca="1" si="10"/>
        <v>8</v>
      </c>
      <c r="O18">
        <f t="shared" ca="1" si="11"/>
        <v>27</v>
      </c>
      <c r="P18">
        <f t="shared" ca="1" si="12"/>
        <v>31</v>
      </c>
      <c r="Q18" s="10">
        <f t="shared" ca="1" si="13"/>
        <v>25</v>
      </c>
      <c r="R18" s="10">
        <f t="shared" ca="1" si="14"/>
        <v>34</v>
      </c>
      <c r="S18" s="21">
        <f t="shared" ca="1" si="15"/>
        <v>0</v>
      </c>
      <c r="T18" s="22">
        <f t="shared" ca="1" si="15"/>
        <v>16</v>
      </c>
      <c r="U18" s="21">
        <f t="shared" ca="1" si="15"/>
        <v>8</v>
      </c>
      <c r="V18" s="22">
        <f t="shared" ca="1" si="15"/>
        <v>6</v>
      </c>
      <c r="W18" s="21">
        <f t="shared" ref="W18:X33" ca="1" si="16">RANDBETWEEN(0,20)</f>
        <v>17</v>
      </c>
      <c r="X18" s="22">
        <f t="shared" ca="1" si="16"/>
        <v>12</v>
      </c>
      <c r="Y18" s="5">
        <f t="shared" ca="1" si="1"/>
        <v>29</v>
      </c>
      <c r="Z18" s="5">
        <f t="shared" ca="1" si="2"/>
        <v>28</v>
      </c>
      <c r="AA18" s="28">
        <f t="shared" ref="AA18:AF33" ca="1" si="17">RANDBETWEEN(0,20)</f>
        <v>1</v>
      </c>
      <c r="AB18" s="29">
        <f t="shared" ca="1" si="17"/>
        <v>8</v>
      </c>
      <c r="AC18" s="28">
        <f t="shared" ca="1" si="17"/>
        <v>13</v>
      </c>
      <c r="AD18" s="29">
        <f t="shared" ca="1" si="17"/>
        <v>8</v>
      </c>
      <c r="AE18" s="28">
        <f t="shared" ca="1" si="17"/>
        <v>3</v>
      </c>
      <c r="AF18" s="29">
        <f t="shared" ca="1" si="17"/>
        <v>20</v>
      </c>
    </row>
    <row r="19" spans="1:32" x14ac:dyDescent="0.25">
      <c r="A19">
        <v>18</v>
      </c>
      <c r="B19">
        <f t="shared" ca="1" si="4"/>
        <v>25</v>
      </c>
      <c r="C19">
        <f t="shared" ca="1" si="5"/>
        <v>4</v>
      </c>
      <c r="D19">
        <f t="shared" ca="1" si="5"/>
        <v>4</v>
      </c>
      <c r="E19" t="s">
        <v>180</v>
      </c>
      <c r="F19">
        <f t="shared" ca="1" si="6"/>
        <v>0</v>
      </c>
      <c r="G19">
        <f t="shared" ca="1" si="6"/>
        <v>1</v>
      </c>
      <c r="H19">
        <f t="shared" ca="1" si="6"/>
        <v>1</v>
      </c>
      <c r="I19" s="14">
        <f t="shared" ca="1" si="7"/>
        <v>0</v>
      </c>
      <c r="J19" t="s">
        <v>127</v>
      </c>
      <c r="K19">
        <f t="shared" si="8"/>
        <v>0</v>
      </c>
      <c r="L19">
        <v>2</v>
      </c>
      <c r="M19" t="str">
        <f t="shared" si="9"/>
        <v>elephant</v>
      </c>
      <c r="N19">
        <f t="shared" ca="1" si="10"/>
        <v>28</v>
      </c>
      <c r="O19">
        <f t="shared" ca="1" si="11"/>
        <v>39</v>
      </c>
      <c r="P19">
        <f t="shared" ca="1" si="12"/>
        <v>24.5</v>
      </c>
      <c r="Q19" s="10">
        <f t="shared" ca="1" si="13"/>
        <v>48</v>
      </c>
      <c r="R19" s="10">
        <f t="shared" ca="1" si="14"/>
        <v>19</v>
      </c>
      <c r="S19" s="21">
        <f t="shared" ca="1" si="15"/>
        <v>13</v>
      </c>
      <c r="T19" s="22">
        <f t="shared" ca="1" si="15"/>
        <v>6</v>
      </c>
      <c r="U19" s="21">
        <f t="shared" ca="1" si="15"/>
        <v>15</v>
      </c>
      <c r="V19" s="22">
        <f t="shared" ca="1" si="15"/>
        <v>3</v>
      </c>
      <c r="W19" s="21">
        <f t="shared" ca="1" si="16"/>
        <v>20</v>
      </c>
      <c r="X19" s="22">
        <f t="shared" ca="1" si="16"/>
        <v>10</v>
      </c>
      <c r="Y19" s="5">
        <f t="shared" ca="1" si="1"/>
        <v>30</v>
      </c>
      <c r="Z19" s="5">
        <f t="shared" ca="1" si="2"/>
        <v>30</v>
      </c>
      <c r="AA19" s="28">
        <f t="shared" ca="1" si="17"/>
        <v>16</v>
      </c>
      <c r="AB19" s="29">
        <f t="shared" ca="1" si="17"/>
        <v>4</v>
      </c>
      <c r="AC19" s="28">
        <f t="shared" ca="1" si="17"/>
        <v>8</v>
      </c>
      <c r="AD19" s="29">
        <f t="shared" ca="1" si="17"/>
        <v>6</v>
      </c>
      <c r="AE19" s="28">
        <f t="shared" ca="1" si="17"/>
        <v>18</v>
      </c>
      <c r="AF19" s="29">
        <f t="shared" ca="1" si="17"/>
        <v>7</v>
      </c>
    </row>
    <row r="20" spans="1:32" x14ac:dyDescent="0.25">
      <c r="A20">
        <v>19</v>
      </c>
      <c r="B20">
        <f t="shared" ca="1" si="4"/>
        <v>22</v>
      </c>
      <c r="C20">
        <f t="shared" ca="1" si="5"/>
        <v>1</v>
      </c>
      <c r="D20">
        <f t="shared" ca="1" si="5"/>
        <v>2</v>
      </c>
      <c r="E20" t="s">
        <v>180</v>
      </c>
      <c r="F20">
        <f t="shared" ca="1" si="6"/>
        <v>1</v>
      </c>
      <c r="G20">
        <f t="shared" ca="1" si="6"/>
        <v>0</v>
      </c>
      <c r="H20">
        <f t="shared" ca="1" si="6"/>
        <v>1</v>
      </c>
      <c r="I20" s="14">
        <f t="shared" ca="1" si="7"/>
        <v>1</v>
      </c>
      <c r="J20" t="s">
        <v>126</v>
      </c>
      <c r="K20">
        <f t="shared" si="8"/>
        <v>1</v>
      </c>
      <c r="L20">
        <v>2</v>
      </c>
      <c r="M20" t="str">
        <f t="shared" si="9"/>
        <v>elephant</v>
      </c>
      <c r="N20">
        <f t="shared" ca="1" si="10"/>
        <v>44</v>
      </c>
      <c r="O20">
        <f t="shared" ca="1" si="11"/>
        <v>23.5</v>
      </c>
      <c r="P20">
        <f t="shared" ca="1" si="12"/>
        <v>40</v>
      </c>
      <c r="Q20" s="10">
        <f t="shared" ca="1" si="13"/>
        <v>18</v>
      </c>
      <c r="R20" s="10">
        <f t="shared" ca="1" si="14"/>
        <v>51</v>
      </c>
      <c r="S20" s="21">
        <f t="shared" ca="1" si="15"/>
        <v>9</v>
      </c>
      <c r="T20" s="22">
        <f t="shared" ca="1" si="15"/>
        <v>16</v>
      </c>
      <c r="U20" s="21">
        <f t="shared" ca="1" si="15"/>
        <v>0</v>
      </c>
      <c r="V20" s="22">
        <f t="shared" ca="1" si="15"/>
        <v>16</v>
      </c>
      <c r="W20" s="21">
        <f t="shared" ca="1" si="16"/>
        <v>9</v>
      </c>
      <c r="X20" s="22">
        <f t="shared" ca="1" si="16"/>
        <v>19</v>
      </c>
      <c r="Y20" s="5">
        <f t="shared" ca="1" si="1"/>
        <v>29</v>
      </c>
      <c r="Z20" s="5">
        <f t="shared" ca="1" si="2"/>
        <v>29</v>
      </c>
      <c r="AA20" s="28">
        <f t="shared" ca="1" si="17"/>
        <v>9</v>
      </c>
      <c r="AB20" s="29">
        <f t="shared" ca="1" si="17"/>
        <v>11</v>
      </c>
      <c r="AC20" s="28">
        <f t="shared" ca="1" si="17"/>
        <v>7</v>
      </c>
      <c r="AD20" s="29">
        <f t="shared" ca="1" si="17"/>
        <v>13</v>
      </c>
      <c r="AE20" s="28">
        <f t="shared" ca="1" si="17"/>
        <v>17</v>
      </c>
      <c r="AF20" s="29">
        <f t="shared" ca="1" si="17"/>
        <v>6</v>
      </c>
    </row>
    <row r="21" spans="1:32" x14ac:dyDescent="0.25">
      <c r="A21">
        <v>20</v>
      </c>
      <c r="B21">
        <f t="shared" ca="1" si="4"/>
        <v>18</v>
      </c>
      <c r="C21">
        <f t="shared" ca="1" si="5"/>
        <v>2</v>
      </c>
      <c r="D21">
        <f t="shared" ca="1" si="5"/>
        <v>4</v>
      </c>
      <c r="E21" t="s">
        <v>180</v>
      </c>
      <c r="F21">
        <f t="shared" ca="1" si="6"/>
        <v>1</v>
      </c>
      <c r="G21">
        <f t="shared" ca="1" si="6"/>
        <v>0</v>
      </c>
      <c r="H21">
        <f t="shared" ca="1" si="6"/>
        <v>1</v>
      </c>
      <c r="I21" s="14">
        <f t="shared" ca="1" si="7"/>
        <v>0</v>
      </c>
      <c r="J21" t="s">
        <v>127</v>
      </c>
      <c r="K21">
        <f t="shared" si="8"/>
        <v>0</v>
      </c>
      <c r="L21">
        <v>2</v>
      </c>
      <c r="M21" t="str">
        <f t="shared" si="9"/>
        <v>elephant</v>
      </c>
      <c r="N21">
        <f t="shared" ca="1" si="10"/>
        <v>84</v>
      </c>
      <c r="O21">
        <f t="shared" ca="1" si="11"/>
        <v>31.5</v>
      </c>
      <c r="P21">
        <f t="shared" ca="1" si="12"/>
        <v>36</v>
      </c>
      <c r="Q21" s="10">
        <f t="shared" ca="1" si="13"/>
        <v>35</v>
      </c>
      <c r="R21" s="10">
        <f t="shared" ca="1" si="14"/>
        <v>45</v>
      </c>
      <c r="S21" s="21">
        <f t="shared" ca="1" si="15"/>
        <v>14</v>
      </c>
      <c r="T21" s="22">
        <f t="shared" ca="1" si="15"/>
        <v>10</v>
      </c>
      <c r="U21" s="21">
        <f t="shared" ca="1" si="15"/>
        <v>12</v>
      </c>
      <c r="V21" s="22">
        <f t="shared" ca="1" si="15"/>
        <v>16</v>
      </c>
      <c r="W21" s="21">
        <f t="shared" ca="1" si="16"/>
        <v>9</v>
      </c>
      <c r="X21" s="22">
        <f t="shared" ca="1" si="16"/>
        <v>19</v>
      </c>
      <c r="Y21" s="5">
        <f t="shared" ca="1" si="1"/>
        <v>28</v>
      </c>
      <c r="Z21" s="5">
        <f t="shared" ca="1" si="2"/>
        <v>27</v>
      </c>
      <c r="AA21" s="28">
        <f t="shared" ca="1" si="17"/>
        <v>15</v>
      </c>
      <c r="AB21" s="29">
        <f t="shared" ca="1" si="17"/>
        <v>10</v>
      </c>
      <c r="AC21" s="28">
        <f t="shared" ca="1" si="17"/>
        <v>9</v>
      </c>
      <c r="AD21" s="29">
        <f t="shared" ca="1" si="17"/>
        <v>18</v>
      </c>
      <c r="AE21" s="28">
        <f t="shared" ca="1" si="17"/>
        <v>18</v>
      </c>
      <c r="AF21" s="29">
        <f t="shared" ca="1" si="17"/>
        <v>4</v>
      </c>
    </row>
    <row r="22" spans="1:32" x14ac:dyDescent="0.25">
      <c r="A22">
        <v>21</v>
      </c>
      <c r="B22">
        <f t="shared" ca="1" si="4"/>
        <v>25</v>
      </c>
      <c r="C22">
        <f t="shared" ca="1" si="5"/>
        <v>3</v>
      </c>
      <c r="D22">
        <f t="shared" ca="1" si="5"/>
        <v>4</v>
      </c>
      <c r="E22" t="s">
        <v>180</v>
      </c>
      <c r="F22">
        <f t="shared" ca="1" si="6"/>
        <v>1</v>
      </c>
      <c r="G22">
        <f t="shared" ca="1" si="6"/>
        <v>0</v>
      </c>
      <c r="H22">
        <f t="shared" ca="1" si="6"/>
        <v>0</v>
      </c>
      <c r="I22" s="14">
        <f t="shared" ca="1" si="7"/>
        <v>0</v>
      </c>
      <c r="J22" t="s">
        <v>126</v>
      </c>
      <c r="K22">
        <f t="shared" si="8"/>
        <v>1</v>
      </c>
      <c r="L22">
        <v>2</v>
      </c>
      <c r="M22" t="str">
        <f t="shared" si="9"/>
        <v>elephant</v>
      </c>
      <c r="N22">
        <f t="shared" ca="1" si="10"/>
        <v>13</v>
      </c>
      <c r="O22">
        <f t="shared" ca="1" si="11"/>
        <v>21.5</v>
      </c>
      <c r="P22">
        <f t="shared" ca="1" si="12"/>
        <v>24</v>
      </c>
      <c r="Q22" s="10">
        <f t="shared" ca="1" si="13"/>
        <v>32</v>
      </c>
      <c r="R22" s="10">
        <f t="shared" ca="1" si="14"/>
        <v>35</v>
      </c>
      <c r="S22" s="21">
        <f t="shared" ca="1" si="15"/>
        <v>13</v>
      </c>
      <c r="T22" s="22">
        <f t="shared" ca="1" si="15"/>
        <v>11</v>
      </c>
      <c r="U22" s="21">
        <f t="shared" ca="1" si="15"/>
        <v>19</v>
      </c>
      <c r="V22" s="22">
        <f t="shared" ca="1" si="15"/>
        <v>12</v>
      </c>
      <c r="W22" s="21">
        <f t="shared" ca="1" si="16"/>
        <v>0</v>
      </c>
      <c r="X22" s="22">
        <f t="shared" ca="1" si="16"/>
        <v>12</v>
      </c>
      <c r="Y22" s="5">
        <f t="shared" ca="1" si="1"/>
        <v>11</v>
      </c>
      <c r="Z22" s="5">
        <f t="shared" ca="1" si="2"/>
        <v>13</v>
      </c>
      <c r="AA22" s="28">
        <f t="shared" ca="1" si="17"/>
        <v>9</v>
      </c>
      <c r="AB22" s="29">
        <f t="shared" ca="1" si="17"/>
        <v>9</v>
      </c>
      <c r="AC22" s="28">
        <f t="shared" ca="1" si="17"/>
        <v>16</v>
      </c>
      <c r="AD22" s="29">
        <f t="shared" ca="1" si="17"/>
        <v>20</v>
      </c>
      <c r="AE22" s="28">
        <f t="shared" ca="1" si="17"/>
        <v>20</v>
      </c>
      <c r="AF22" s="29">
        <f t="shared" ca="1" si="17"/>
        <v>12</v>
      </c>
    </row>
    <row r="23" spans="1:32" x14ac:dyDescent="0.25">
      <c r="A23">
        <v>22</v>
      </c>
      <c r="B23">
        <f t="shared" ca="1" si="4"/>
        <v>22</v>
      </c>
      <c r="C23">
        <f t="shared" ca="1" si="5"/>
        <v>2</v>
      </c>
      <c r="D23">
        <f t="shared" ca="1" si="5"/>
        <v>1</v>
      </c>
      <c r="E23" t="s">
        <v>180</v>
      </c>
      <c r="F23">
        <f t="shared" ca="1" si="6"/>
        <v>0</v>
      </c>
      <c r="G23">
        <f t="shared" ca="1" si="6"/>
        <v>1</v>
      </c>
      <c r="H23">
        <f t="shared" ca="1" si="6"/>
        <v>1</v>
      </c>
      <c r="I23" s="14">
        <f t="shared" ca="1" si="7"/>
        <v>0</v>
      </c>
      <c r="J23" t="s">
        <v>127</v>
      </c>
      <c r="K23">
        <f t="shared" si="8"/>
        <v>0</v>
      </c>
      <c r="L23">
        <v>2</v>
      </c>
      <c r="M23" t="str">
        <f t="shared" si="9"/>
        <v>elephant</v>
      </c>
      <c r="N23">
        <f t="shared" ca="1" si="10"/>
        <v>79</v>
      </c>
      <c r="O23">
        <f t="shared" ca="1" si="11"/>
        <v>18.5</v>
      </c>
      <c r="P23">
        <f t="shared" ca="1" si="12"/>
        <v>25</v>
      </c>
      <c r="Q23" s="10">
        <f t="shared" ca="1" si="13"/>
        <v>25</v>
      </c>
      <c r="R23" s="10">
        <f t="shared" ca="1" si="14"/>
        <v>39</v>
      </c>
      <c r="S23" s="21">
        <f t="shared" ca="1" si="15"/>
        <v>5</v>
      </c>
      <c r="T23" s="22">
        <f t="shared" ca="1" si="15"/>
        <v>15</v>
      </c>
      <c r="U23" s="21">
        <f t="shared" ca="1" si="15"/>
        <v>18</v>
      </c>
      <c r="V23" s="22">
        <f t="shared" ca="1" si="15"/>
        <v>14</v>
      </c>
      <c r="W23" s="21">
        <f t="shared" ca="1" si="16"/>
        <v>2</v>
      </c>
      <c r="X23" s="22">
        <f t="shared" ca="1" si="16"/>
        <v>10</v>
      </c>
      <c r="Y23" s="5">
        <f t="shared" ca="1" si="1"/>
        <v>12</v>
      </c>
      <c r="Z23" s="5">
        <f t="shared" ca="1" si="2"/>
        <v>11</v>
      </c>
      <c r="AA23" s="28">
        <f t="shared" ca="1" si="17"/>
        <v>11</v>
      </c>
      <c r="AB23" s="29">
        <f t="shared" ca="1" si="17"/>
        <v>6</v>
      </c>
      <c r="AC23" s="28">
        <f t="shared" ca="1" si="17"/>
        <v>6</v>
      </c>
      <c r="AD23" s="29">
        <f t="shared" ca="1" si="17"/>
        <v>8</v>
      </c>
      <c r="AE23" s="28">
        <f t="shared" ca="1" si="17"/>
        <v>5</v>
      </c>
      <c r="AF23" s="29">
        <f t="shared" ca="1" si="17"/>
        <v>6</v>
      </c>
    </row>
    <row r="24" spans="1:32" x14ac:dyDescent="0.25">
      <c r="A24">
        <v>23</v>
      </c>
      <c r="B24">
        <f t="shared" ca="1" si="4"/>
        <v>20</v>
      </c>
      <c r="C24">
        <f t="shared" ca="1" si="5"/>
        <v>3</v>
      </c>
      <c r="D24">
        <f t="shared" ca="1" si="5"/>
        <v>2</v>
      </c>
      <c r="E24" t="s">
        <v>180</v>
      </c>
      <c r="F24">
        <f t="shared" ca="1" si="6"/>
        <v>1</v>
      </c>
      <c r="G24">
        <f t="shared" ca="1" si="6"/>
        <v>0</v>
      </c>
      <c r="H24">
        <f t="shared" ca="1" si="6"/>
        <v>1</v>
      </c>
      <c r="I24" s="14">
        <f t="shared" ca="1" si="7"/>
        <v>0</v>
      </c>
      <c r="J24" t="s">
        <v>126</v>
      </c>
      <c r="K24">
        <f t="shared" si="8"/>
        <v>1</v>
      </c>
      <c r="L24">
        <v>2</v>
      </c>
      <c r="M24" t="str">
        <f t="shared" si="9"/>
        <v>elephant</v>
      </c>
      <c r="N24">
        <f t="shared" ca="1" si="10"/>
        <v>6</v>
      </c>
      <c r="O24">
        <f t="shared" ca="1" si="11"/>
        <v>34</v>
      </c>
      <c r="P24">
        <f t="shared" ca="1" si="12"/>
        <v>33</v>
      </c>
      <c r="Q24" s="10">
        <f t="shared" ca="1" si="13"/>
        <v>41</v>
      </c>
      <c r="R24" s="10">
        <f t="shared" ca="1" si="14"/>
        <v>39</v>
      </c>
      <c r="S24" s="21">
        <f t="shared" ca="1" si="15"/>
        <v>9</v>
      </c>
      <c r="T24" s="22">
        <f t="shared" ca="1" si="15"/>
        <v>10</v>
      </c>
      <c r="U24" s="21">
        <f t="shared" ca="1" si="15"/>
        <v>20</v>
      </c>
      <c r="V24" s="22">
        <f t="shared" ca="1" si="15"/>
        <v>13</v>
      </c>
      <c r="W24" s="21">
        <f t="shared" ca="1" si="16"/>
        <v>12</v>
      </c>
      <c r="X24" s="22">
        <f t="shared" ca="1" si="16"/>
        <v>16</v>
      </c>
      <c r="Y24" s="5">
        <f t="shared" ca="1" si="1"/>
        <v>27</v>
      </c>
      <c r="Z24" s="5">
        <f t="shared" ca="1" si="2"/>
        <v>27</v>
      </c>
      <c r="AA24" s="28">
        <f t="shared" ca="1" si="17"/>
        <v>7</v>
      </c>
      <c r="AB24" s="29">
        <f t="shared" ca="1" si="17"/>
        <v>4</v>
      </c>
      <c r="AC24" s="28">
        <f t="shared" ca="1" si="17"/>
        <v>0</v>
      </c>
      <c r="AD24" s="29">
        <f t="shared" ca="1" si="17"/>
        <v>4</v>
      </c>
      <c r="AE24" s="28">
        <f t="shared" ca="1" si="17"/>
        <v>17</v>
      </c>
      <c r="AF24" s="29">
        <f t="shared" ca="1" si="17"/>
        <v>7</v>
      </c>
    </row>
    <row r="25" spans="1:32" x14ac:dyDescent="0.25">
      <c r="A25">
        <v>24</v>
      </c>
      <c r="B25">
        <f t="shared" ca="1" si="4"/>
        <v>25</v>
      </c>
      <c r="C25">
        <f t="shared" ca="1" si="5"/>
        <v>3</v>
      </c>
      <c r="D25">
        <f t="shared" ca="1" si="5"/>
        <v>4</v>
      </c>
      <c r="E25" t="s">
        <v>180</v>
      </c>
      <c r="F25">
        <f t="shared" ca="1" si="6"/>
        <v>1</v>
      </c>
      <c r="G25">
        <f t="shared" ca="1" si="6"/>
        <v>0</v>
      </c>
      <c r="H25">
        <f t="shared" ca="1" si="6"/>
        <v>1</v>
      </c>
      <c r="I25" s="14">
        <f t="shared" ca="1" si="7"/>
        <v>0</v>
      </c>
      <c r="J25" t="s">
        <v>127</v>
      </c>
      <c r="K25">
        <f t="shared" si="8"/>
        <v>0</v>
      </c>
      <c r="L25">
        <v>2</v>
      </c>
      <c r="M25" t="str">
        <f t="shared" si="9"/>
        <v>elephant</v>
      </c>
      <c r="N25">
        <f t="shared" ca="1" si="10"/>
        <v>99</v>
      </c>
      <c r="O25">
        <f t="shared" ca="1" si="11"/>
        <v>28</v>
      </c>
      <c r="P25">
        <f t="shared" ca="1" si="12"/>
        <v>28.5</v>
      </c>
      <c r="Q25" s="10">
        <f t="shared" ca="1" si="13"/>
        <v>39</v>
      </c>
      <c r="R25" s="10">
        <f t="shared" ca="1" si="14"/>
        <v>41</v>
      </c>
      <c r="S25" s="21">
        <f t="shared" ca="1" si="15"/>
        <v>19</v>
      </c>
      <c r="T25" s="22">
        <f t="shared" ca="1" si="15"/>
        <v>13</v>
      </c>
      <c r="U25" s="21">
        <f t="shared" ca="1" si="15"/>
        <v>18</v>
      </c>
      <c r="V25" s="22">
        <f t="shared" ca="1" si="15"/>
        <v>14</v>
      </c>
      <c r="W25" s="21">
        <f t="shared" ca="1" si="16"/>
        <v>2</v>
      </c>
      <c r="X25" s="22">
        <f t="shared" ca="1" si="16"/>
        <v>14</v>
      </c>
      <c r="Y25" s="5">
        <f t="shared" ca="1" si="1"/>
        <v>17</v>
      </c>
      <c r="Z25" s="5">
        <f t="shared" ca="1" si="2"/>
        <v>16</v>
      </c>
      <c r="AA25" s="28">
        <f t="shared" ca="1" si="17"/>
        <v>9</v>
      </c>
      <c r="AB25" s="29">
        <f t="shared" ca="1" si="17"/>
        <v>16</v>
      </c>
      <c r="AC25" s="28">
        <f t="shared" ca="1" si="17"/>
        <v>2</v>
      </c>
      <c r="AD25" s="29">
        <f t="shared" ca="1" si="17"/>
        <v>15</v>
      </c>
      <c r="AE25" s="28">
        <f t="shared" ca="1" si="17"/>
        <v>14</v>
      </c>
      <c r="AF25" s="29">
        <f t="shared" ca="1" si="17"/>
        <v>16</v>
      </c>
    </row>
    <row r="26" spans="1:32" x14ac:dyDescent="0.25">
      <c r="A26">
        <v>25</v>
      </c>
      <c r="B26">
        <f t="shared" ca="1" si="4"/>
        <v>19</v>
      </c>
      <c r="C26">
        <f t="shared" ca="1" si="5"/>
        <v>3</v>
      </c>
      <c r="D26">
        <f t="shared" ca="1" si="5"/>
        <v>2</v>
      </c>
      <c r="E26" t="s">
        <v>180</v>
      </c>
      <c r="F26">
        <f t="shared" ca="1" si="6"/>
        <v>1</v>
      </c>
      <c r="G26">
        <f t="shared" ca="1" si="6"/>
        <v>0</v>
      </c>
      <c r="H26">
        <f t="shared" ca="1" si="6"/>
        <v>1</v>
      </c>
      <c r="I26" s="14">
        <f t="shared" ca="1" si="7"/>
        <v>1</v>
      </c>
      <c r="J26" t="s">
        <v>126</v>
      </c>
      <c r="K26">
        <f t="shared" si="8"/>
        <v>1</v>
      </c>
      <c r="L26">
        <v>2</v>
      </c>
      <c r="M26" t="str">
        <f t="shared" si="9"/>
        <v>elephant</v>
      </c>
      <c r="N26">
        <f t="shared" ca="1" si="10"/>
        <v>37</v>
      </c>
      <c r="O26">
        <f t="shared" ca="1" si="11"/>
        <v>29.5</v>
      </c>
      <c r="P26">
        <f t="shared" ca="1" si="12"/>
        <v>19.5</v>
      </c>
      <c r="Q26" s="10">
        <f t="shared" ca="1" si="13"/>
        <v>35</v>
      </c>
      <c r="R26" s="10">
        <f t="shared" ca="1" si="14"/>
        <v>17</v>
      </c>
      <c r="S26" s="21">
        <f t="shared" ca="1" si="15"/>
        <v>8</v>
      </c>
      <c r="T26" s="22">
        <f t="shared" ca="1" si="15"/>
        <v>3</v>
      </c>
      <c r="U26" s="21">
        <f t="shared" ca="1" si="15"/>
        <v>10</v>
      </c>
      <c r="V26" s="22">
        <f t="shared" ca="1" si="15"/>
        <v>8</v>
      </c>
      <c r="W26" s="21">
        <f t="shared" ca="1" si="16"/>
        <v>17</v>
      </c>
      <c r="X26" s="22">
        <f t="shared" ca="1" si="16"/>
        <v>6</v>
      </c>
      <c r="Y26" s="5">
        <f t="shared" ca="1" si="1"/>
        <v>24</v>
      </c>
      <c r="Z26" s="5">
        <f t="shared" ca="1" si="2"/>
        <v>22</v>
      </c>
      <c r="AA26" s="28">
        <f t="shared" ca="1" si="17"/>
        <v>15</v>
      </c>
      <c r="AB26" s="29">
        <f t="shared" ca="1" si="17"/>
        <v>5</v>
      </c>
      <c r="AC26" s="28">
        <f t="shared" ca="1" si="17"/>
        <v>13</v>
      </c>
      <c r="AD26" s="29">
        <f t="shared" ca="1" si="17"/>
        <v>18</v>
      </c>
      <c r="AE26" s="28">
        <f t="shared" ca="1" si="17"/>
        <v>17</v>
      </c>
      <c r="AF26" s="29">
        <f t="shared" ca="1" si="17"/>
        <v>5</v>
      </c>
    </row>
    <row r="27" spans="1:32" x14ac:dyDescent="0.25">
      <c r="A27">
        <v>26</v>
      </c>
      <c r="B27">
        <f t="shared" ca="1" si="4"/>
        <v>25</v>
      </c>
      <c r="C27">
        <f t="shared" ca="1" si="5"/>
        <v>3</v>
      </c>
      <c r="D27">
        <f t="shared" ca="1" si="5"/>
        <v>2</v>
      </c>
      <c r="E27" t="s">
        <v>180</v>
      </c>
      <c r="F27">
        <f t="shared" ca="1" si="6"/>
        <v>0</v>
      </c>
      <c r="G27">
        <f t="shared" ca="1" si="6"/>
        <v>1</v>
      </c>
      <c r="H27">
        <f t="shared" ca="1" si="6"/>
        <v>0</v>
      </c>
      <c r="I27" s="14">
        <f t="shared" ca="1" si="7"/>
        <v>0</v>
      </c>
      <c r="J27" t="s">
        <v>127</v>
      </c>
      <c r="K27">
        <f t="shared" si="8"/>
        <v>0</v>
      </c>
      <c r="L27">
        <v>2</v>
      </c>
      <c r="M27" t="str">
        <f t="shared" si="9"/>
        <v>elephant</v>
      </c>
      <c r="N27">
        <f t="shared" ca="1" si="10"/>
        <v>95</v>
      </c>
      <c r="O27">
        <f t="shared" ca="1" si="11"/>
        <v>27</v>
      </c>
      <c r="P27">
        <f t="shared" ca="1" si="12"/>
        <v>38</v>
      </c>
      <c r="Q27" s="10">
        <f t="shared" ca="1" si="13"/>
        <v>27</v>
      </c>
      <c r="R27" s="10">
        <f t="shared" ca="1" si="14"/>
        <v>51</v>
      </c>
      <c r="S27" s="21">
        <f t="shared" ca="1" si="15"/>
        <v>17</v>
      </c>
      <c r="T27" s="22">
        <f t="shared" ca="1" si="15"/>
        <v>16</v>
      </c>
      <c r="U27" s="21">
        <f t="shared" ca="1" si="15"/>
        <v>4</v>
      </c>
      <c r="V27" s="22">
        <f t="shared" ca="1" si="15"/>
        <v>15</v>
      </c>
      <c r="W27" s="21">
        <f t="shared" ca="1" si="16"/>
        <v>6</v>
      </c>
      <c r="X27" s="22">
        <f t="shared" ca="1" si="16"/>
        <v>20</v>
      </c>
      <c r="Y27" s="5">
        <f t="shared" ca="1" si="1"/>
        <v>27</v>
      </c>
      <c r="Z27" s="5">
        <f t="shared" ca="1" si="2"/>
        <v>25</v>
      </c>
      <c r="AA27" s="28">
        <f t="shared" ca="1" si="17"/>
        <v>14</v>
      </c>
      <c r="AB27" s="29">
        <f t="shared" ca="1" si="17"/>
        <v>6</v>
      </c>
      <c r="AC27" s="28">
        <f t="shared" ca="1" si="17"/>
        <v>15</v>
      </c>
      <c r="AD27" s="29">
        <f t="shared" ca="1" si="17"/>
        <v>15</v>
      </c>
      <c r="AE27" s="28">
        <f t="shared" ca="1" si="17"/>
        <v>13</v>
      </c>
      <c r="AF27" s="29">
        <f t="shared" ca="1" si="17"/>
        <v>15</v>
      </c>
    </row>
    <row r="28" spans="1:32" x14ac:dyDescent="0.25">
      <c r="A28">
        <v>27</v>
      </c>
      <c r="B28">
        <f t="shared" ca="1" si="4"/>
        <v>18</v>
      </c>
      <c r="C28">
        <f t="shared" ca="1" si="5"/>
        <v>1</v>
      </c>
      <c r="D28">
        <f t="shared" ca="1" si="5"/>
        <v>2</v>
      </c>
      <c r="E28" t="s">
        <v>180</v>
      </c>
      <c r="F28">
        <f t="shared" ca="1" si="6"/>
        <v>1</v>
      </c>
      <c r="G28">
        <f t="shared" ca="1" si="6"/>
        <v>0</v>
      </c>
      <c r="H28">
        <f t="shared" ca="1" si="6"/>
        <v>0</v>
      </c>
      <c r="I28" s="14">
        <f t="shared" ca="1" si="7"/>
        <v>1</v>
      </c>
      <c r="J28" t="s">
        <v>126</v>
      </c>
      <c r="K28">
        <f t="shared" si="8"/>
        <v>1</v>
      </c>
      <c r="L28">
        <v>2</v>
      </c>
      <c r="M28" t="str">
        <f t="shared" si="9"/>
        <v>elephant</v>
      </c>
      <c r="N28">
        <f t="shared" ca="1" si="10"/>
        <v>87</v>
      </c>
      <c r="O28">
        <f t="shared" ca="1" si="11"/>
        <v>29.5</v>
      </c>
      <c r="P28">
        <f t="shared" ca="1" si="12"/>
        <v>26.5</v>
      </c>
      <c r="Q28" s="10">
        <f t="shared" ca="1" si="13"/>
        <v>37</v>
      </c>
      <c r="R28" s="10">
        <f t="shared" ca="1" si="14"/>
        <v>31</v>
      </c>
      <c r="S28" s="21">
        <f t="shared" ca="1" si="15"/>
        <v>14</v>
      </c>
      <c r="T28" s="22">
        <f t="shared" ca="1" si="15"/>
        <v>8</v>
      </c>
      <c r="U28" s="21">
        <f t="shared" ca="1" si="15"/>
        <v>17</v>
      </c>
      <c r="V28" s="22">
        <f t="shared" ca="1" si="15"/>
        <v>7</v>
      </c>
      <c r="W28" s="21">
        <f t="shared" ca="1" si="16"/>
        <v>6</v>
      </c>
      <c r="X28" s="22">
        <f t="shared" ca="1" si="16"/>
        <v>16</v>
      </c>
      <c r="Y28" s="5">
        <f t="shared" ca="1" si="1"/>
        <v>22</v>
      </c>
      <c r="Z28" s="5">
        <f t="shared" ca="1" si="2"/>
        <v>22</v>
      </c>
      <c r="AA28" s="28">
        <f t="shared" ca="1" si="17"/>
        <v>14</v>
      </c>
      <c r="AB28" s="29">
        <f t="shared" ca="1" si="17"/>
        <v>13</v>
      </c>
      <c r="AC28" s="28">
        <f t="shared" ca="1" si="17"/>
        <v>1</v>
      </c>
      <c r="AD28" s="29">
        <f t="shared" ca="1" si="17"/>
        <v>12</v>
      </c>
      <c r="AE28" s="28">
        <f t="shared" ca="1" si="17"/>
        <v>12</v>
      </c>
      <c r="AF28" s="29">
        <f t="shared" ca="1" si="17"/>
        <v>17</v>
      </c>
    </row>
    <row r="29" spans="1:32" x14ac:dyDescent="0.25">
      <c r="A29">
        <v>28</v>
      </c>
      <c r="B29">
        <f t="shared" ca="1" si="4"/>
        <v>25</v>
      </c>
      <c r="C29">
        <f t="shared" ca="1" si="5"/>
        <v>3</v>
      </c>
      <c r="D29">
        <f t="shared" ca="1" si="5"/>
        <v>1</v>
      </c>
      <c r="E29" t="s">
        <v>180</v>
      </c>
      <c r="F29">
        <f t="shared" ca="1" si="6"/>
        <v>1</v>
      </c>
      <c r="G29">
        <f t="shared" ca="1" si="6"/>
        <v>1</v>
      </c>
      <c r="H29">
        <f t="shared" ca="1" si="6"/>
        <v>1</v>
      </c>
      <c r="I29" s="14">
        <f t="shared" ca="1" si="7"/>
        <v>1</v>
      </c>
      <c r="J29" t="s">
        <v>127</v>
      </c>
      <c r="K29">
        <f t="shared" si="8"/>
        <v>0</v>
      </c>
      <c r="L29">
        <v>2</v>
      </c>
      <c r="M29" t="str">
        <f t="shared" si="9"/>
        <v>elephant</v>
      </c>
      <c r="N29">
        <f t="shared" ca="1" si="10"/>
        <v>13</v>
      </c>
      <c r="O29">
        <f t="shared" ca="1" si="11"/>
        <v>15.5</v>
      </c>
      <c r="P29">
        <f t="shared" ca="1" si="12"/>
        <v>15.5</v>
      </c>
      <c r="Q29" s="10">
        <f t="shared" ca="1" si="13"/>
        <v>30</v>
      </c>
      <c r="R29" s="10">
        <f t="shared" ca="1" si="14"/>
        <v>28</v>
      </c>
      <c r="S29" s="21">
        <f t="shared" ca="1" si="15"/>
        <v>19</v>
      </c>
      <c r="T29" s="22">
        <f t="shared" ca="1" si="15"/>
        <v>17</v>
      </c>
      <c r="U29" s="21">
        <f t="shared" ca="1" si="15"/>
        <v>10</v>
      </c>
      <c r="V29" s="22">
        <f t="shared" ca="1" si="15"/>
        <v>10</v>
      </c>
      <c r="W29" s="21">
        <f t="shared" ca="1" si="16"/>
        <v>1</v>
      </c>
      <c r="X29" s="22">
        <f t="shared" ca="1" si="16"/>
        <v>1</v>
      </c>
      <c r="Y29" s="5">
        <f t="shared" ca="1" si="1"/>
        <v>1</v>
      </c>
      <c r="Z29" s="5">
        <f t="shared" ca="1" si="2"/>
        <v>3</v>
      </c>
      <c r="AA29" s="28">
        <f t="shared" ca="1" si="17"/>
        <v>1</v>
      </c>
      <c r="AB29" s="29">
        <f t="shared" ca="1" si="17"/>
        <v>10</v>
      </c>
      <c r="AC29" s="28">
        <f t="shared" ca="1" si="17"/>
        <v>6</v>
      </c>
      <c r="AD29" s="29">
        <f t="shared" ca="1" si="17"/>
        <v>11</v>
      </c>
      <c r="AE29" s="28">
        <f t="shared" ca="1" si="17"/>
        <v>12</v>
      </c>
      <c r="AF29" s="29">
        <f t="shared" ca="1" si="17"/>
        <v>6</v>
      </c>
    </row>
    <row r="30" spans="1:32" x14ac:dyDescent="0.25">
      <c r="A30">
        <v>29</v>
      </c>
      <c r="B30">
        <f t="shared" ca="1" si="4"/>
        <v>25</v>
      </c>
      <c r="C30">
        <f t="shared" ca="1" si="5"/>
        <v>4</v>
      </c>
      <c r="D30">
        <f t="shared" ca="1" si="5"/>
        <v>1</v>
      </c>
      <c r="E30" t="s">
        <v>180</v>
      </c>
      <c r="F30">
        <f t="shared" ca="1" si="6"/>
        <v>1</v>
      </c>
      <c r="G30">
        <f t="shared" ca="1" si="6"/>
        <v>0</v>
      </c>
      <c r="H30">
        <f t="shared" ca="1" si="6"/>
        <v>0</v>
      </c>
      <c r="I30" s="14">
        <f t="shared" ca="1" si="7"/>
        <v>1</v>
      </c>
      <c r="J30" t="s">
        <v>126</v>
      </c>
      <c r="K30">
        <f t="shared" si="8"/>
        <v>1</v>
      </c>
      <c r="L30">
        <v>2</v>
      </c>
      <c r="M30" t="str">
        <f t="shared" si="9"/>
        <v>elephant</v>
      </c>
      <c r="N30">
        <f t="shared" ca="1" si="10"/>
        <v>50</v>
      </c>
      <c r="O30">
        <f t="shared" ca="1" si="11"/>
        <v>34.5</v>
      </c>
      <c r="P30">
        <f t="shared" ca="1" si="12"/>
        <v>31</v>
      </c>
      <c r="Q30" s="10">
        <f t="shared" ca="1" si="13"/>
        <v>36</v>
      </c>
      <c r="R30" s="10">
        <f t="shared" ca="1" si="14"/>
        <v>31</v>
      </c>
      <c r="S30" s="21">
        <f t="shared" ca="1" si="15"/>
        <v>14</v>
      </c>
      <c r="T30" s="22">
        <f t="shared" ca="1" si="15"/>
        <v>1</v>
      </c>
      <c r="U30" s="21">
        <f t="shared" ca="1" si="15"/>
        <v>4</v>
      </c>
      <c r="V30" s="22">
        <f t="shared" ca="1" si="15"/>
        <v>16</v>
      </c>
      <c r="W30" s="21">
        <f t="shared" ca="1" si="16"/>
        <v>18</v>
      </c>
      <c r="X30" s="22">
        <f t="shared" ca="1" si="16"/>
        <v>14</v>
      </c>
      <c r="Y30" s="5">
        <f t="shared" ca="1" si="1"/>
        <v>33</v>
      </c>
      <c r="Z30" s="5">
        <f t="shared" ca="1" si="2"/>
        <v>31</v>
      </c>
      <c r="AA30" s="28">
        <f t="shared" ca="1" si="17"/>
        <v>11</v>
      </c>
      <c r="AB30" s="29">
        <f t="shared" ca="1" si="17"/>
        <v>12</v>
      </c>
      <c r="AC30" s="28">
        <f t="shared" ca="1" si="17"/>
        <v>14</v>
      </c>
      <c r="AD30" s="29">
        <f t="shared" ca="1" si="17"/>
        <v>19</v>
      </c>
      <c r="AE30" s="28">
        <f t="shared" ca="1" si="17"/>
        <v>13</v>
      </c>
      <c r="AF30" s="29">
        <f t="shared" ca="1" si="17"/>
        <v>16</v>
      </c>
    </row>
    <row r="31" spans="1:32" x14ac:dyDescent="0.25">
      <c r="A31">
        <v>30</v>
      </c>
      <c r="B31">
        <f t="shared" ca="1" si="4"/>
        <v>19</v>
      </c>
      <c r="C31">
        <f t="shared" ca="1" si="5"/>
        <v>4</v>
      </c>
      <c r="D31">
        <f t="shared" ca="1" si="5"/>
        <v>1</v>
      </c>
      <c r="E31" t="s">
        <v>180</v>
      </c>
      <c r="F31">
        <f t="shared" ca="1" si="6"/>
        <v>0</v>
      </c>
      <c r="G31">
        <f t="shared" ca="1" si="6"/>
        <v>0</v>
      </c>
      <c r="H31">
        <f t="shared" ca="1" si="6"/>
        <v>0</v>
      </c>
      <c r="I31" s="14">
        <f t="shared" ca="1" si="7"/>
        <v>0</v>
      </c>
      <c r="J31" t="s">
        <v>127</v>
      </c>
      <c r="K31">
        <f t="shared" si="8"/>
        <v>0</v>
      </c>
      <c r="L31">
        <v>2</v>
      </c>
      <c r="M31" t="str">
        <f t="shared" si="9"/>
        <v>elephant</v>
      </c>
      <c r="N31">
        <f t="shared" ca="1" si="10"/>
        <v>51</v>
      </c>
      <c r="O31">
        <f t="shared" ca="1" si="11"/>
        <v>22</v>
      </c>
      <c r="P31">
        <f t="shared" ca="1" si="12"/>
        <v>28</v>
      </c>
      <c r="Q31" s="10">
        <f t="shared" ca="1" si="13"/>
        <v>28</v>
      </c>
      <c r="R31" s="10">
        <f t="shared" ca="1" si="14"/>
        <v>39</v>
      </c>
      <c r="S31" s="21">
        <f t="shared" ca="1" si="15"/>
        <v>11</v>
      </c>
      <c r="T31" s="22">
        <f t="shared" ca="1" si="15"/>
        <v>15</v>
      </c>
      <c r="U31" s="21">
        <f t="shared" ca="1" si="15"/>
        <v>11</v>
      </c>
      <c r="V31" s="22">
        <f t="shared" ca="1" si="15"/>
        <v>13</v>
      </c>
      <c r="W31" s="21">
        <f t="shared" ca="1" si="16"/>
        <v>6</v>
      </c>
      <c r="X31" s="22">
        <f t="shared" ca="1" si="16"/>
        <v>11</v>
      </c>
      <c r="Y31" s="5">
        <f t="shared" ca="1" si="1"/>
        <v>16</v>
      </c>
      <c r="Z31" s="5">
        <f t="shared" ca="1" si="2"/>
        <v>17</v>
      </c>
      <c r="AA31" s="28">
        <f t="shared" ca="1" si="17"/>
        <v>17</v>
      </c>
      <c r="AB31" s="29">
        <f t="shared" ca="1" si="17"/>
        <v>4</v>
      </c>
      <c r="AC31" s="28">
        <f t="shared" ca="1" si="17"/>
        <v>7</v>
      </c>
      <c r="AD31" s="29">
        <f t="shared" ca="1" si="17"/>
        <v>17</v>
      </c>
      <c r="AE31" s="28">
        <f t="shared" ca="1" si="17"/>
        <v>20</v>
      </c>
      <c r="AF31" s="29">
        <f t="shared" ca="1" si="17"/>
        <v>16</v>
      </c>
    </row>
    <row r="32" spans="1:32" x14ac:dyDescent="0.25">
      <c r="A32">
        <v>31</v>
      </c>
      <c r="B32">
        <f t="shared" ca="1" si="4"/>
        <v>22</v>
      </c>
      <c r="C32">
        <f t="shared" ca="1" si="5"/>
        <v>2</v>
      </c>
      <c r="D32">
        <f t="shared" ca="1" si="5"/>
        <v>2</v>
      </c>
      <c r="E32" t="s">
        <v>180</v>
      </c>
      <c r="F32">
        <f t="shared" ca="1" si="6"/>
        <v>0</v>
      </c>
      <c r="G32">
        <f t="shared" ca="1" si="6"/>
        <v>1</v>
      </c>
      <c r="H32">
        <f t="shared" ca="1" si="6"/>
        <v>1</v>
      </c>
      <c r="I32" s="14">
        <f t="shared" ca="1" si="7"/>
        <v>0</v>
      </c>
      <c r="J32" t="s">
        <v>126</v>
      </c>
      <c r="K32">
        <f t="shared" si="8"/>
        <v>1</v>
      </c>
      <c r="L32">
        <v>2</v>
      </c>
      <c r="M32" t="str">
        <f t="shared" si="9"/>
        <v>elephant</v>
      </c>
      <c r="N32">
        <f t="shared" ca="1" si="10"/>
        <v>80</v>
      </c>
      <c r="O32">
        <f t="shared" ca="1" si="11"/>
        <v>24</v>
      </c>
      <c r="P32">
        <f t="shared" ca="1" si="12"/>
        <v>19</v>
      </c>
      <c r="Q32" s="10">
        <f t="shared" ca="1" si="13"/>
        <v>28</v>
      </c>
      <c r="R32" s="10">
        <f t="shared" ca="1" si="14"/>
        <v>18</v>
      </c>
      <c r="S32" s="21">
        <f t="shared" ca="1" si="15"/>
        <v>14</v>
      </c>
      <c r="T32" s="22">
        <f t="shared" ca="1" si="15"/>
        <v>2</v>
      </c>
      <c r="U32" s="21">
        <f t="shared" ca="1" si="15"/>
        <v>4</v>
      </c>
      <c r="V32" s="22">
        <f t="shared" ca="1" si="15"/>
        <v>5</v>
      </c>
      <c r="W32" s="21">
        <f t="shared" ca="1" si="16"/>
        <v>10</v>
      </c>
      <c r="X32" s="22">
        <f t="shared" ca="1" si="16"/>
        <v>11</v>
      </c>
      <c r="Y32" s="5">
        <f t="shared" ca="1" si="1"/>
        <v>20</v>
      </c>
      <c r="Z32" s="5">
        <f t="shared" ca="1" si="2"/>
        <v>20</v>
      </c>
      <c r="AA32" s="28">
        <f t="shared" ca="1" si="17"/>
        <v>19</v>
      </c>
      <c r="AB32" s="29">
        <f t="shared" ca="1" si="17"/>
        <v>12</v>
      </c>
      <c r="AC32" s="28">
        <f t="shared" ca="1" si="17"/>
        <v>3</v>
      </c>
      <c r="AD32" s="29">
        <f t="shared" ca="1" si="17"/>
        <v>0</v>
      </c>
      <c r="AE32" s="28">
        <f t="shared" ca="1" si="17"/>
        <v>15</v>
      </c>
      <c r="AF32" s="29">
        <f t="shared" ca="1" si="17"/>
        <v>11</v>
      </c>
    </row>
    <row r="33" spans="1:32" ht="15.75" thickBot="1" x14ac:dyDescent="0.3">
      <c r="A33">
        <v>32</v>
      </c>
      <c r="B33">
        <f t="shared" ca="1" si="4"/>
        <v>18</v>
      </c>
      <c r="C33">
        <f t="shared" ca="1" si="5"/>
        <v>1</v>
      </c>
      <c r="D33">
        <f t="shared" ca="1" si="5"/>
        <v>2</v>
      </c>
      <c r="E33" t="s">
        <v>180</v>
      </c>
      <c r="F33">
        <f t="shared" ca="1" si="6"/>
        <v>1</v>
      </c>
      <c r="G33">
        <f t="shared" ca="1" si="6"/>
        <v>0</v>
      </c>
      <c r="H33">
        <f t="shared" ca="1" si="6"/>
        <v>0</v>
      </c>
      <c r="I33" s="14">
        <f t="shared" ca="1" si="7"/>
        <v>0</v>
      </c>
      <c r="J33" t="s">
        <v>127</v>
      </c>
      <c r="K33">
        <f t="shared" si="8"/>
        <v>0</v>
      </c>
      <c r="L33">
        <v>2</v>
      </c>
      <c r="M33" t="str">
        <f t="shared" si="9"/>
        <v>elephant</v>
      </c>
      <c r="N33">
        <f t="shared" ca="1" si="10"/>
        <v>90</v>
      </c>
      <c r="O33">
        <f t="shared" ca="1" si="11"/>
        <v>24</v>
      </c>
      <c r="P33">
        <f t="shared" ca="1" si="12"/>
        <v>22</v>
      </c>
      <c r="Q33" s="10">
        <f t="shared" ca="1" si="13"/>
        <v>28</v>
      </c>
      <c r="R33" s="10">
        <f t="shared" ca="1" si="14"/>
        <v>25</v>
      </c>
      <c r="S33" s="23">
        <f t="shared" ca="1" si="15"/>
        <v>8</v>
      </c>
      <c r="T33" s="24">
        <f t="shared" ca="1" si="15"/>
        <v>7</v>
      </c>
      <c r="U33" s="23">
        <f t="shared" ca="1" si="15"/>
        <v>1</v>
      </c>
      <c r="V33" s="24">
        <f t="shared" ca="1" si="15"/>
        <v>17</v>
      </c>
      <c r="W33" s="23">
        <f t="shared" ca="1" si="16"/>
        <v>19</v>
      </c>
      <c r="X33" s="24">
        <f t="shared" ca="1" si="16"/>
        <v>1</v>
      </c>
      <c r="Y33" s="5">
        <f t="shared" ca="1" si="1"/>
        <v>20</v>
      </c>
      <c r="Z33" s="5">
        <f t="shared" ca="1" si="2"/>
        <v>19</v>
      </c>
      <c r="AA33" s="30">
        <f t="shared" ca="1" si="17"/>
        <v>8</v>
      </c>
      <c r="AB33" s="31">
        <f t="shared" ca="1" si="17"/>
        <v>6</v>
      </c>
      <c r="AC33" s="30">
        <f t="shared" ca="1" si="17"/>
        <v>12</v>
      </c>
      <c r="AD33" s="31">
        <f t="shared" ca="1" si="17"/>
        <v>5</v>
      </c>
      <c r="AE33" s="30">
        <f t="shared" ca="1" si="17"/>
        <v>4</v>
      </c>
      <c r="AF33" s="31">
        <f t="shared" ca="1" si="17"/>
        <v>12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F11" sqref="F11"/>
    </sheetView>
  </sheetViews>
  <sheetFormatPr defaultRowHeight="15" x14ac:dyDescent="0.25"/>
  <cols>
    <col min="1" max="1" width="14.7109375" bestFit="1" customWidth="1"/>
    <col min="2" max="2" width="4" bestFit="1" customWidth="1"/>
    <col min="3" max="3" width="10.85546875" bestFit="1" customWidth="1"/>
    <col min="4" max="4" width="11.7109375" bestFit="1" customWidth="1"/>
  </cols>
  <sheetData>
    <row r="1" spans="1:16" x14ac:dyDescent="0.25">
      <c r="A1" t="s">
        <v>87</v>
      </c>
      <c r="B1" t="s">
        <v>88</v>
      </c>
      <c r="C1" t="s">
        <v>89</v>
      </c>
      <c r="D1" t="s">
        <v>92</v>
      </c>
      <c r="E1" t="s">
        <v>91</v>
      </c>
      <c r="F1" t="s">
        <v>90</v>
      </c>
      <c r="G1" t="s">
        <v>95</v>
      </c>
      <c r="H1" t="s">
        <v>96</v>
      </c>
      <c r="I1" t="s">
        <v>93</v>
      </c>
      <c r="J1" t="s">
        <v>94</v>
      </c>
      <c r="K1" t="s">
        <v>97</v>
      </c>
      <c r="L1" t="s">
        <v>98</v>
      </c>
      <c r="M1" t="s">
        <v>99</v>
      </c>
      <c r="N1" t="s">
        <v>100</v>
      </c>
      <c r="O1" t="s">
        <v>183</v>
      </c>
      <c r="P1" t="s">
        <v>184</v>
      </c>
    </row>
    <row r="2" spans="1:16" x14ac:dyDescent="0.25">
      <c r="A2" t="s">
        <v>113</v>
      </c>
      <c r="B2">
        <f ca="1">RANDBETWEEN(50,100)*2</f>
        <v>180</v>
      </c>
      <c r="C2">
        <f ca="1">B2/2</f>
        <v>90</v>
      </c>
      <c r="D2">
        <f ca="1">C2</f>
        <v>90</v>
      </c>
      <c r="E2">
        <f ca="1">B2-C2</f>
        <v>90</v>
      </c>
      <c r="F2">
        <f ca="1">E2</f>
        <v>90</v>
      </c>
      <c r="G2" s="11">
        <f ca="1">RAND()+0.1</f>
        <v>0.4039171051033793</v>
      </c>
      <c r="H2" s="11">
        <f ca="1">RAND()+0.1</f>
        <v>1.0800371745982913</v>
      </c>
      <c r="I2" s="11">
        <f ca="1">RAND()+0.1</f>
        <v>0.92903584690515861</v>
      </c>
      <c r="J2" s="11">
        <f ca="1">RAND()+0.1</f>
        <v>0.93684019803592877</v>
      </c>
      <c r="K2" s="11">
        <f ca="1">G2*0.3</f>
        <v>0.12117513153101378</v>
      </c>
      <c r="L2" s="11">
        <f t="shared" ref="L2:N2" ca="1" si="0">H2*0.3</f>
        <v>0.32401115237948735</v>
      </c>
      <c r="M2" s="11">
        <f t="shared" ca="1" si="0"/>
        <v>0.27871075407154755</v>
      </c>
      <c r="N2" s="11">
        <f t="shared" ca="1" si="0"/>
        <v>0.2810520594107786</v>
      </c>
      <c r="O2" s="11">
        <f ca="1">RAND()</f>
        <v>0.3349709153970668</v>
      </c>
      <c r="P2" s="11">
        <f ca="1">RAND()</f>
        <v>0.78774789835911996</v>
      </c>
    </row>
    <row r="3" spans="1:16" x14ac:dyDescent="0.25">
      <c r="A3" t="s">
        <v>114</v>
      </c>
      <c r="B3">
        <f t="shared" ref="B3:B9" ca="1" si="1">RANDBETWEEN(50,100)*2</f>
        <v>126</v>
      </c>
      <c r="C3">
        <f t="shared" ref="C3:C9" ca="1" si="2">B3/2</f>
        <v>63</v>
      </c>
      <c r="D3">
        <f t="shared" ref="D3:D9" ca="1" si="3">C3</f>
        <v>63</v>
      </c>
      <c r="E3">
        <f t="shared" ref="E3:E9" ca="1" si="4">B3-C3</f>
        <v>63</v>
      </c>
      <c r="F3">
        <f t="shared" ref="F3:F9" ca="1" si="5">E3</f>
        <v>63</v>
      </c>
      <c r="G3" s="11">
        <f t="shared" ref="G3:J9" ca="1" si="6">RAND()+0.1</f>
        <v>1.001142850159058</v>
      </c>
      <c r="H3" s="11">
        <f t="shared" ca="1" si="6"/>
        <v>0.63719560197120895</v>
      </c>
      <c r="I3" s="11">
        <f t="shared" ca="1" si="6"/>
        <v>0.60979830257161205</v>
      </c>
      <c r="J3" s="11">
        <f t="shared" ca="1" si="6"/>
        <v>0.13730371982144721</v>
      </c>
      <c r="K3" s="11">
        <f t="shared" ref="K3:K9" ca="1" si="7">G3*0.3</f>
        <v>0.30034285504771741</v>
      </c>
      <c r="L3" s="11">
        <f t="shared" ref="L3:L9" ca="1" si="8">H3*0.3</f>
        <v>0.19115868059136268</v>
      </c>
      <c r="M3" s="11">
        <f t="shared" ref="M3:M9" ca="1" si="9">I3*0.3</f>
        <v>0.18293949077148361</v>
      </c>
      <c r="N3" s="11">
        <f t="shared" ref="N3:N9" ca="1" si="10">J3*0.3</f>
        <v>4.1191115946434161E-2</v>
      </c>
      <c r="O3" s="11">
        <f t="shared" ref="O3:P9" ca="1" si="11">RAND()</f>
        <v>0.48502694329046014</v>
      </c>
      <c r="P3" s="11">
        <f t="shared" ca="1" si="11"/>
        <v>0.4582417403697755</v>
      </c>
    </row>
    <row r="4" spans="1:16" x14ac:dyDescent="0.25">
      <c r="A4" t="s">
        <v>115</v>
      </c>
      <c r="B4">
        <f t="shared" ca="1" si="1"/>
        <v>182</v>
      </c>
      <c r="C4">
        <f t="shared" ca="1" si="2"/>
        <v>91</v>
      </c>
      <c r="D4">
        <f t="shared" ca="1" si="3"/>
        <v>91</v>
      </c>
      <c r="E4">
        <f t="shared" ca="1" si="4"/>
        <v>91</v>
      </c>
      <c r="F4">
        <f t="shared" ca="1" si="5"/>
        <v>91</v>
      </c>
      <c r="G4" s="11">
        <f t="shared" ca="1" si="6"/>
        <v>0.95323461830222989</v>
      </c>
      <c r="H4" s="11">
        <f t="shared" ca="1" si="6"/>
        <v>0.43803100049014521</v>
      </c>
      <c r="I4" s="11">
        <f t="shared" ca="1" si="6"/>
        <v>0.70558340943838116</v>
      </c>
      <c r="J4" s="11">
        <f t="shared" ca="1" si="6"/>
        <v>0.33069224743466596</v>
      </c>
      <c r="K4" s="11">
        <f t="shared" ca="1" si="7"/>
        <v>0.28597038549066894</v>
      </c>
      <c r="L4" s="11">
        <f t="shared" ca="1" si="8"/>
        <v>0.13140930014704355</v>
      </c>
      <c r="M4" s="11">
        <f t="shared" ca="1" si="9"/>
        <v>0.21167502283151435</v>
      </c>
      <c r="N4" s="11">
        <f t="shared" ca="1" si="10"/>
        <v>9.9207674230399792E-2</v>
      </c>
      <c r="O4" s="11">
        <f t="shared" ca="1" si="11"/>
        <v>8.5278447615106834E-2</v>
      </c>
      <c r="P4" s="11">
        <f t="shared" ca="1" si="11"/>
        <v>0.9490562300919041</v>
      </c>
    </row>
    <row r="5" spans="1:16" x14ac:dyDescent="0.25">
      <c r="A5" t="s">
        <v>107</v>
      </c>
      <c r="B5">
        <f t="shared" ca="1" si="1"/>
        <v>122</v>
      </c>
      <c r="C5">
        <f t="shared" ca="1" si="2"/>
        <v>61</v>
      </c>
      <c r="D5">
        <f t="shared" ca="1" si="3"/>
        <v>61</v>
      </c>
      <c r="E5">
        <f t="shared" ca="1" si="4"/>
        <v>61</v>
      </c>
      <c r="F5">
        <f t="shared" ca="1" si="5"/>
        <v>61</v>
      </c>
      <c r="G5" s="11">
        <f t="shared" ca="1" si="6"/>
        <v>0.61422426056937129</v>
      </c>
      <c r="H5" s="11">
        <f t="shared" ca="1" si="6"/>
        <v>0.42176562922380656</v>
      </c>
      <c r="I5" s="11">
        <f t="shared" ca="1" si="6"/>
        <v>1.0917255631381744</v>
      </c>
      <c r="J5" s="11">
        <f t="shared" ca="1" si="6"/>
        <v>0.11188805495793666</v>
      </c>
      <c r="K5" s="11">
        <f t="shared" ca="1" si="7"/>
        <v>0.18426727817081137</v>
      </c>
      <c r="L5" s="11">
        <f t="shared" ca="1" si="8"/>
        <v>0.12652968876714196</v>
      </c>
      <c r="M5" s="11">
        <f t="shared" ca="1" si="9"/>
        <v>0.32751766894145229</v>
      </c>
      <c r="N5" s="11">
        <f t="shared" ca="1" si="10"/>
        <v>3.3566416487380998E-2</v>
      </c>
      <c r="O5" s="11">
        <f t="shared" ca="1" si="11"/>
        <v>0.29306005343748731</v>
      </c>
      <c r="P5" s="11">
        <f t="shared" ca="1" si="11"/>
        <v>0.30089861867098544</v>
      </c>
    </row>
    <row r="6" spans="1:16" x14ac:dyDescent="0.25">
      <c r="A6" t="s">
        <v>108</v>
      </c>
      <c r="B6">
        <f t="shared" ca="1" si="1"/>
        <v>180</v>
      </c>
      <c r="C6">
        <f t="shared" ca="1" si="2"/>
        <v>90</v>
      </c>
      <c r="D6">
        <f t="shared" ca="1" si="3"/>
        <v>90</v>
      </c>
      <c r="E6">
        <f t="shared" ca="1" si="4"/>
        <v>90</v>
      </c>
      <c r="F6">
        <f t="shared" ca="1" si="5"/>
        <v>90</v>
      </c>
      <c r="G6" s="11">
        <f t="shared" ca="1" si="6"/>
        <v>0.2397081581081362</v>
      </c>
      <c r="H6" s="11">
        <f t="shared" ca="1" si="6"/>
        <v>0.47150722942473777</v>
      </c>
      <c r="I6" s="11">
        <f t="shared" ca="1" si="6"/>
        <v>0.89313226812740576</v>
      </c>
      <c r="J6" s="11">
        <f t="shared" ca="1" si="6"/>
        <v>0.12182008564256078</v>
      </c>
      <c r="K6" s="11">
        <f t="shared" ca="1" si="7"/>
        <v>7.1912447432440851E-2</v>
      </c>
      <c r="L6" s="11">
        <f t="shared" ca="1" si="8"/>
        <v>0.14145216882742132</v>
      </c>
      <c r="M6" s="11">
        <f t="shared" ca="1" si="9"/>
        <v>0.26793968043822169</v>
      </c>
      <c r="N6" s="11">
        <f t="shared" ca="1" si="10"/>
        <v>3.6546025692768234E-2</v>
      </c>
      <c r="O6" s="11">
        <f t="shared" ca="1" si="11"/>
        <v>0.69497569626230227</v>
      </c>
      <c r="P6" s="11">
        <f t="shared" ca="1" si="11"/>
        <v>0.5047464591787969</v>
      </c>
    </row>
    <row r="7" spans="1:16" x14ac:dyDescent="0.25">
      <c r="A7" t="s">
        <v>109</v>
      </c>
      <c r="B7">
        <f t="shared" ca="1" si="1"/>
        <v>166</v>
      </c>
      <c r="C7">
        <f t="shared" ca="1" si="2"/>
        <v>83</v>
      </c>
      <c r="D7">
        <f t="shared" ca="1" si="3"/>
        <v>83</v>
      </c>
      <c r="E7">
        <f t="shared" ca="1" si="4"/>
        <v>83</v>
      </c>
      <c r="F7">
        <f t="shared" ca="1" si="5"/>
        <v>83</v>
      </c>
      <c r="G7" s="11">
        <f t="shared" ca="1" si="6"/>
        <v>0.55111286868730802</v>
      </c>
      <c r="H7" s="11">
        <f t="shared" ca="1" si="6"/>
        <v>0.21031994278239388</v>
      </c>
      <c r="I7" s="11">
        <f t="shared" ca="1" si="6"/>
        <v>0.4733258310845595</v>
      </c>
      <c r="J7" s="11">
        <f t="shared" ca="1" si="6"/>
        <v>0.51560400582862964</v>
      </c>
      <c r="K7" s="11">
        <f t="shared" ca="1" si="7"/>
        <v>0.1653338606061924</v>
      </c>
      <c r="L7" s="11">
        <f t="shared" ca="1" si="8"/>
        <v>6.3095982834718164E-2</v>
      </c>
      <c r="M7" s="11">
        <f t="shared" ca="1" si="9"/>
        <v>0.14199774932536785</v>
      </c>
      <c r="N7" s="11">
        <f t="shared" ca="1" si="10"/>
        <v>0.15468120174858888</v>
      </c>
      <c r="O7" s="11">
        <f t="shared" ca="1" si="11"/>
        <v>0.22147846706540975</v>
      </c>
      <c r="P7" s="11">
        <f t="shared" ca="1" si="11"/>
        <v>0.35040575431223331</v>
      </c>
    </row>
    <row r="8" spans="1:16" x14ac:dyDescent="0.25">
      <c r="A8" t="s">
        <v>116</v>
      </c>
      <c r="B8">
        <f t="shared" ca="1" si="1"/>
        <v>136</v>
      </c>
      <c r="C8">
        <f t="shared" ca="1" si="2"/>
        <v>68</v>
      </c>
      <c r="D8">
        <f t="shared" ca="1" si="3"/>
        <v>68</v>
      </c>
      <c r="E8">
        <f t="shared" ca="1" si="4"/>
        <v>68</v>
      </c>
      <c r="F8">
        <f t="shared" ca="1" si="5"/>
        <v>68</v>
      </c>
      <c r="G8" s="11">
        <f t="shared" ca="1" si="6"/>
        <v>1.0903846755782334</v>
      </c>
      <c r="H8" s="11">
        <f t="shared" ca="1" si="6"/>
        <v>0.32348354184513695</v>
      </c>
      <c r="I8" s="11">
        <f t="shared" ca="1" si="6"/>
        <v>0.60644612254585706</v>
      </c>
      <c r="J8" s="11">
        <f t="shared" ca="1" si="6"/>
        <v>0.67957477069319316</v>
      </c>
      <c r="K8" s="11">
        <f t="shared" ca="1" si="7"/>
        <v>0.32711540267347</v>
      </c>
      <c r="L8" s="11">
        <f t="shared" ca="1" si="8"/>
        <v>9.7045062553541075E-2</v>
      </c>
      <c r="M8" s="11">
        <f t="shared" ca="1" si="9"/>
        <v>0.1819338367637571</v>
      </c>
      <c r="N8" s="11">
        <f t="shared" ca="1" si="10"/>
        <v>0.20387243120795795</v>
      </c>
      <c r="O8" s="11">
        <f t="shared" ca="1" si="11"/>
        <v>0.49427421909111391</v>
      </c>
      <c r="P8" s="11">
        <f t="shared" ca="1" si="11"/>
        <v>0.42714564768733865</v>
      </c>
    </row>
    <row r="9" spans="1:16" x14ac:dyDescent="0.25">
      <c r="A9" t="s">
        <v>117</v>
      </c>
      <c r="B9">
        <f t="shared" ca="1" si="1"/>
        <v>162</v>
      </c>
      <c r="C9">
        <f t="shared" ca="1" si="2"/>
        <v>81</v>
      </c>
      <c r="D9">
        <f t="shared" ca="1" si="3"/>
        <v>81</v>
      </c>
      <c r="E9">
        <f t="shared" ca="1" si="4"/>
        <v>81</v>
      </c>
      <c r="F9">
        <f t="shared" ca="1" si="5"/>
        <v>81</v>
      </c>
      <c r="G9" s="11">
        <f t="shared" ca="1" si="6"/>
        <v>0.94135638473299954</v>
      </c>
      <c r="H9" s="11">
        <f t="shared" ca="1" si="6"/>
        <v>1.0444105312768943</v>
      </c>
      <c r="I9" s="11">
        <f t="shared" ca="1" si="6"/>
        <v>0.52497300984356532</v>
      </c>
      <c r="J9" s="11">
        <f t="shared" ca="1" si="6"/>
        <v>0.86484327948050299</v>
      </c>
      <c r="K9" s="11">
        <f t="shared" ca="1" si="7"/>
        <v>0.28240691541989987</v>
      </c>
      <c r="L9" s="11">
        <f t="shared" ca="1" si="8"/>
        <v>0.31332315938306826</v>
      </c>
      <c r="M9" s="11">
        <f t="shared" ca="1" si="9"/>
        <v>0.15749190295306958</v>
      </c>
      <c r="N9" s="11">
        <f t="shared" ca="1" si="10"/>
        <v>0.25945298384415089</v>
      </c>
      <c r="O9" s="11">
        <f t="shared" ca="1" si="11"/>
        <v>0.91409939280919916</v>
      </c>
      <c r="P9" s="11">
        <f t="shared" ca="1" si="11"/>
        <v>0.11239771389901698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2" sqref="J2"/>
    </sheetView>
  </sheetViews>
  <sheetFormatPr defaultRowHeight="15" x14ac:dyDescent="0.25"/>
  <cols>
    <col min="1" max="1" width="14.7109375" bestFit="1" customWidth="1"/>
    <col min="2" max="2" width="4" bestFit="1" customWidth="1"/>
    <col min="3" max="3" width="10.85546875" bestFit="1" customWidth="1"/>
  </cols>
  <sheetData>
    <row r="1" spans="1:10" x14ac:dyDescent="0.25">
      <c r="A1" t="s">
        <v>87</v>
      </c>
      <c r="B1" t="s">
        <v>88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183</v>
      </c>
      <c r="J1" t="s">
        <v>184</v>
      </c>
    </row>
    <row r="2" spans="1:10" x14ac:dyDescent="0.25">
      <c r="A2" t="s">
        <v>113</v>
      </c>
      <c r="B2">
        <f ca="1">RANDBETWEEN(50,100)*2</f>
        <v>106</v>
      </c>
      <c r="C2">
        <f ca="1">B2/2</f>
        <v>53</v>
      </c>
      <c r="D2">
        <f t="shared" ref="D2:D9" ca="1" si="0">B2-C2</f>
        <v>53</v>
      </c>
      <c r="E2" s="11">
        <f ca="1">RAND()+0.1</f>
        <v>0.32378473492660986</v>
      </c>
      <c r="F2" s="11">
        <f ca="1">RAND()+0.1</f>
        <v>0.7335068236001171</v>
      </c>
      <c r="G2" s="11">
        <f t="shared" ref="G2:H9" ca="1" si="1">E2*0.3</f>
        <v>9.7135420477982959E-2</v>
      </c>
      <c r="H2" s="11">
        <f t="shared" ca="1" si="1"/>
        <v>0.22005204708003512</v>
      </c>
      <c r="I2" s="11">
        <f ca="1">RAND()</f>
        <v>0.77991522056305718</v>
      </c>
      <c r="J2" s="11">
        <f ca="1">RAND()</f>
        <v>0.42039181399540448</v>
      </c>
    </row>
    <row r="3" spans="1:10" x14ac:dyDescent="0.25">
      <c r="A3" t="s">
        <v>114</v>
      </c>
      <c r="B3">
        <f t="shared" ref="B3:B9" ca="1" si="2">RANDBETWEEN(50,100)*2</f>
        <v>126</v>
      </c>
      <c r="C3">
        <f t="shared" ref="C3:C9" ca="1" si="3">B3/2</f>
        <v>63</v>
      </c>
      <c r="D3">
        <f t="shared" ca="1" si="0"/>
        <v>63</v>
      </c>
      <c r="E3" s="11">
        <f t="shared" ref="E3:F9" ca="1" si="4">RAND()+0.1</f>
        <v>0.49760133950463448</v>
      </c>
      <c r="F3" s="11">
        <f t="shared" ca="1" si="4"/>
        <v>0.79192132837654372</v>
      </c>
      <c r="G3" s="11">
        <f t="shared" ca="1" si="1"/>
        <v>0.14928040185139033</v>
      </c>
      <c r="H3" s="11">
        <f t="shared" ca="1" si="1"/>
        <v>0.23757639851296311</v>
      </c>
      <c r="I3" s="11">
        <f t="shared" ref="I3:J9" ca="1" si="5">RAND()</f>
        <v>0.4297460442275074</v>
      </c>
      <c r="J3" s="11">
        <f t="shared" ca="1" si="5"/>
        <v>1.4419353780360522E-2</v>
      </c>
    </row>
    <row r="4" spans="1:10" x14ac:dyDescent="0.25">
      <c r="A4" t="s">
        <v>115</v>
      </c>
      <c r="B4">
        <f t="shared" ca="1" si="2"/>
        <v>108</v>
      </c>
      <c r="C4">
        <f t="shared" ca="1" si="3"/>
        <v>54</v>
      </c>
      <c r="D4">
        <f t="shared" ca="1" si="0"/>
        <v>54</v>
      </c>
      <c r="E4" s="11">
        <f t="shared" ca="1" si="4"/>
        <v>0.32874637934093442</v>
      </c>
      <c r="F4" s="11">
        <f t="shared" ca="1" si="4"/>
        <v>0.56597050539588512</v>
      </c>
      <c r="G4" s="11">
        <f t="shared" ca="1" si="1"/>
        <v>9.8623913802280319E-2</v>
      </c>
      <c r="H4" s="11">
        <f t="shared" ca="1" si="1"/>
        <v>0.16979115161876554</v>
      </c>
      <c r="I4" s="11">
        <f t="shared" ca="1" si="5"/>
        <v>0.72355980368806527</v>
      </c>
      <c r="J4" s="11">
        <f t="shared" ca="1" si="5"/>
        <v>0.18415711453166916</v>
      </c>
    </row>
    <row r="5" spans="1:10" x14ac:dyDescent="0.25">
      <c r="A5" t="s">
        <v>107</v>
      </c>
      <c r="B5">
        <f t="shared" ca="1" si="2"/>
        <v>186</v>
      </c>
      <c r="C5">
        <f t="shared" ca="1" si="3"/>
        <v>93</v>
      </c>
      <c r="D5">
        <f t="shared" ca="1" si="0"/>
        <v>93</v>
      </c>
      <c r="E5" s="11">
        <f t="shared" ca="1" si="4"/>
        <v>1.0832047751893565</v>
      </c>
      <c r="F5" s="11">
        <f t="shared" ca="1" si="4"/>
        <v>0.7851703853452211</v>
      </c>
      <c r="G5" s="11">
        <f t="shared" ca="1" si="1"/>
        <v>0.32496143255680693</v>
      </c>
      <c r="H5" s="11">
        <f t="shared" ca="1" si="1"/>
        <v>0.23555111560356631</v>
      </c>
      <c r="I5" s="11">
        <f t="shared" ca="1" si="5"/>
        <v>0.51401363161996694</v>
      </c>
      <c r="J5" s="11">
        <f t="shared" ca="1" si="5"/>
        <v>0.12410333190072176</v>
      </c>
    </row>
    <row r="6" spans="1:10" x14ac:dyDescent="0.25">
      <c r="A6" t="s">
        <v>108</v>
      </c>
      <c r="B6">
        <f t="shared" ca="1" si="2"/>
        <v>180</v>
      </c>
      <c r="C6">
        <f t="shared" ca="1" si="3"/>
        <v>90</v>
      </c>
      <c r="D6">
        <f t="shared" ca="1" si="0"/>
        <v>90</v>
      </c>
      <c r="E6" s="11">
        <f t="shared" ca="1" si="4"/>
        <v>0.17520304231590236</v>
      </c>
      <c r="F6" s="11">
        <f t="shared" ca="1" si="4"/>
        <v>0.50405214078557958</v>
      </c>
      <c r="G6" s="11">
        <f t="shared" ca="1" si="1"/>
        <v>5.2560912694770708E-2</v>
      </c>
      <c r="H6" s="11">
        <f t="shared" ca="1" si="1"/>
        <v>0.15121564223567388</v>
      </c>
      <c r="I6" s="11">
        <f t="shared" ca="1" si="5"/>
        <v>0.30483273054570548</v>
      </c>
      <c r="J6" s="11">
        <f t="shared" ca="1" si="5"/>
        <v>0.74487059180575832</v>
      </c>
    </row>
    <row r="7" spans="1:10" x14ac:dyDescent="0.25">
      <c r="A7" t="s">
        <v>109</v>
      </c>
      <c r="B7">
        <f t="shared" ca="1" si="2"/>
        <v>112</v>
      </c>
      <c r="C7">
        <f t="shared" ca="1" si="3"/>
        <v>56</v>
      </c>
      <c r="D7">
        <f t="shared" ca="1" si="0"/>
        <v>56</v>
      </c>
      <c r="E7" s="11">
        <f t="shared" ca="1" si="4"/>
        <v>0.43449125163993274</v>
      </c>
      <c r="F7" s="11">
        <f t="shared" ca="1" si="4"/>
        <v>0.79999050458397647</v>
      </c>
      <c r="G7" s="11">
        <f t="shared" ca="1" si="1"/>
        <v>0.13034737549197981</v>
      </c>
      <c r="H7" s="11">
        <f t="shared" ca="1" si="1"/>
        <v>0.23999715137519292</v>
      </c>
      <c r="I7" s="11">
        <f t="shared" ca="1" si="5"/>
        <v>0.20664601724152132</v>
      </c>
      <c r="J7" s="11">
        <f t="shared" ca="1" si="5"/>
        <v>0.57643777740778457</v>
      </c>
    </row>
    <row r="8" spans="1:10" x14ac:dyDescent="0.25">
      <c r="A8" t="s">
        <v>116</v>
      </c>
      <c r="B8">
        <f t="shared" ca="1" si="2"/>
        <v>194</v>
      </c>
      <c r="C8">
        <f t="shared" ca="1" si="3"/>
        <v>97</v>
      </c>
      <c r="D8">
        <f t="shared" ca="1" si="0"/>
        <v>97</v>
      </c>
      <c r="E8" s="11">
        <f t="shared" ca="1" si="4"/>
        <v>0.81925043079222881</v>
      </c>
      <c r="F8" s="11">
        <f t="shared" ca="1" si="4"/>
        <v>0.16139097464404253</v>
      </c>
      <c r="G8" s="11">
        <f t="shared" ca="1" si="1"/>
        <v>0.24577512923766864</v>
      </c>
      <c r="H8" s="11">
        <f t="shared" ca="1" si="1"/>
        <v>4.8417292393212762E-2</v>
      </c>
      <c r="I8" s="11">
        <f t="shared" ca="1" si="5"/>
        <v>0.38036412474427739</v>
      </c>
      <c r="J8" s="11">
        <f t="shared" ca="1" si="5"/>
        <v>0.30698938266420639</v>
      </c>
    </row>
    <row r="9" spans="1:10" x14ac:dyDescent="0.25">
      <c r="A9" t="s">
        <v>117</v>
      </c>
      <c r="B9">
        <f t="shared" ca="1" si="2"/>
        <v>108</v>
      </c>
      <c r="C9">
        <f t="shared" ca="1" si="3"/>
        <v>54</v>
      </c>
      <c r="D9">
        <f t="shared" ca="1" si="0"/>
        <v>54</v>
      </c>
      <c r="E9" s="11">
        <f t="shared" ca="1" si="4"/>
        <v>0.57501849806034666</v>
      </c>
      <c r="F9" s="11">
        <f t="shared" ca="1" si="4"/>
        <v>0.88505446642456875</v>
      </c>
      <c r="G9" s="11">
        <f t="shared" ca="1" si="1"/>
        <v>0.172505549418104</v>
      </c>
      <c r="H9" s="11">
        <f t="shared" ca="1" si="1"/>
        <v>0.26551633992737061</v>
      </c>
      <c r="I9" s="11">
        <f t="shared" ca="1" si="5"/>
        <v>0.6907018689119685</v>
      </c>
      <c r="J9" s="11">
        <f t="shared" ca="1" si="5"/>
        <v>0.30467972431541379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opLeftCell="A22" workbookViewId="0">
      <selection activeCell="C2" sqref="C2"/>
    </sheetView>
  </sheetViews>
  <sheetFormatPr defaultRowHeight="15" x14ac:dyDescent="0.25"/>
  <cols>
    <col min="1" max="1" width="19.28515625" bestFit="1" customWidth="1"/>
  </cols>
  <sheetData>
    <row r="1" spans="1:5" x14ac:dyDescent="0.25">
      <c r="A1" t="s">
        <v>87</v>
      </c>
      <c r="B1" t="s">
        <v>88</v>
      </c>
      <c r="C1" t="s">
        <v>101</v>
      </c>
      <c r="D1" t="s">
        <v>102</v>
      </c>
      <c r="E1" t="s">
        <v>103</v>
      </c>
    </row>
    <row r="2" spans="1:5" x14ac:dyDescent="0.25">
      <c r="A2" t="s">
        <v>110</v>
      </c>
      <c r="B2">
        <f ca="1">SUM(B7,B12,B17,B22,B27,B32,B37,B42)</f>
        <v>1232</v>
      </c>
      <c r="C2">
        <f ca="1">AVERAGE(C7,C12,C17,C22,C27,C32,C37,C42)</f>
        <v>0.44876398355248143</v>
      </c>
      <c r="D2">
        <f ca="1">C2-0.1</f>
        <v>0.34876398355248139</v>
      </c>
      <c r="E2">
        <f ca="1">C2+0.1</f>
        <v>0.54876398355248146</v>
      </c>
    </row>
    <row r="3" spans="1:5" x14ac:dyDescent="0.25">
      <c r="A3" t="s">
        <v>111</v>
      </c>
      <c r="B3">
        <f ca="1">SUM(B8,B13,B18,B23,B28,B33,B38,B43)</f>
        <v>1275</v>
      </c>
      <c r="C3">
        <f t="shared" ref="C3:C4" ca="1" si="0">AVERAGE(C8,C13,C18,C23,C28,C33,C38,C43)</f>
        <v>-5.2165657987363681E-2</v>
      </c>
      <c r="D3">
        <f t="shared" ref="D3:D4" ca="1" si="1">C3-0.1</f>
        <v>-0.1521656579873637</v>
      </c>
      <c r="E3">
        <f t="shared" ref="E3:E4" ca="1" si="2">C3+0.1</f>
        <v>4.7834342012636324E-2</v>
      </c>
    </row>
    <row r="4" spans="1:5" x14ac:dyDescent="0.25">
      <c r="A4" t="s">
        <v>112</v>
      </c>
      <c r="B4">
        <f ca="1">SUM(B9,B14,B19,B24,B29,B34,B39,B44)</f>
        <v>1282</v>
      </c>
      <c r="C4">
        <f t="shared" ca="1" si="0"/>
        <v>-0.84668203984423407</v>
      </c>
      <c r="D4">
        <f t="shared" ca="1" si="1"/>
        <v>-0.94668203984423405</v>
      </c>
      <c r="E4">
        <f t="shared" ca="1" si="2"/>
        <v>-0.74668203984423409</v>
      </c>
    </row>
    <row r="6" spans="1:5" x14ac:dyDescent="0.25">
      <c r="A6" t="s">
        <v>113</v>
      </c>
    </row>
    <row r="7" spans="1:5" x14ac:dyDescent="0.25">
      <c r="A7" t="s">
        <v>104</v>
      </c>
      <c r="B7">
        <f ca="1">RANDBETWEEN(100,200)</f>
        <v>185</v>
      </c>
      <c r="C7">
        <f ca="1">RAND()-RAND()+0.5</f>
        <v>0.51424451291530449</v>
      </c>
      <c r="D7">
        <f ca="1">C7-0.25</f>
        <v>0.26424451291530449</v>
      </c>
      <c r="E7">
        <f t="shared" ref="E7:E9" ca="1" si="3">C7+0.25</f>
        <v>0.76424451291530449</v>
      </c>
    </row>
    <row r="8" spans="1:5" x14ac:dyDescent="0.25">
      <c r="A8" t="s">
        <v>105</v>
      </c>
      <c r="B8">
        <f ca="1">RANDBETWEEN(100,200)</f>
        <v>152</v>
      </c>
      <c r="C8">
        <f ca="1">RAND()-RAND()-0.2</f>
        <v>0.38471103225450604</v>
      </c>
      <c r="D8">
        <f t="shared" ref="D8:D9" ca="1" si="4">C8-0.25</f>
        <v>0.13471103225450604</v>
      </c>
      <c r="E8">
        <f t="shared" ca="1" si="3"/>
        <v>0.63471103225450598</v>
      </c>
    </row>
    <row r="9" spans="1:5" x14ac:dyDescent="0.25">
      <c r="A9" t="s">
        <v>106</v>
      </c>
      <c r="B9">
        <f ca="1">RANDBETWEEN(100,200)</f>
        <v>156</v>
      </c>
      <c r="C9">
        <f ca="1">RAND()-RAND()-0.5</f>
        <v>-0.13562630845962065</v>
      </c>
      <c r="D9">
        <f t="shared" ca="1" si="4"/>
        <v>-0.38562630845962065</v>
      </c>
      <c r="E9">
        <f t="shared" ca="1" si="3"/>
        <v>0.11437369154037935</v>
      </c>
    </row>
    <row r="11" spans="1:5" x14ac:dyDescent="0.25">
      <c r="A11" t="s">
        <v>114</v>
      </c>
    </row>
    <row r="12" spans="1:5" x14ac:dyDescent="0.25">
      <c r="A12" t="s">
        <v>104</v>
      </c>
      <c r="B12">
        <f t="shared" ref="B12:B13" ca="1" si="5">RANDBETWEEN(100,200)</f>
        <v>159</v>
      </c>
      <c r="C12">
        <f ca="1">RAND()-RAND()+0.5</f>
        <v>0.24090564643563006</v>
      </c>
      <c r="D12">
        <f ca="1">C12-0.25</f>
        <v>-9.0943535643699391E-3</v>
      </c>
      <c r="E12">
        <f t="shared" ref="E12:E14" ca="1" si="6">C12+0.25</f>
        <v>0.49090564643563006</v>
      </c>
    </row>
    <row r="13" spans="1:5" x14ac:dyDescent="0.25">
      <c r="A13" t="s">
        <v>105</v>
      </c>
      <c r="B13">
        <f t="shared" ca="1" si="5"/>
        <v>151</v>
      </c>
      <c r="C13">
        <f ca="1">RAND()-RAND()-0.2</f>
        <v>-0.13611696893053243</v>
      </c>
      <c r="D13">
        <f t="shared" ref="D13:D14" ca="1" si="7">C13-0.25</f>
        <v>-0.38611696893053243</v>
      </c>
      <c r="E13">
        <f t="shared" ca="1" si="6"/>
        <v>0.11388303106946757</v>
      </c>
    </row>
    <row r="14" spans="1:5" x14ac:dyDescent="0.25">
      <c r="A14" t="s">
        <v>106</v>
      </c>
      <c r="B14">
        <f ca="1">RANDBETWEEN(100,200)</f>
        <v>195</v>
      </c>
      <c r="C14">
        <f ca="1">RAND()-RAND()-0.5</f>
        <v>-0.5168243479110699</v>
      </c>
      <c r="D14">
        <f t="shared" ca="1" si="7"/>
        <v>-0.7668243479110699</v>
      </c>
      <c r="E14">
        <f t="shared" ca="1" si="6"/>
        <v>-0.2668243479110699</v>
      </c>
    </row>
    <row r="16" spans="1:5" x14ac:dyDescent="0.25">
      <c r="A16" t="s">
        <v>115</v>
      </c>
    </row>
    <row r="17" spans="1:5" x14ac:dyDescent="0.25">
      <c r="A17" t="s">
        <v>104</v>
      </c>
      <c r="B17">
        <f t="shared" ref="B17:B18" ca="1" si="8">RANDBETWEEN(100,200)</f>
        <v>113</v>
      </c>
      <c r="C17">
        <f ca="1">RAND()-RAND()+0.5</f>
        <v>4.1362561660611363E-2</v>
      </c>
      <c r="D17">
        <f ca="1">C17-0.25</f>
        <v>-0.20863743833938864</v>
      </c>
      <c r="E17">
        <f t="shared" ref="E17:E19" ca="1" si="9">C17+0.25</f>
        <v>0.29136256166061136</v>
      </c>
    </row>
    <row r="18" spans="1:5" x14ac:dyDescent="0.25">
      <c r="A18" t="s">
        <v>105</v>
      </c>
      <c r="B18">
        <f t="shared" ca="1" si="8"/>
        <v>117</v>
      </c>
      <c r="C18">
        <f ca="1">RAND()-RAND()-0.2</f>
        <v>-0.80315007787770809</v>
      </c>
      <c r="D18">
        <f t="shared" ref="D18:D19" ca="1" si="10">C18-0.25</f>
        <v>-1.0531500778777081</v>
      </c>
      <c r="E18">
        <f t="shared" ca="1" si="9"/>
        <v>-0.55315007787770809</v>
      </c>
    </row>
    <row r="19" spans="1:5" x14ac:dyDescent="0.25">
      <c r="A19" t="s">
        <v>106</v>
      </c>
      <c r="B19">
        <f ca="1">RANDBETWEEN(100,200)</f>
        <v>107</v>
      </c>
      <c r="C19">
        <f ca="1">RAND()-RAND()-0.5</f>
        <v>-1.1631579458995294</v>
      </c>
      <c r="D19">
        <f t="shared" ca="1" si="10"/>
        <v>-1.4131579458995294</v>
      </c>
      <c r="E19">
        <f t="shared" ca="1" si="9"/>
        <v>-0.91315794589952937</v>
      </c>
    </row>
    <row r="21" spans="1:5" x14ac:dyDescent="0.25">
      <c r="A21" t="s">
        <v>107</v>
      </c>
    </row>
    <row r="22" spans="1:5" x14ac:dyDescent="0.25">
      <c r="A22" t="s">
        <v>104</v>
      </c>
      <c r="B22">
        <f t="shared" ref="B22:B23" ca="1" si="11">RANDBETWEEN(100,200)</f>
        <v>150</v>
      </c>
      <c r="C22">
        <f ca="1">RAND()-RAND()+0.5</f>
        <v>0.33373924290722223</v>
      </c>
      <c r="D22">
        <f ca="1">C22-0.25</f>
        <v>8.3739242907222233E-2</v>
      </c>
      <c r="E22">
        <f t="shared" ref="E22:E24" ca="1" si="12">C22+0.25</f>
        <v>0.58373924290722223</v>
      </c>
    </row>
    <row r="23" spans="1:5" x14ac:dyDescent="0.25">
      <c r="A23" t="s">
        <v>105</v>
      </c>
      <c r="B23">
        <f t="shared" ca="1" si="11"/>
        <v>195</v>
      </c>
      <c r="C23">
        <f ca="1">RAND()-RAND()-0.2</f>
        <v>5.124942412668293E-2</v>
      </c>
      <c r="D23">
        <f t="shared" ref="D23:D24" ca="1" si="13">C23-0.25</f>
        <v>-0.19875057587331707</v>
      </c>
      <c r="E23">
        <f t="shared" ca="1" si="12"/>
        <v>0.30124942412668293</v>
      </c>
    </row>
    <row r="24" spans="1:5" x14ac:dyDescent="0.25">
      <c r="A24" t="s">
        <v>106</v>
      </c>
      <c r="B24">
        <f ca="1">RANDBETWEEN(100,200)</f>
        <v>189</v>
      </c>
      <c r="C24">
        <f ca="1">RAND()-RAND()-0.5</f>
        <v>-0.61967906549819818</v>
      </c>
      <c r="D24">
        <f t="shared" ca="1" si="13"/>
        <v>-0.86967906549819818</v>
      </c>
      <c r="E24">
        <f t="shared" ca="1" si="12"/>
        <v>-0.36967906549819818</v>
      </c>
    </row>
    <row r="26" spans="1:5" x14ac:dyDescent="0.25">
      <c r="A26" t="s">
        <v>108</v>
      </c>
    </row>
    <row r="27" spans="1:5" x14ac:dyDescent="0.25">
      <c r="A27" t="s">
        <v>104</v>
      </c>
      <c r="B27">
        <f t="shared" ref="B27:B28" ca="1" si="14">RANDBETWEEN(100,200)</f>
        <v>115</v>
      </c>
      <c r="C27">
        <f ca="1">RAND()-RAND()+0.5</f>
        <v>0.46289528849203532</v>
      </c>
      <c r="D27">
        <f ca="1">C27-0.25</f>
        <v>0.21289528849203532</v>
      </c>
      <c r="E27">
        <f t="shared" ref="E27:E29" ca="1" si="15">C27+0.25</f>
        <v>0.71289528849203532</v>
      </c>
    </row>
    <row r="28" spans="1:5" x14ac:dyDescent="0.25">
      <c r="A28" t="s">
        <v>105</v>
      </c>
      <c r="B28">
        <f t="shared" ca="1" si="14"/>
        <v>180</v>
      </c>
      <c r="C28">
        <f ca="1">RAND()-RAND()-0.2</f>
        <v>-4.5219093593279081E-2</v>
      </c>
      <c r="D28">
        <f t="shared" ref="D28:D29" ca="1" si="16">C28-0.25</f>
        <v>-0.29521909359327908</v>
      </c>
      <c r="E28">
        <f t="shared" ca="1" si="15"/>
        <v>0.20478090640672092</v>
      </c>
    </row>
    <row r="29" spans="1:5" x14ac:dyDescent="0.25">
      <c r="A29" t="s">
        <v>106</v>
      </c>
      <c r="B29">
        <f ca="1">RANDBETWEEN(100,200)</f>
        <v>101</v>
      </c>
      <c r="C29">
        <f ca="1">RAND()-RAND()-0.5</f>
        <v>-1.0977979962078666</v>
      </c>
      <c r="D29">
        <f t="shared" ca="1" si="16"/>
        <v>-1.3477979962078666</v>
      </c>
      <c r="E29">
        <f t="shared" ca="1" si="15"/>
        <v>-0.84779799620786656</v>
      </c>
    </row>
    <row r="31" spans="1:5" x14ac:dyDescent="0.25">
      <c r="A31" t="s">
        <v>109</v>
      </c>
    </row>
    <row r="32" spans="1:5" x14ac:dyDescent="0.25">
      <c r="A32" t="s">
        <v>104</v>
      </c>
      <c r="B32">
        <f t="shared" ref="B32:B33" ca="1" si="17">RANDBETWEEN(100,200)</f>
        <v>146</v>
      </c>
      <c r="C32">
        <f ca="1">RAND()-RAND()+0.5</f>
        <v>0.91934615992717672</v>
      </c>
      <c r="D32">
        <f ca="1">C32-0.25</f>
        <v>0.66934615992717672</v>
      </c>
      <c r="E32">
        <f t="shared" ref="E32:E34" ca="1" si="18">C32+0.25</f>
        <v>1.1693461599271768</v>
      </c>
    </row>
    <row r="33" spans="1:5" x14ac:dyDescent="0.25">
      <c r="A33" t="s">
        <v>105</v>
      </c>
      <c r="B33">
        <f t="shared" ca="1" si="17"/>
        <v>193</v>
      </c>
      <c r="C33">
        <f ca="1">RAND()-RAND()-0.2</f>
        <v>-0.20619837276102887</v>
      </c>
      <c r="D33">
        <f t="shared" ref="D33:D34" ca="1" si="19">C33-0.25</f>
        <v>-0.45619837276102887</v>
      </c>
      <c r="E33">
        <f t="shared" ca="1" si="18"/>
        <v>4.380162723897113E-2</v>
      </c>
    </row>
    <row r="34" spans="1:5" x14ac:dyDescent="0.25">
      <c r="A34" t="s">
        <v>106</v>
      </c>
      <c r="B34">
        <f ca="1">RANDBETWEEN(100,200)</f>
        <v>175</v>
      </c>
      <c r="C34">
        <f ca="1">RAND()-RAND()-0.5</f>
        <v>-0.80814380493037874</v>
      </c>
      <c r="D34">
        <f t="shared" ca="1" si="19"/>
        <v>-1.0581438049303786</v>
      </c>
      <c r="E34">
        <f t="shared" ca="1" si="18"/>
        <v>-0.55814380493037874</v>
      </c>
    </row>
    <row r="36" spans="1:5" x14ac:dyDescent="0.25">
      <c r="A36" t="s">
        <v>116</v>
      </c>
    </row>
    <row r="37" spans="1:5" x14ac:dyDescent="0.25">
      <c r="A37" t="s">
        <v>104</v>
      </c>
      <c r="B37">
        <f t="shared" ref="B37:B38" ca="1" si="20">RANDBETWEEN(100,200)</f>
        <v>196</v>
      </c>
      <c r="C37">
        <f ca="1">RAND()-RAND()+0.5</f>
        <v>8.6579878819476264E-2</v>
      </c>
      <c r="D37">
        <f ca="1">C37-0.25</f>
        <v>-0.16342012118052374</v>
      </c>
      <c r="E37">
        <f t="shared" ref="E37:E39" ca="1" si="21">C37+0.25</f>
        <v>0.33657987881947626</v>
      </c>
    </row>
    <row r="38" spans="1:5" x14ac:dyDescent="0.25">
      <c r="A38" t="s">
        <v>105</v>
      </c>
      <c r="B38">
        <f t="shared" ca="1" si="20"/>
        <v>123</v>
      </c>
      <c r="C38">
        <f ca="1">RAND()-RAND()-0.2</f>
        <v>0.35368158956170742</v>
      </c>
      <c r="D38">
        <f t="shared" ref="D38:D39" ca="1" si="22">C38-0.25</f>
        <v>0.10368158956170742</v>
      </c>
      <c r="E38">
        <f t="shared" ca="1" si="21"/>
        <v>0.60368158956170737</v>
      </c>
    </row>
    <row r="39" spans="1:5" x14ac:dyDescent="0.25">
      <c r="A39" t="s">
        <v>106</v>
      </c>
      <c r="B39">
        <f ca="1">RANDBETWEEN(100,200)</f>
        <v>183</v>
      </c>
      <c r="C39">
        <f ca="1">RAND()-RAND()-0.5</f>
        <v>-1.1931762681930707</v>
      </c>
      <c r="D39">
        <f t="shared" ca="1" si="22"/>
        <v>-1.4431762681930707</v>
      </c>
      <c r="E39">
        <f t="shared" ca="1" si="21"/>
        <v>-0.94317626819307065</v>
      </c>
    </row>
    <row r="41" spans="1:5" x14ac:dyDescent="0.25">
      <c r="A41" t="s">
        <v>117</v>
      </c>
    </row>
    <row r="42" spans="1:5" x14ac:dyDescent="0.25">
      <c r="A42" t="s">
        <v>104</v>
      </c>
      <c r="B42">
        <f t="shared" ref="B42:B43" ca="1" si="23">RANDBETWEEN(100,200)</f>
        <v>168</v>
      </c>
      <c r="C42">
        <f ca="1">RAND()-RAND()+0.5</f>
        <v>0.99103857726239497</v>
      </c>
      <c r="D42">
        <f ca="1">C42-0.25</f>
        <v>0.74103857726239497</v>
      </c>
      <c r="E42">
        <f t="shared" ref="E42:E44" ca="1" si="24">C42+0.25</f>
        <v>1.2410385772623949</v>
      </c>
    </row>
    <row r="43" spans="1:5" x14ac:dyDescent="0.25">
      <c r="A43" t="s">
        <v>105</v>
      </c>
      <c r="B43">
        <f t="shared" ca="1" si="23"/>
        <v>164</v>
      </c>
      <c r="C43">
        <f ca="1">RAND()-RAND()-0.2</f>
        <v>-1.6282796679257527E-2</v>
      </c>
      <c r="D43">
        <f t="shared" ref="D43:D44" ca="1" si="25">C43-0.25</f>
        <v>-0.26628279667925753</v>
      </c>
      <c r="E43">
        <f t="shared" ca="1" si="24"/>
        <v>0.23371720332074247</v>
      </c>
    </row>
    <row r="44" spans="1:5" x14ac:dyDescent="0.25">
      <c r="A44" t="s">
        <v>106</v>
      </c>
      <c r="B44">
        <f ca="1">RANDBETWEEN(100,200)</f>
        <v>176</v>
      </c>
      <c r="C44">
        <f ca="1">RAND()-RAND()-0.5</f>
        <v>-1.2390505816541384</v>
      </c>
      <c r="D44">
        <f t="shared" ca="1" si="25"/>
        <v>-1.4890505816541384</v>
      </c>
      <c r="E44">
        <f t="shared" ca="1" si="24"/>
        <v>-0.98905058165413839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C7" sqref="C7"/>
    </sheetView>
  </sheetViews>
  <sheetFormatPr defaultRowHeight="15" x14ac:dyDescent="0.25"/>
  <cols>
    <col min="1" max="1" width="19.28515625" bestFit="1" customWidth="1"/>
  </cols>
  <sheetData>
    <row r="1" spans="1:5" x14ac:dyDescent="0.25">
      <c r="A1" t="s">
        <v>87</v>
      </c>
      <c r="B1" t="s">
        <v>88</v>
      </c>
      <c r="C1" t="s">
        <v>101</v>
      </c>
      <c r="D1" t="s">
        <v>102</v>
      </c>
      <c r="E1" t="s">
        <v>103</v>
      </c>
    </row>
    <row r="2" spans="1:5" x14ac:dyDescent="0.25">
      <c r="A2" t="s">
        <v>110</v>
      </c>
      <c r="B2">
        <f ca="1">SUM(B6,B10,B14,B18,B22,B26,B30,B34)</f>
        <v>1195</v>
      </c>
      <c r="C2">
        <f ca="1">AVERAGE(C6,C10,C14,C18,C22,C26,C30,C34)</f>
        <v>0.61242563125376437</v>
      </c>
      <c r="D2">
        <f ca="1">C2-0.1</f>
        <v>0.51242563125376439</v>
      </c>
      <c r="E2">
        <f ca="1">C2+0.1</f>
        <v>0.71242563125376435</v>
      </c>
    </row>
    <row r="3" spans="1:5" x14ac:dyDescent="0.25">
      <c r="A3" t="s">
        <v>111</v>
      </c>
      <c r="B3">
        <f ca="1">SUM(B7,B11,B15,B19,B23,B27,B31,B35)</f>
        <v>1231</v>
      </c>
      <c r="C3">
        <f ca="1">AVERAGE(C7,C11,C15,C19,C23,C27,C31,C35)</f>
        <v>-0.21842383394274584</v>
      </c>
      <c r="D3">
        <f t="shared" ref="D3" ca="1" si="0">C3-0.1</f>
        <v>-0.31842383394274587</v>
      </c>
      <c r="E3">
        <f t="shared" ref="E3" ca="1" si="1">C3+0.1</f>
        <v>-0.11842383394274583</v>
      </c>
    </row>
    <row r="5" spans="1:5" x14ac:dyDescent="0.25">
      <c r="A5" t="s">
        <v>113</v>
      </c>
    </row>
    <row r="6" spans="1:5" x14ac:dyDescent="0.25">
      <c r="A6" t="s">
        <v>104</v>
      </c>
      <c r="B6">
        <f ca="1">RANDBETWEEN(100,200)</f>
        <v>121</v>
      </c>
      <c r="C6">
        <f ca="1">RAND()-RAND()+0.5</f>
        <v>0.30906491998526897</v>
      </c>
      <c r="D6">
        <f ca="1">C6-0.25</f>
        <v>5.9064919985268971E-2</v>
      </c>
      <c r="E6">
        <f t="shared" ref="E6:E7" ca="1" si="2">C6+0.25</f>
        <v>0.55906491998526897</v>
      </c>
    </row>
    <row r="7" spans="1:5" x14ac:dyDescent="0.25">
      <c r="A7" t="s">
        <v>105</v>
      </c>
      <c r="B7">
        <f ca="1">RANDBETWEEN(100,200)</f>
        <v>162</v>
      </c>
      <c r="C7">
        <f ca="1">RAND()-RAND()-0.2</f>
        <v>0.55967169344036893</v>
      </c>
      <c r="D7">
        <f t="shared" ref="D7" ca="1" si="3">C7-0.25</f>
        <v>0.30967169344036893</v>
      </c>
      <c r="E7">
        <f t="shared" ca="1" si="2"/>
        <v>0.80967169344036893</v>
      </c>
    </row>
    <row r="9" spans="1:5" x14ac:dyDescent="0.25">
      <c r="A9" t="s">
        <v>114</v>
      </c>
    </row>
    <row r="10" spans="1:5" x14ac:dyDescent="0.25">
      <c r="A10" t="s">
        <v>104</v>
      </c>
      <c r="B10">
        <f t="shared" ref="B10:B11" ca="1" si="4">RANDBETWEEN(100,200)</f>
        <v>115</v>
      </c>
      <c r="C10">
        <f ca="1">RAND()-RAND()+0.5</f>
        <v>0.83491872754391872</v>
      </c>
      <c r="D10">
        <f ca="1">C10-0.25</f>
        <v>0.58491872754391872</v>
      </c>
      <c r="E10">
        <f t="shared" ref="E10:E11" ca="1" si="5">C10+0.25</f>
        <v>1.0849187275439187</v>
      </c>
    </row>
    <row r="11" spans="1:5" x14ac:dyDescent="0.25">
      <c r="A11" t="s">
        <v>105</v>
      </c>
      <c r="B11">
        <f t="shared" ca="1" si="4"/>
        <v>149</v>
      </c>
      <c r="C11">
        <f ca="1">RAND()-RAND()-0.2</f>
        <v>-5.8512726011742677E-2</v>
      </c>
      <c r="D11">
        <f t="shared" ref="D11" ca="1" si="6">C11-0.25</f>
        <v>-0.30851272601174268</v>
      </c>
      <c r="E11">
        <f t="shared" ca="1" si="5"/>
        <v>0.19148727398825732</v>
      </c>
    </row>
    <row r="13" spans="1:5" x14ac:dyDescent="0.25">
      <c r="A13" t="s">
        <v>115</v>
      </c>
    </row>
    <row r="14" spans="1:5" x14ac:dyDescent="0.25">
      <c r="A14" t="s">
        <v>104</v>
      </c>
      <c r="B14">
        <f t="shared" ref="B14:B15" ca="1" si="7">RANDBETWEEN(100,200)</f>
        <v>170</v>
      </c>
      <c r="C14">
        <f ca="1">RAND()-RAND()+0.5</f>
        <v>0.72106955182890986</v>
      </c>
      <c r="D14">
        <f ca="1">C14-0.25</f>
        <v>0.47106955182890986</v>
      </c>
      <c r="E14">
        <f t="shared" ref="E14:E15" ca="1" si="8">C14+0.25</f>
        <v>0.97106955182890986</v>
      </c>
    </row>
    <row r="15" spans="1:5" x14ac:dyDescent="0.25">
      <c r="A15" t="s">
        <v>105</v>
      </c>
      <c r="B15">
        <f t="shared" ca="1" si="7"/>
        <v>151</v>
      </c>
      <c r="C15">
        <f ca="1">RAND()-RAND()-0.2</f>
        <v>-2.8034965185139982E-2</v>
      </c>
      <c r="D15">
        <f t="shared" ref="D15" ca="1" si="9">C15-0.25</f>
        <v>-0.27803496518513998</v>
      </c>
      <c r="E15">
        <f t="shared" ca="1" si="8"/>
        <v>0.22196503481486002</v>
      </c>
    </row>
    <row r="17" spans="1:5" x14ac:dyDescent="0.25">
      <c r="A17" t="s">
        <v>107</v>
      </c>
    </row>
    <row r="18" spans="1:5" x14ac:dyDescent="0.25">
      <c r="A18" t="s">
        <v>104</v>
      </c>
      <c r="B18">
        <f t="shared" ref="B18:B19" ca="1" si="10">RANDBETWEEN(100,200)</f>
        <v>177</v>
      </c>
      <c r="C18">
        <f ca="1">RAND()-RAND()+0.5</f>
        <v>0.7824339311662255</v>
      </c>
      <c r="D18">
        <f ca="1">C18-0.25</f>
        <v>0.5324339311662255</v>
      </c>
      <c r="E18">
        <f t="shared" ref="E18:E19" ca="1" si="11">C18+0.25</f>
        <v>1.0324339311662256</v>
      </c>
    </row>
    <row r="19" spans="1:5" x14ac:dyDescent="0.25">
      <c r="A19" t="s">
        <v>105</v>
      </c>
      <c r="B19">
        <f t="shared" ca="1" si="10"/>
        <v>186</v>
      </c>
      <c r="C19">
        <f ca="1">RAND()-RAND()-0.2</f>
        <v>-0.52584922599850059</v>
      </c>
      <c r="D19">
        <f t="shared" ref="D19" ca="1" si="12">C19-0.25</f>
        <v>-0.77584922599850059</v>
      </c>
      <c r="E19">
        <f t="shared" ca="1" si="11"/>
        <v>-0.27584922599850059</v>
      </c>
    </row>
    <row r="21" spans="1:5" x14ac:dyDescent="0.25">
      <c r="A21" t="s">
        <v>108</v>
      </c>
    </row>
    <row r="22" spans="1:5" x14ac:dyDescent="0.25">
      <c r="A22" t="s">
        <v>104</v>
      </c>
      <c r="B22">
        <f t="shared" ref="B22:B23" ca="1" si="13">RANDBETWEEN(100,200)</f>
        <v>138</v>
      </c>
      <c r="C22">
        <f ca="1">RAND()-RAND()+0.5</f>
        <v>0.69701496738271462</v>
      </c>
      <c r="D22">
        <f ca="1">C22-0.25</f>
        <v>0.44701496738271462</v>
      </c>
      <c r="E22">
        <f t="shared" ref="E22:E23" ca="1" si="14">C22+0.25</f>
        <v>0.94701496738271462</v>
      </c>
    </row>
    <row r="23" spans="1:5" x14ac:dyDescent="0.25">
      <c r="A23" t="s">
        <v>105</v>
      </c>
      <c r="B23">
        <f t="shared" ca="1" si="13"/>
        <v>199</v>
      </c>
      <c r="C23">
        <f ca="1">RAND()-RAND()-0.2</f>
        <v>-0.31953734732973821</v>
      </c>
      <c r="D23">
        <f t="shared" ref="D23" ca="1" si="15">C23-0.25</f>
        <v>-0.56953734732973826</v>
      </c>
      <c r="E23">
        <f t="shared" ca="1" si="14"/>
        <v>-6.9537347329738208E-2</v>
      </c>
    </row>
    <row r="25" spans="1:5" x14ac:dyDescent="0.25">
      <c r="A25" t="s">
        <v>109</v>
      </c>
    </row>
    <row r="26" spans="1:5" x14ac:dyDescent="0.25">
      <c r="A26" t="s">
        <v>104</v>
      </c>
      <c r="B26">
        <f t="shared" ref="B26:B27" ca="1" si="16">RANDBETWEEN(100,200)</f>
        <v>166</v>
      </c>
      <c r="C26">
        <f ca="1">RAND()-RAND()+0.5</f>
        <v>0.12059872941955929</v>
      </c>
      <c r="D26">
        <f ca="1">C26-0.25</f>
        <v>-0.12940127058044071</v>
      </c>
      <c r="E26">
        <f t="shared" ref="E26:E27" ca="1" si="17">C26+0.25</f>
        <v>0.37059872941955929</v>
      </c>
    </row>
    <row r="27" spans="1:5" x14ac:dyDescent="0.25">
      <c r="A27" t="s">
        <v>105</v>
      </c>
      <c r="B27">
        <f t="shared" ca="1" si="16"/>
        <v>172</v>
      </c>
      <c r="C27">
        <f ca="1">RAND()-RAND()-0.2</f>
        <v>-0.53668511851740419</v>
      </c>
      <c r="D27">
        <f t="shared" ref="D27" ca="1" si="18">C27-0.25</f>
        <v>-0.78668511851740419</v>
      </c>
      <c r="E27">
        <f t="shared" ca="1" si="17"/>
        <v>-0.28668511851740419</v>
      </c>
    </row>
    <row r="29" spans="1:5" x14ac:dyDescent="0.25">
      <c r="A29" t="s">
        <v>116</v>
      </c>
    </row>
    <row r="30" spans="1:5" x14ac:dyDescent="0.25">
      <c r="A30" t="s">
        <v>104</v>
      </c>
      <c r="B30">
        <f t="shared" ref="B30:B31" ca="1" si="19">RANDBETWEEN(100,200)</f>
        <v>141</v>
      </c>
      <c r="C30">
        <f ca="1">RAND()-RAND()+0.5</f>
        <v>0.66677358526153474</v>
      </c>
      <c r="D30">
        <f ca="1">C30-0.25</f>
        <v>0.41677358526153474</v>
      </c>
      <c r="E30">
        <f t="shared" ref="E30:E31" ca="1" si="20">C30+0.25</f>
        <v>0.91677358526153474</v>
      </c>
    </row>
    <row r="31" spans="1:5" x14ac:dyDescent="0.25">
      <c r="A31" t="s">
        <v>105</v>
      </c>
      <c r="B31">
        <f t="shared" ca="1" si="19"/>
        <v>105</v>
      </c>
      <c r="C31">
        <f ca="1">RAND()-RAND()-0.2</f>
        <v>-0.57914275565848916</v>
      </c>
      <c r="D31">
        <f t="shared" ref="D31" ca="1" si="21">C31-0.25</f>
        <v>-0.82914275565848916</v>
      </c>
      <c r="E31">
        <f t="shared" ca="1" si="20"/>
        <v>-0.32914275565848916</v>
      </c>
    </row>
    <row r="33" spans="1:5" x14ac:dyDescent="0.25">
      <c r="A33" t="s">
        <v>117</v>
      </c>
    </row>
    <row r="34" spans="1:5" x14ac:dyDescent="0.25">
      <c r="A34" t="s">
        <v>104</v>
      </c>
      <c r="B34">
        <f t="shared" ref="B34:B35" ca="1" si="22">RANDBETWEEN(100,200)</f>
        <v>167</v>
      </c>
      <c r="C34">
        <f ca="1">RAND()-RAND()+0.5</f>
        <v>0.76753063744198391</v>
      </c>
      <c r="D34">
        <f ca="1">C34-0.25</f>
        <v>0.51753063744198391</v>
      </c>
      <c r="E34">
        <f t="shared" ref="E34:E35" ca="1" si="23">C34+0.25</f>
        <v>1.0175306374419839</v>
      </c>
    </row>
    <row r="35" spans="1:5" x14ac:dyDescent="0.25">
      <c r="A35" t="s">
        <v>105</v>
      </c>
      <c r="B35">
        <f t="shared" ca="1" si="22"/>
        <v>107</v>
      </c>
      <c r="C35">
        <f ca="1">RAND()-RAND()-0.2</f>
        <v>-0.25930022628132093</v>
      </c>
      <c r="D35">
        <f t="shared" ref="D35" ca="1" si="24">C35-0.25</f>
        <v>-0.50930022628132088</v>
      </c>
      <c r="E35">
        <f t="shared" ca="1" si="23"/>
        <v>-9.3002262813209335E-3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F12" sqref="F12"/>
    </sheetView>
  </sheetViews>
  <sheetFormatPr defaultRowHeight="15" x14ac:dyDescent="0.25"/>
  <cols>
    <col min="1" max="1" width="19.28515625" bestFit="1" customWidth="1"/>
  </cols>
  <sheetData>
    <row r="1" spans="1:5" x14ac:dyDescent="0.25">
      <c r="A1" t="s">
        <v>87</v>
      </c>
      <c r="B1" t="s">
        <v>88</v>
      </c>
      <c r="C1" t="s">
        <v>101</v>
      </c>
      <c r="D1" t="s">
        <v>102</v>
      </c>
      <c r="E1" t="s">
        <v>103</v>
      </c>
    </row>
    <row r="2" spans="1:5" x14ac:dyDescent="0.25">
      <c r="A2" t="s">
        <v>112</v>
      </c>
      <c r="B2">
        <f ca="1">SUM(B5,B8,B11,B14,B17,B20,B23,B26)</f>
        <v>1283</v>
      </c>
      <c r="C2">
        <f ca="1">AVERAGE(C5,C8,C11,C14,C17,C20,C23,C26)</f>
        <v>0.11427997115081803</v>
      </c>
      <c r="D2">
        <f t="shared" ref="D2" ca="1" si="0">C2-0.1</f>
        <v>1.4279971150818027E-2</v>
      </c>
      <c r="E2">
        <f t="shared" ref="E2" ca="1" si="1">C2+0.1</f>
        <v>0.21427997115081804</v>
      </c>
    </row>
    <row r="4" spans="1:5" x14ac:dyDescent="0.25">
      <c r="A4" t="s">
        <v>113</v>
      </c>
    </row>
    <row r="5" spans="1:5" x14ac:dyDescent="0.25">
      <c r="A5" t="s">
        <v>106</v>
      </c>
      <c r="B5">
        <f ca="1">RANDBETWEEN(100,200)</f>
        <v>195</v>
      </c>
      <c r="C5">
        <f ca="1">RAND()-RAND()+0.3</f>
        <v>-4.8646073521902811E-2</v>
      </c>
      <c r="D5">
        <f t="shared" ref="D5" ca="1" si="2">C5-0.25</f>
        <v>-0.29864607352190281</v>
      </c>
      <c r="E5">
        <f t="shared" ref="E5" ca="1" si="3">C5+0.25</f>
        <v>0.20135392647809719</v>
      </c>
    </row>
    <row r="7" spans="1:5" x14ac:dyDescent="0.25">
      <c r="A7" t="s">
        <v>114</v>
      </c>
    </row>
    <row r="8" spans="1:5" x14ac:dyDescent="0.25">
      <c r="A8" t="s">
        <v>106</v>
      </c>
      <c r="B8">
        <f ca="1">RANDBETWEEN(100,200)</f>
        <v>115</v>
      </c>
      <c r="C8">
        <f ca="1">RAND()-RAND()+0.3</f>
        <v>4.5380073939694288E-2</v>
      </c>
      <c r="D8">
        <f t="shared" ref="D8" ca="1" si="4">C8-0.25</f>
        <v>-0.20461992606030571</v>
      </c>
      <c r="E8">
        <f t="shared" ref="E8" ca="1" si="5">C8+0.25</f>
        <v>0.29538007393969429</v>
      </c>
    </row>
    <row r="10" spans="1:5" x14ac:dyDescent="0.25">
      <c r="A10" t="s">
        <v>115</v>
      </c>
    </row>
    <row r="11" spans="1:5" x14ac:dyDescent="0.25">
      <c r="A11" t="s">
        <v>106</v>
      </c>
      <c r="B11">
        <f ca="1">RANDBETWEEN(100,200)</f>
        <v>125</v>
      </c>
      <c r="C11">
        <f ca="1">RAND()-RAND()+0.3</f>
        <v>3.1701090356003159E-2</v>
      </c>
      <c r="D11">
        <f t="shared" ref="D11" ca="1" si="6">C11-0.25</f>
        <v>-0.21829890964399684</v>
      </c>
      <c r="E11">
        <f t="shared" ref="E11" ca="1" si="7">C11+0.25</f>
        <v>0.28170109035600316</v>
      </c>
    </row>
    <row r="13" spans="1:5" x14ac:dyDescent="0.25">
      <c r="A13" t="s">
        <v>107</v>
      </c>
    </row>
    <row r="14" spans="1:5" x14ac:dyDescent="0.25">
      <c r="A14" t="s">
        <v>106</v>
      </c>
      <c r="B14">
        <f ca="1">RANDBETWEEN(100,200)</f>
        <v>166</v>
      </c>
      <c r="C14">
        <f ca="1">RAND()-RAND()+0.3</f>
        <v>0.4636555864965704</v>
      </c>
      <c r="D14">
        <f t="shared" ref="D14" ca="1" si="8">C14-0.25</f>
        <v>0.2136555864965704</v>
      </c>
      <c r="E14">
        <f t="shared" ref="E14" ca="1" si="9">C14+0.25</f>
        <v>0.71365558649657035</v>
      </c>
    </row>
    <row r="16" spans="1:5" x14ac:dyDescent="0.25">
      <c r="A16" t="s">
        <v>108</v>
      </c>
    </row>
    <row r="17" spans="1:5" x14ac:dyDescent="0.25">
      <c r="A17" t="s">
        <v>106</v>
      </c>
      <c r="B17">
        <f ca="1">RANDBETWEEN(100,200)</f>
        <v>194</v>
      </c>
      <c r="C17">
        <f ca="1">RAND()-RAND()+0.3</f>
        <v>0.18509331804098977</v>
      </c>
      <c r="D17">
        <f t="shared" ref="D17" ca="1" si="10">C17-0.25</f>
        <v>-6.4906681959010226E-2</v>
      </c>
      <c r="E17">
        <f t="shared" ref="E17" ca="1" si="11">C17+0.25</f>
        <v>0.43509331804098977</v>
      </c>
    </row>
    <row r="19" spans="1:5" x14ac:dyDescent="0.25">
      <c r="A19" t="s">
        <v>109</v>
      </c>
    </row>
    <row r="20" spans="1:5" x14ac:dyDescent="0.25">
      <c r="A20" t="s">
        <v>106</v>
      </c>
      <c r="B20">
        <f ca="1">RANDBETWEEN(100,200)</f>
        <v>156</v>
      </c>
      <c r="C20">
        <f ca="1">RAND()-RAND()+0.3</f>
        <v>0.45826465444672998</v>
      </c>
      <c r="D20">
        <f t="shared" ref="D20" ca="1" si="12">C20-0.25</f>
        <v>0.20826465444672998</v>
      </c>
      <c r="E20">
        <f t="shared" ref="E20" ca="1" si="13">C20+0.25</f>
        <v>0.70826465444672992</v>
      </c>
    </row>
    <row r="22" spans="1:5" x14ac:dyDescent="0.25">
      <c r="A22" t="s">
        <v>116</v>
      </c>
    </row>
    <row r="23" spans="1:5" x14ac:dyDescent="0.25">
      <c r="A23" t="s">
        <v>106</v>
      </c>
      <c r="B23">
        <f ca="1">RANDBETWEEN(100,200)</f>
        <v>181</v>
      </c>
      <c r="C23">
        <f ca="1">RAND()-RAND()+0.3</f>
        <v>-0.22520750723838229</v>
      </c>
      <c r="D23">
        <f t="shared" ref="D23" ca="1" si="14">C23-0.25</f>
        <v>-0.47520750723838229</v>
      </c>
      <c r="E23">
        <f t="shared" ref="E23" ca="1" si="15">C23+0.25</f>
        <v>2.4792492761617713E-2</v>
      </c>
    </row>
    <row r="25" spans="1:5" x14ac:dyDescent="0.25">
      <c r="A25" t="s">
        <v>117</v>
      </c>
    </row>
    <row r="26" spans="1:5" x14ac:dyDescent="0.25">
      <c r="A26" t="s">
        <v>106</v>
      </c>
      <c r="B26">
        <f ca="1">RANDBETWEEN(100,200)</f>
        <v>151</v>
      </c>
      <c r="C26">
        <f ca="1">RAND()-RAND()+0.3</f>
        <v>3.9986266868418663E-3</v>
      </c>
      <c r="D26">
        <f t="shared" ref="D26" ca="1" si="16">C26-0.25</f>
        <v>-0.24600137331315813</v>
      </c>
      <c r="E26">
        <f t="shared" ref="E26" ca="1" si="17">C26+0.25</f>
        <v>0.25399862668684187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testdata_W&amp;E'92_origstim</vt:lpstr>
      <vt:lpstr>testdata_W&amp;E'92_singlelab</vt:lpstr>
      <vt:lpstr>testdata_Wegner'87_singlelab</vt:lpstr>
      <vt:lpstr>testdata_W&amp;E'92_multilab</vt:lpstr>
      <vt:lpstr>testdata_Wegner'87_multilab</vt:lpstr>
      <vt:lpstr>forestplot</vt:lpstr>
      <vt:lpstr>forestplotd1d2</vt:lpstr>
      <vt:lpstr>forestplotd3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2022-10-18T14:49:50Z</dcterms:modified>
</cp:coreProperties>
</file>