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27"/>
  <workbookPr/>
  <mc:AlternateContent xmlns:mc="http://schemas.openxmlformats.org/markup-compatibility/2006">
    <mc:Choice Requires="x15">
      <x15ac:absPath xmlns:x15ac="http://schemas.microsoft.com/office/spreadsheetml/2010/11/ac" url="/Users/Ian-Hussey/git/ironic-effect-of-thought-suppression-replication/original materials/Data &amp; Script (simulation)/"/>
    </mc:Choice>
  </mc:AlternateContent>
  <xr:revisionPtr revIDLastSave="0" documentId="13_ncr:1_{21B6CF7B-34D2-744F-86D1-D8F9878D9B4E}" xr6:coauthVersionLast="47" xr6:coauthVersionMax="47" xr10:uidLastSave="{00000000-0000-0000-0000-000000000000}"/>
  <bookViews>
    <workbookView xWindow="0" yWindow="500" windowWidth="52160" windowHeight="22200" activeTab="5" xr2:uid="{00000000-000D-0000-FFFF-FFFF00000000}"/>
  </bookViews>
  <sheets>
    <sheet name="testdata_W&amp;E'92_origstim" sheetId="1" r:id="rId1"/>
    <sheet name="testdata_W&amp;E'92_singlelab" sheetId="3" r:id="rId2"/>
    <sheet name="testdata_Wegner'87_singlelab" sheetId="7" r:id="rId3"/>
    <sheet name="testdata_W&amp;E'92_multilab" sheetId="4" r:id="rId4"/>
    <sheet name="testdata_Wegner'87_multilab" sheetId="8" r:id="rId5"/>
    <sheet name="forestplot" sheetId="6" r:id="rId6"/>
    <sheet name="forestplotd1d2" sheetId="11" r:id="rId7"/>
    <sheet name="forestplotd3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6" l="1"/>
  <c r="C7" i="6"/>
  <c r="T2" i="3"/>
  <c r="AP2" i="3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P2" i="4"/>
  <c r="C3" i="7" l="1"/>
  <c r="D3" i="7"/>
  <c r="C4" i="7"/>
  <c r="D4" i="7"/>
  <c r="C5" i="7"/>
  <c r="D5" i="7"/>
  <c r="C6" i="7"/>
  <c r="D6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D2" i="7"/>
  <c r="C2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2" i="3"/>
  <c r="H33" i="3"/>
  <c r="G33" i="3"/>
  <c r="F33" i="3"/>
  <c r="H32" i="3"/>
  <c r="G32" i="3"/>
  <c r="F32" i="3"/>
  <c r="H31" i="3"/>
  <c r="G31" i="3"/>
  <c r="F31" i="3"/>
  <c r="H30" i="3"/>
  <c r="G30" i="3"/>
  <c r="F30" i="3"/>
  <c r="H29" i="3"/>
  <c r="G29" i="3"/>
  <c r="F29" i="3"/>
  <c r="H28" i="3"/>
  <c r="G28" i="3"/>
  <c r="F28" i="3"/>
  <c r="H27" i="3"/>
  <c r="G27" i="3"/>
  <c r="F27" i="3"/>
  <c r="H26" i="3"/>
  <c r="G26" i="3"/>
  <c r="F26" i="3"/>
  <c r="H25" i="3"/>
  <c r="G25" i="3"/>
  <c r="F25" i="3"/>
  <c r="H24" i="3"/>
  <c r="G24" i="3"/>
  <c r="F24" i="3"/>
  <c r="H23" i="3"/>
  <c r="G23" i="3"/>
  <c r="F23" i="3"/>
  <c r="H22" i="3"/>
  <c r="G22" i="3"/>
  <c r="F22" i="3"/>
  <c r="H21" i="3"/>
  <c r="G21" i="3"/>
  <c r="F21" i="3"/>
  <c r="H20" i="3"/>
  <c r="G20" i="3"/>
  <c r="F20" i="3"/>
  <c r="H19" i="3"/>
  <c r="G19" i="3"/>
  <c r="F19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H2" i="3"/>
  <c r="G2" i="3"/>
  <c r="F2" i="3"/>
  <c r="AO2" i="3"/>
  <c r="AQ2" i="3"/>
  <c r="AO3" i="3"/>
  <c r="AP3" i="3"/>
  <c r="AQ3" i="3"/>
  <c r="AO4" i="3"/>
  <c r="AP4" i="3"/>
  <c r="AQ4" i="3"/>
  <c r="AO5" i="3"/>
  <c r="AP5" i="3"/>
  <c r="AQ5" i="3"/>
  <c r="AO6" i="3"/>
  <c r="AP6" i="3"/>
  <c r="AQ6" i="3"/>
  <c r="AO7" i="3"/>
  <c r="AP7" i="3"/>
  <c r="AQ7" i="3"/>
  <c r="AO8" i="3"/>
  <c r="AP8" i="3"/>
  <c r="AQ8" i="3"/>
  <c r="AO9" i="3"/>
  <c r="AP9" i="3"/>
  <c r="AQ9" i="3"/>
  <c r="AO10" i="3"/>
  <c r="AP10" i="3"/>
  <c r="AQ10" i="3"/>
  <c r="AO11" i="3"/>
  <c r="AP11" i="3"/>
  <c r="AQ11" i="3"/>
  <c r="AO12" i="3"/>
  <c r="AP12" i="3"/>
  <c r="AQ12" i="3"/>
  <c r="AO13" i="3"/>
  <c r="AP13" i="3"/>
  <c r="AQ13" i="3"/>
  <c r="AO14" i="3"/>
  <c r="AP14" i="3"/>
  <c r="AQ14" i="3"/>
  <c r="AO15" i="3"/>
  <c r="AP15" i="3"/>
  <c r="AQ15" i="3"/>
  <c r="AO16" i="3"/>
  <c r="AP16" i="3"/>
  <c r="AQ16" i="3"/>
  <c r="AO17" i="3"/>
  <c r="AP17" i="3"/>
  <c r="AQ17" i="3"/>
  <c r="AO18" i="3"/>
  <c r="AP18" i="3"/>
  <c r="AQ18" i="3"/>
  <c r="AO19" i="3"/>
  <c r="AP19" i="3"/>
  <c r="AQ19" i="3"/>
  <c r="AO20" i="3"/>
  <c r="AP20" i="3"/>
  <c r="AQ20" i="3"/>
  <c r="AO21" i="3"/>
  <c r="AP21" i="3"/>
  <c r="AQ21" i="3"/>
  <c r="AO22" i="3"/>
  <c r="AP22" i="3"/>
  <c r="AQ22" i="3"/>
  <c r="AO23" i="3"/>
  <c r="AP23" i="3"/>
  <c r="AQ23" i="3"/>
  <c r="AO24" i="3"/>
  <c r="AP24" i="3"/>
  <c r="AQ24" i="3"/>
  <c r="AO25" i="3"/>
  <c r="AP25" i="3"/>
  <c r="AQ25" i="3"/>
  <c r="AO26" i="3"/>
  <c r="AP26" i="3"/>
  <c r="AQ26" i="3"/>
  <c r="AO27" i="3"/>
  <c r="AP27" i="3"/>
  <c r="AQ27" i="3"/>
  <c r="AO28" i="3"/>
  <c r="AP28" i="3"/>
  <c r="AQ28" i="3"/>
  <c r="AO29" i="3"/>
  <c r="AP29" i="3"/>
  <c r="AQ29" i="3"/>
  <c r="AO30" i="3"/>
  <c r="AP30" i="3"/>
  <c r="AQ30" i="3"/>
  <c r="AO31" i="3"/>
  <c r="AP31" i="3"/>
  <c r="AQ31" i="3"/>
  <c r="AO32" i="3"/>
  <c r="AP32" i="3"/>
  <c r="AQ32" i="3"/>
  <c r="AO33" i="3"/>
  <c r="AP33" i="3"/>
  <c r="AQ33" i="3"/>
  <c r="AK2" i="3"/>
  <c r="AL2" i="3"/>
  <c r="AM2" i="3"/>
  <c r="AN2" i="3"/>
  <c r="AK3" i="3"/>
  <c r="AL3" i="3"/>
  <c r="AM3" i="3"/>
  <c r="AN3" i="3"/>
  <c r="AK4" i="3"/>
  <c r="AL4" i="3"/>
  <c r="AM4" i="3"/>
  <c r="AN4" i="3"/>
  <c r="AK5" i="3"/>
  <c r="AL5" i="3"/>
  <c r="AM5" i="3"/>
  <c r="AN5" i="3"/>
  <c r="AK6" i="3"/>
  <c r="AL6" i="3"/>
  <c r="AM6" i="3"/>
  <c r="AN6" i="3"/>
  <c r="AK7" i="3"/>
  <c r="AL7" i="3"/>
  <c r="AM7" i="3"/>
  <c r="AN7" i="3"/>
  <c r="AK8" i="3"/>
  <c r="AL8" i="3"/>
  <c r="AM8" i="3"/>
  <c r="AN8" i="3"/>
  <c r="AK9" i="3"/>
  <c r="AL9" i="3"/>
  <c r="AM9" i="3"/>
  <c r="AN9" i="3"/>
  <c r="AK10" i="3"/>
  <c r="AL10" i="3"/>
  <c r="AM10" i="3"/>
  <c r="AN10" i="3"/>
  <c r="AK11" i="3"/>
  <c r="AL11" i="3"/>
  <c r="AM11" i="3"/>
  <c r="AN11" i="3"/>
  <c r="AK12" i="3"/>
  <c r="AL12" i="3"/>
  <c r="AM12" i="3"/>
  <c r="AN12" i="3"/>
  <c r="AK13" i="3"/>
  <c r="AL13" i="3"/>
  <c r="AM13" i="3"/>
  <c r="AN13" i="3"/>
  <c r="AK14" i="3"/>
  <c r="AL14" i="3"/>
  <c r="AM14" i="3"/>
  <c r="AN14" i="3"/>
  <c r="AK15" i="3"/>
  <c r="AL15" i="3"/>
  <c r="AM15" i="3"/>
  <c r="AN15" i="3"/>
  <c r="AK16" i="3"/>
  <c r="AL16" i="3"/>
  <c r="AM16" i="3"/>
  <c r="AN16" i="3"/>
  <c r="AK17" i="3"/>
  <c r="AL17" i="3"/>
  <c r="AM17" i="3"/>
  <c r="AN17" i="3"/>
  <c r="AK18" i="3"/>
  <c r="AL18" i="3"/>
  <c r="AM18" i="3"/>
  <c r="AN18" i="3"/>
  <c r="AK19" i="3"/>
  <c r="AL19" i="3"/>
  <c r="AM19" i="3"/>
  <c r="AN19" i="3"/>
  <c r="AK20" i="3"/>
  <c r="AL20" i="3"/>
  <c r="AM20" i="3"/>
  <c r="AN20" i="3"/>
  <c r="AK21" i="3"/>
  <c r="AL21" i="3"/>
  <c r="AM21" i="3"/>
  <c r="AN21" i="3"/>
  <c r="AK22" i="3"/>
  <c r="AL22" i="3"/>
  <c r="AM22" i="3"/>
  <c r="AN22" i="3"/>
  <c r="AK23" i="3"/>
  <c r="AL23" i="3"/>
  <c r="AM23" i="3"/>
  <c r="AN23" i="3"/>
  <c r="AK24" i="3"/>
  <c r="AL24" i="3"/>
  <c r="AM24" i="3"/>
  <c r="AN24" i="3"/>
  <c r="AK25" i="3"/>
  <c r="AL25" i="3"/>
  <c r="AM25" i="3"/>
  <c r="AN25" i="3"/>
  <c r="AK26" i="3"/>
  <c r="AL26" i="3"/>
  <c r="AM26" i="3"/>
  <c r="AN26" i="3"/>
  <c r="AK27" i="3"/>
  <c r="AL27" i="3"/>
  <c r="AM27" i="3"/>
  <c r="AN27" i="3"/>
  <c r="AK28" i="3"/>
  <c r="AL28" i="3"/>
  <c r="AM28" i="3"/>
  <c r="AN28" i="3"/>
  <c r="AK29" i="3"/>
  <c r="AL29" i="3"/>
  <c r="AM29" i="3"/>
  <c r="AN29" i="3"/>
  <c r="AK30" i="3"/>
  <c r="AL30" i="3"/>
  <c r="AM30" i="3"/>
  <c r="AN30" i="3"/>
  <c r="AK31" i="3"/>
  <c r="AL31" i="3"/>
  <c r="AM31" i="3"/>
  <c r="AN31" i="3"/>
  <c r="AK32" i="3"/>
  <c r="AL32" i="3"/>
  <c r="AM32" i="3"/>
  <c r="AN32" i="3"/>
  <c r="AK33" i="3"/>
  <c r="AL33" i="3"/>
  <c r="AM33" i="3"/>
  <c r="AN33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2" i="3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2" i="7"/>
  <c r="BH2" i="3" l="1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AA27" i="3"/>
  <c r="Z27" i="3"/>
  <c r="Y27" i="3"/>
  <c r="X27" i="3"/>
  <c r="W27" i="3"/>
  <c r="V27" i="3"/>
  <c r="U27" i="3"/>
  <c r="T27" i="3"/>
  <c r="AA26" i="3"/>
  <c r="Z26" i="3"/>
  <c r="Y26" i="3"/>
  <c r="X26" i="3"/>
  <c r="W26" i="3"/>
  <c r="V26" i="3"/>
  <c r="U26" i="3"/>
  <c r="T26" i="3"/>
  <c r="AA25" i="3"/>
  <c r="Z25" i="3"/>
  <c r="Y25" i="3"/>
  <c r="X25" i="3"/>
  <c r="W25" i="3"/>
  <c r="V25" i="3"/>
  <c r="U25" i="3"/>
  <c r="T25" i="3"/>
  <c r="AA24" i="3"/>
  <c r="Z24" i="3"/>
  <c r="Y24" i="3"/>
  <c r="X24" i="3"/>
  <c r="W24" i="3"/>
  <c r="V24" i="3"/>
  <c r="U24" i="3"/>
  <c r="T24" i="3"/>
  <c r="AA23" i="3"/>
  <c r="Z23" i="3"/>
  <c r="Y23" i="3"/>
  <c r="X23" i="3"/>
  <c r="W23" i="3"/>
  <c r="V23" i="3"/>
  <c r="U23" i="3"/>
  <c r="T23" i="3"/>
  <c r="AA22" i="3"/>
  <c r="Z22" i="3"/>
  <c r="Y22" i="3"/>
  <c r="X22" i="3"/>
  <c r="W22" i="3"/>
  <c r="V22" i="3"/>
  <c r="U22" i="3"/>
  <c r="T22" i="3"/>
  <c r="AA21" i="3"/>
  <c r="Z21" i="3"/>
  <c r="Y21" i="3"/>
  <c r="X21" i="3"/>
  <c r="W21" i="3"/>
  <c r="V21" i="3"/>
  <c r="U21" i="3"/>
  <c r="T21" i="3"/>
  <c r="AA20" i="3"/>
  <c r="Z20" i="3"/>
  <c r="Y20" i="3"/>
  <c r="X20" i="3"/>
  <c r="W20" i="3"/>
  <c r="V20" i="3"/>
  <c r="U20" i="3"/>
  <c r="T20" i="3"/>
  <c r="AA19" i="3"/>
  <c r="Z19" i="3"/>
  <c r="Y19" i="3"/>
  <c r="X19" i="3"/>
  <c r="W19" i="3"/>
  <c r="V19" i="3"/>
  <c r="U19" i="3"/>
  <c r="T19" i="3"/>
  <c r="AA18" i="3"/>
  <c r="Z18" i="3"/>
  <c r="Y18" i="3"/>
  <c r="X18" i="3"/>
  <c r="W18" i="3"/>
  <c r="V18" i="3"/>
  <c r="U18" i="3"/>
  <c r="T18" i="3"/>
  <c r="AA17" i="3"/>
  <c r="Z17" i="3"/>
  <c r="Y17" i="3"/>
  <c r="X17" i="3"/>
  <c r="W17" i="3"/>
  <c r="V17" i="3"/>
  <c r="U17" i="3"/>
  <c r="T17" i="3"/>
  <c r="AA16" i="3"/>
  <c r="Z16" i="3"/>
  <c r="Y16" i="3"/>
  <c r="X16" i="3"/>
  <c r="W16" i="3"/>
  <c r="V16" i="3"/>
  <c r="U16" i="3"/>
  <c r="T16" i="3"/>
  <c r="AA15" i="3"/>
  <c r="Z15" i="3"/>
  <c r="Y15" i="3"/>
  <c r="X15" i="3"/>
  <c r="W15" i="3"/>
  <c r="V15" i="3"/>
  <c r="U15" i="3"/>
  <c r="T15" i="3"/>
  <c r="AA14" i="3"/>
  <c r="Z14" i="3"/>
  <c r="Y14" i="3"/>
  <c r="X14" i="3"/>
  <c r="W14" i="3"/>
  <c r="V14" i="3"/>
  <c r="U14" i="3"/>
  <c r="T14" i="3"/>
  <c r="AA13" i="3"/>
  <c r="Z13" i="3"/>
  <c r="Y13" i="3"/>
  <c r="X13" i="3"/>
  <c r="W13" i="3"/>
  <c r="V13" i="3"/>
  <c r="U13" i="3"/>
  <c r="T13" i="3"/>
  <c r="AA12" i="3"/>
  <c r="Z12" i="3"/>
  <c r="Y12" i="3"/>
  <c r="X12" i="3"/>
  <c r="W12" i="3"/>
  <c r="V12" i="3"/>
  <c r="U12" i="3"/>
  <c r="T12" i="3"/>
  <c r="AA11" i="3"/>
  <c r="Z11" i="3"/>
  <c r="Y11" i="3"/>
  <c r="X11" i="3"/>
  <c r="W11" i="3"/>
  <c r="V11" i="3"/>
  <c r="U11" i="3"/>
  <c r="T11" i="3"/>
  <c r="AA10" i="3"/>
  <c r="Z10" i="3"/>
  <c r="Y10" i="3"/>
  <c r="X10" i="3"/>
  <c r="W10" i="3"/>
  <c r="V10" i="3"/>
  <c r="U10" i="3"/>
  <c r="T10" i="3"/>
  <c r="AA9" i="3"/>
  <c r="Z9" i="3"/>
  <c r="Y9" i="3"/>
  <c r="X9" i="3"/>
  <c r="W9" i="3"/>
  <c r="V9" i="3"/>
  <c r="U9" i="3"/>
  <c r="T9" i="3"/>
  <c r="AA8" i="3"/>
  <c r="Z8" i="3"/>
  <c r="Y8" i="3"/>
  <c r="X8" i="3"/>
  <c r="W8" i="3"/>
  <c r="V8" i="3"/>
  <c r="U8" i="3"/>
  <c r="T8" i="3"/>
  <c r="AA7" i="3"/>
  <c r="Z7" i="3"/>
  <c r="Y7" i="3"/>
  <c r="X7" i="3"/>
  <c r="W7" i="3"/>
  <c r="V7" i="3"/>
  <c r="U7" i="3"/>
  <c r="T7" i="3"/>
  <c r="AA6" i="3"/>
  <c r="Z6" i="3"/>
  <c r="Y6" i="3"/>
  <c r="X6" i="3"/>
  <c r="W6" i="3"/>
  <c r="V6" i="3"/>
  <c r="U6" i="3"/>
  <c r="T6" i="3"/>
  <c r="AA5" i="3"/>
  <c r="Z5" i="3"/>
  <c r="Y5" i="3"/>
  <c r="X5" i="3"/>
  <c r="W5" i="3"/>
  <c r="V5" i="3"/>
  <c r="U5" i="3"/>
  <c r="T5" i="3"/>
  <c r="AA4" i="3"/>
  <c r="Z4" i="3"/>
  <c r="Y4" i="3"/>
  <c r="X4" i="3"/>
  <c r="W4" i="3"/>
  <c r="V4" i="3"/>
  <c r="U4" i="3"/>
  <c r="T4" i="3"/>
  <c r="AA3" i="3"/>
  <c r="Z3" i="3"/>
  <c r="Y3" i="3"/>
  <c r="X3" i="3"/>
  <c r="W3" i="3"/>
  <c r="V3" i="3"/>
  <c r="U3" i="3"/>
  <c r="T3" i="3"/>
  <c r="AA2" i="3"/>
  <c r="Z2" i="3"/>
  <c r="Y2" i="3"/>
  <c r="X2" i="3"/>
  <c r="W2" i="3"/>
  <c r="V2" i="3"/>
  <c r="U2" i="3"/>
  <c r="AI33" i="3"/>
  <c r="AH33" i="3"/>
  <c r="AG33" i="3"/>
  <c r="AF33" i="3"/>
  <c r="AE33" i="3"/>
  <c r="AD33" i="3"/>
  <c r="AC33" i="3"/>
  <c r="AB33" i="3"/>
  <c r="AI32" i="3"/>
  <c r="AH32" i="3"/>
  <c r="AG32" i="3"/>
  <c r="AF32" i="3"/>
  <c r="AE32" i="3"/>
  <c r="AD32" i="3"/>
  <c r="AC32" i="3"/>
  <c r="AB32" i="3"/>
  <c r="AI31" i="3"/>
  <c r="AH31" i="3"/>
  <c r="AG31" i="3"/>
  <c r="AF31" i="3"/>
  <c r="AE31" i="3"/>
  <c r="AD31" i="3"/>
  <c r="AC31" i="3"/>
  <c r="AB31" i="3"/>
  <c r="AI30" i="3"/>
  <c r="AH30" i="3"/>
  <c r="AG30" i="3"/>
  <c r="AF30" i="3"/>
  <c r="AE30" i="3"/>
  <c r="AD30" i="3"/>
  <c r="AC30" i="3"/>
  <c r="AB30" i="3"/>
  <c r="AI29" i="3"/>
  <c r="AH29" i="3"/>
  <c r="AG29" i="3"/>
  <c r="AF29" i="3"/>
  <c r="AE29" i="3"/>
  <c r="AD29" i="3"/>
  <c r="AC29" i="3"/>
  <c r="AB29" i="3"/>
  <c r="AI28" i="3"/>
  <c r="AH28" i="3"/>
  <c r="AG28" i="3"/>
  <c r="AF28" i="3"/>
  <c r="AE28" i="3"/>
  <c r="AD28" i="3"/>
  <c r="AC28" i="3"/>
  <c r="AB28" i="3"/>
  <c r="AI27" i="3"/>
  <c r="AH27" i="3"/>
  <c r="AG27" i="3"/>
  <c r="AF27" i="3"/>
  <c r="AE27" i="3"/>
  <c r="AD27" i="3"/>
  <c r="AC27" i="3"/>
  <c r="AB27" i="3"/>
  <c r="AI26" i="3"/>
  <c r="AH26" i="3"/>
  <c r="AG26" i="3"/>
  <c r="AF26" i="3"/>
  <c r="AE26" i="3"/>
  <c r="AD26" i="3"/>
  <c r="AC26" i="3"/>
  <c r="AB26" i="3"/>
  <c r="AI25" i="3"/>
  <c r="AH25" i="3"/>
  <c r="AG25" i="3"/>
  <c r="AF25" i="3"/>
  <c r="AE25" i="3"/>
  <c r="AD25" i="3"/>
  <c r="AC25" i="3"/>
  <c r="AB25" i="3"/>
  <c r="AI24" i="3"/>
  <c r="AH24" i="3"/>
  <c r="AG24" i="3"/>
  <c r="AF24" i="3"/>
  <c r="AE24" i="3"/>
  <c r="AD24" i="3"/>
  <c r="AC24" i="3"/>
  <c r="AB24" i="3"/>
  <c r="AI23" i="3"/>
  <c r="AH23" i="3"/>
  <c r="AG23" i="3"/>
  <c r="AF23" i="3"/>
  <c r="AE23" i="3"/>
  <c r="AD23" i="3"/>
  <c r="AC23" i="3"/>
  <c r="AB23" i="3"/>
  <c r="AI22" i="3"/>
  <c r="AH22" i="3"/>
  <c r="AG22" i="3"/>
  <c r="AF22" i="3"/>
  <c r="AE22" i="3"/>
  <c r="AD22" i="3"/>
  <c r="AC22" i="3"/>
  <c r="AB22" i="3"/>
  <c r="AI21" i="3"/>
  <c r="AH21" i="3"/>
  <c r="AG21" i="3"/>
  <c r="AF21" i="3"/>
  <c r="AE21" i="3"/>
  <c r="AD21" i="3"/>
  <c r="AC21" i="3"/>
  <c r="AB21" i="3"/>
  <c r="AI20" i="3"/>
  <c r="AH20" i="3"/>
  <c r="AG20" i="3"/>
  <c r="AF20" i="3"/>
  <c r="AE20" i="3"/>
  <c r="AD20" i="3"/>
  <c r="AC20" i="3"/>
  <c r="AB20" i="3"/>
  <c r="AI19" i="3"/>
  <c r="AH19" i="3"/>
  <c r="AG19" i="3"/>
  <c r="AF19" i="3"/>
  <c r="AE19" i="3"/>
  <c r="AD19" i="3"/>
  <c r="AC19" i="3"/>
  <c r="AB19" i="3"/>
  <c r="AI18" i="3"/>
  <c r="AH18" i="3"/>
  <c r="AG18" i="3"/>
  <c r="AF18" i="3"/>
  <c r="AE18" i="3"/>
  <c r="AD18" i="3"/>
  <c r="AC18" i="3"/>
  <c r="AB18" i="3"/>
  <c r="AI17" i="3"/>
  <c r="AH17" i="3"/>
  <c r="AG17" i="3"/>
  <c r="AF17" i="3"/>
  <c r="AE17" i="3"/>
  <c r="AD17" i="3"/>
  <c r="AC17" i="3"/>
  <c r="AB17" i="3"/>
  <c r="AI16" i="3"/>
  <c r="AH16" i="3"/>
  <c r="AG16" i="3"/>
  <c r="AF16" i="3"/>
  <c r="AE16" i="3"/>
  <c r="AD16" i="3"/>
  <c r="AC16" i="3"/>
  <c r="AB16" i="3"/>
  <c r="AI15" i="3"/>
  <c r="AH15" i="3"/>
  <c r="AG15" i="3"/>
  <c r="AF15" i="3"/>
  <c r="AE15" i="3"/>
  <c r="AD15" i="3"/>
  <c r="AC15" i="3"/>
  <c r="AB15" i="3"/>
  <c r="AI14" i="3"/>
  <c r="AH14" i="3"/>
  <c r="AG14" i="3"/>
  <c r="AF14" i="3"/>
  <c r="AE14" i="3"/>
  <c r="AD14" i="3"/>
  <c r="AC14" i="3"/>
  <c r="AB14" i="3"/>
  <c r="AI13" i="3"/>
  <c r="AH13" i="3"/>
  <c r="AG13" i="3"/>
  <c r="AF13" i="3"/>
  <c r="AE13" i="3"/>
  <c r="AD13" i="3"/>
  <c r="AC13" i="3"/>
  <c r="AB13" i="3"/>
  <c r="AI12" i="3"/>
  <c r="AH12" i="3"/>
  <c r="AG12" i="3"/>
  <c r="AF12" i="3"/>
  <c r="AE12" i="3"/>
  <c r="AD12" i="3"/>
  <c r="AC12" i="3"/>
  <c r="AB12" i="3"/>
  <c r="AI11" i="3"/>
  <c r="AH11" i="3"/>
  <c r="AG11" i="3"/>
  <c r="AF11" i="3"/>
  <c r="AE11" i="3"/>
  <c r="AD11" i="3"/>
  <c r="AC11" i="3"/>
  <c r="AB11" i="3"/>
  <c r="AI10" i="3"/>
  <c r="AH10" i="3"/>
  <c r="AG10" i="3"/>
  <c r="AF10" i="3"/>
  <c r="AE10" i="3"/>
  <c r="AD10" i="3"/>
  <c r="AC10" i="3"/>
  <c r="AB10" i="3"/>
  <c r="AI9" i="3"/>
  <c r="AH9" i="3"/>
  <c r="AG9" i="3"/>
  <c r="AF9" i="3"/>
  <c r="AE9" i="3"/>
  <c r="AD9" i="3"/>
  <c r="AC9" i="3"/>
  <c r="AB9" i="3"/>
  <c r="AI8" i="3"/>
  <c r="AH8" i="3"/>
  <c r="AG8" i="3"/>
  <c r="AF8" i="3"/>
  <c r="AE8" i="3"/>
  <c r="AD8" i="3"/>
  <c r="AC8" i="3"/>
  <c r="AB8" i="3"/>
  <c r="AI7" i="3"/>
  <c r="AH7" i="3"/>
  <c r="AG7" i="3"/>
  <c r="AF7" i="3"/>
  <c r="AE7" i="3"/>
  <c r="AD7" i="3"/>
  <c r="AC7" i="3"/>
  <c r="AB7" i="3"/>
  <c r="AI6" i="3"/>
  <c r="AH6" i="3"/>
  <c r="AG6" i="3"/>
  <c r="AF6" i="3"/>
  <c r="AE6" i="3"/>
  <c r="AD6" i="3"/>
  <c r="AC6" i="3"/>
  <c r="AB6" i="3"/>
  <c r="AI5" i="3"/>
  <c r="AH5" i="3"/>
  <c r="AG5" i="3"/>
  <c r="AF5" i="3"/>
  <c r="AE5" i="3"/>
  <c r="AD5" i="3"/>
  <c r="AC5" i="3"/>
  <c r="AB5" i="3"/>
  <c r="AI4" i="3"/>
  <c r="AH4" i="3"/>
  <c r="AG4" i="3"/>
  <c r="AF4" i="3"/>
  <c r="AE4" i="3"/>
  <c r="AD4" i="3"/>
  <c r="AC4" i="3"/>
  <c r="AB4" i="3"/>
  <c r="AI3" i="3"/>
  <c r="AH3" i="3"/>
  <c r="AG3" i="3"/>
  <c r="AF3" i="3"/>
  <c r="AE3" i="3"/>
  <c r="AD3" i="3"/>
  <c r="AC3" i="3"/>
  <c r="AB3" i="3"/>
  <c r="AI2" i="3"/>
  <c r="AH2" i="3"/>
  <c r="AG2" i="3"/>
  <c r="AF2" i="3"/>
  <c r="AE2" i="3"/>
  <c r="AD2" i="3"/>
  <c r="AC2" i="3"/>
  <c r="AB2" i="3"/>
  <c r="AF33" i="7" l="1"/>
  <c r="AE33" i="7"/>
  <c r="AD33" i="7"/>
  <c r="AC33" i="7"/>
  <c r="AB33" i="7"/>
  <c r="AA33" i="7"/>
  <c r="AF32" i="7"/>
  <c r="AE32" i="7"/>
  <c r="AD32" i="7"/>
  <c r="AC32" i="7"/>
  <c r="AB32" i="7"/>
  <c r="AA32" i="7"/>
  <c r="AF31" i="7"/>
  <c r="AE31" i="7"/>
  <c r="AD31" i="7"/>
  <c r="AC31" i="7"/>
  <c r="AB31" i="7"/>
  <c r="AA31" i="7"/>
  <c r="AF30" i="7"/>
  <c r="AE30" i="7"/>
  <c r="AD30" i="7"/>
  <c r="AC30" i="7"/>
  <c r="AB30" i="7"/>
  <c r="AA30" i="7"/>
  <c r="AF29" i="7"/>
  <c r="AE29" i="7"/>
  <c r="AD29" i="7"/>
  <c r="AC29" i="7"/>
  <c r="AB29" i="7"/>
  <c r="AA29" i="7"/>
  <c r="AF28" i="7"/>
  <c r="AE28" i="7"/>
  <c r="AD28" i="7"/>
  <c r="AC28" i="7"/>
  <c r="AB28" i="7"/>
  <c r="AA28" i="7"/>
  <c r="AF27" i="7"/>
  <c r="AE27" i="7"/>
  <c r="AD27" i="7"/>
  <c r="AC27" i="7"/>
  <c r="AB27" i="7"/>
  <c r="AA27" i="7"/>
  <c r="AF26" i="7"/>
  <c r="AE26" i="7"/>
  <c r="AD26" i="7"/>
  <c r="AC26" i="7"/>
  <c r="AB26" i="7"/>
  <c r="AA26" i="7"/>
  <c r="AF25" i="7"/>
  <c r="AE25" i="7"/>
  <c r="AD25" i="7"/>
  <c r="AC25" i="7"/>
  <c r="AB25" i="7"/>
  <c r="AA25" i="7"/>
  <c r="AF24" i="7"/>
  <c r="AE24" i="7"/>
  <c r="AD24" i="7"/>
  <c r="AC24" i="7"/>
  <c r="AB24" i="7"/>
  <c r="AA24" i="7"/>
  <c r="AF23" i="7"/>
  <c r="AE23" i="7"/>
  <c r="AD23" i="7"/>
  <c r="AC23" i="7"/>
  <c r="AB23" i="7"/>
  <c r="AA23" i="7"/>
  <c r="AF22" i="7"/>
  <c r="AE22" i="7"/>
  <c r="AD22" i="7"/>
  <c r="AC22" i="7"/>
  <c r="AB22" i="7"/>
  <c r="AA22" i="7"/>
  <c r="AF21" i="7"/>
  <c r="AE21" i="7"/>
  <c r="AD21" i="7"/>
  <c r="AC21" i="7"/>
  <c r="AB21" i="7"/>
  <c r="AA21" i="7"/>
  <c r="AF20" i="7"/>
  <c r="AE20" i="7"/>
  <c r="AD20" i="7"/>
  <c r="AC20" i="7"/>
  <c r="AB20" i="7"/>
  <c r="AA20" i="7"/>
  <c r="AF19" i="7"/>
  <c r="AE19" i="7"/>
  <c r="AD19" i="7"/>
  <c r="AC19" i="7"/>
  <c r="AB19" i="7"/>
  <c r="AA19" i="7"/>
  <c r="AF18" i="7"/>
  <c r="AE18" i="7"/>
  <c r="AD18" i="7"/>
  <c r="AC18" i="7"/>
  <c r="AB18" i="7"/>
  <c r="AA18" i="7"/>
  <c r="AF17" i="7"/>
  <c r="AE17" i="7"/>
  <c r="AD17" i="7"/>
  <c r="AC17" i="7"/>
  <c r="AB17" i="7"/>
  <c r="AA17" i="7"/>
  <c r="AF16" i="7"/>
  <c r="AE16" i="7"/>
  <c r="AD16" i="7"/>
  <c r="AC16" i="7"/>
  <c r="AB16" i="7"/>
  <c r="AA16" i="7"/>
  <c r="AF15" i="7"/>
  <c r="AE15" i="7"/>
  <c r="AD15" i="7"/>
  <c r="AC15" i="7"/>
  <c r="AB15" i="7"/>
  <c r="AA15" i="7"/>
  <c r="AF14" i="7"/>
  <c r="AE14" i="7"/>
  <c r="AD14" i="7"/>
  <c r="AC14" i="7"/>
  <c r="AB14" i="7"/>
  <c r="AA14" i="7"/>
  <c r="AF13" i="7"/>
  <c r="AE13" i="7"/>
  <c r="AD13" i="7"/>
  <c r="AC13" i="7"/>
  <c r="AB13" i="7"/>
  <c r="AA13" i="7"/>
  <c r="AF12" i="7"/>
  <c r="AE12" i="7"/>
  <c r="AD12" i="7"/>
  <c r="AC12" i="7"/>
  <c r="AB12" i="7"/>
  <c r="AA12" i="7"/>
  <c r="AF11" i="7"/>
  <c r="AE11" i="7"/>
  <c r="AD11" i="7"/>
  <c r="AC11" i="7"/>
  <c r="AB11" i="7"/>
  <c r="AA11" i="7"/>
  <c r="AF10" i="7"/>
  <c r="AE10" i="7"/>
  <c r="AD10" i="7"/>
  <c r="AC10" i="7"/>
  <c r="AB10" i="7"/>
  <c r="AA10" i="7"/>
  <c r="AF9" i="7"/>
  <c r="AE9" i="7"/>
  <c r="AD9" i="7"/>
  <c r="AC9" i="7"/>
  <c r="AB9" i="7"/>
  <c r="AA9" i="7"/>
  <c r="AF8" i="7"/>
  <c r="AE8" i="7"/>
  <c r="AD8" i="7"/>
  <c r="AC8" i="7"/>
  <c r="AB8" i="7"/>
  <c r="AA8" i="7"/>
  <c r="AF7" i="7"/>
  <c r="AE7" i="7"/>
  <c r="AD7" i="7"/>
  <c r="AC7" i="7"/>
  <c r="AB7" i="7"/>
  <c r="AA7" i="7"/>
  <c r="AF6" i="7"/>
  <c r="AE6" i="7"/>
  <c r="AD6" i="7"/>
  <c r="AC6" i="7"/>
  <c r="AB6" i="7"/>
  <c r="AA6" i="7"/>
  <c r="AF5" i="7"/>
  <c r="AE5" i="7"/>
  <c r="AD5" i="7"/>
  <c r="AC5" i="7"/>
  <c r="AB5" i="7"/>
  <c r="AA5" i="7"/>
  <c r="AF4" i="7"/>
  <c r="AE4" i="7"/>
  <c r="AD4" i="7"/>
  <c r="AC4" i="7"/>
  <c r="AB4" i="7"/>
  <c r="AA4" i="7"/>
  <c r="AF3" i="7"/>
  <c r="AE3" i="7"/>
  <c r="AD3" i="7"/>
  <c r="AC3" i="7"/>
  <c r="AB3" i="7"/>
  <c r="AA3" i="7"/>
  <c r="AF2" i="7"/>
  <c r="AE2" i="7"/>
  <c r="AD2" i="7"/>
  <c r="AC2" i="7"/>
  <c r="AB2" i="7"/>
  <c r="AA2" i="7"/>
  <c r="X3" i="7" l="1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2" i="7"/>
  <c r="X2" i="7"/>
  <c r="C26" i="12"/>
  <c r="C23" i="12"/>
  <c r="C20" i="12"/>
  <c r="C17" i="12"/>
  <c r="C14" i="12"/>
  <c r="C11" i="12"/>
  <c r="C8" i="12"/>
  <c r="C5" i="12"/>
  <c r="Z28" i="7" l="1"/>
  <c r="Y28" i="7"/>
  <c r="Y20" i="7"/>
  <c r="Z20" i="7"/>
  <c r="Y4" i="7"/>
  <c r="Z4" i="7"/>
  <c r="Z31" i="7"/>
  <c r="Y31" i="7"/>
  <c r="Y27" i="7"/>
  <c r="Z27" i="7"/>
  <c r="Z23" i="7"/>
  <c r="Y23" i="7"/>
  <c r="Y19" i="7"/>
  <c r="Z19" i="7"/>
  <c r="Y15" i="7"/>
  <c r="Z15" i="7"/>
  <c r="Y11" i="7"/>
  <c r="Z11" i="7"/>
  <c r="Y7" i="7"/>
  <c r="Z7" i="7"/>
  <c r="Y3" i="7"/>
  <c r="Z3" i="7"/>
  <c r="Y32" i="7"/>
  <c r="Z32" i="7"/>
  <c r="Z24" i="7"/>
  <c r="Y24" i="7"/>
  <c r="Y12" i="7"/>
  <c r="Z12" i="7"/>
  <c r="Z8" i="7"/>
  <c r="Y8" i="7"/>
  <c r="Y2" i="7"/>
  <c r="Z2" i="7"/>
  <c r="Z30" i="7"/>
  <c r="Y30" i="7"/>
  <c r="Z26" i="7"/>
  <c r="Y26" i="7"/>
  <c r="Z22" i="7"/>
  <c r="Y22" i="7"/>
  <c r="Y18" i="7"/>
  <c r="Z18" i="7"/>
  <c r="Y14" i="7"/>
  <c r="Z14" i="7"/>
  <c r="Y10" i="7"/>
  <c r="Z10" i="7"/>
  <c r="Y6" i="7"/>
  <c r="Z6" i="7"/>
  <c r="Y16" i="7"/>
  <c r="Z16" i="7"/>
  <c r="Z33" i="7"/>
  <c r="Y33" i="7"/>
  <c r="Y29" i="7"/>
  <c r="Z29" i="7"/>
  <c r="Y25" i="7"/>
  <c r="Z25" i="7"/>
  <c r="Y21" i="7"/>
  <c r="Z21" i="7"/>
  <c r="Y17" i="7"/>
  <c r="Z17" i="7"/>
  <c r="Y13" i="7"/>
  <c r="Z13" i="7"/>
  <c r="Z9" i="7"/>
  <c r="Y9" i="7"/>
  <c r="Y5" i="7"/>
  <c r="Z5" i="7"/>
  <c r="V33" i="7"/>
  <c r="U33" i="7"/>
  <c r="V32" i="7"/>
  <c r="U32" i="7"/>
  <c r="V31" i="7"/>
  <c r="U31" i="7"/>
  <c r="V30" i="7"/>
  <c r="U30" i="7"/>
  <c r="V29" i="7"/>
  <c r="U29" i="7"/>
  <c r="V28" i="7"/>
  <c r="U28" i="7"/>
  <c r="V27" i="7"/>
  <c r="U27" i="7"/>
  <c r="V26" i="7"/>
  <c r="U26" i="7"/>
  <c r="V25" i="7"/>
  <c r="U25" i="7"/>
  <c r="V24" i="7"/>
  <c r="U24" i="7"/>
  <c r="V23" i="7"/>
  <c r="U23" i="7"/>
  <c r="V22" i="7"/>
  <c r="U22" i="7"/>
  <c r="V21" i="7"/>
  <c r="U21" i="7"/>
  <c r="V20" i="7"/>
  <c r="U20" i="7"/>
  <c r="V19" i="7"/>
  <c r="U19" i="7"/>
  <c r="V18" i="7"/>
  <c r="U18" i="7"/>
  <c r="V17" i="7"/>
  <c r="U17" i="7"/>
  <c r="V16" i="7"/>
  <c r="U16" i="7"/>
  <c r="V15" i="7"/>
  <c r="U15" i="7"/>
  <c r="V14" i="7"/>
  <c r="U14" i="7"/>
  <c r="V13" i="7"/>
  <c r="U13" i="7"/>
  <c r="V12" i="7"/>
  <c r="U12" i="7"/>
  <c r="V11" i="7"/>
  <c r="U11" i="7"/>
  <c r="V10" i="7"/>
  <c r="U10" i="7"/>
  <c r="V9" i="7"/>
  <c r="U9" i="7"/>
  <c r="V8" i="7"/>
  <c r="U8" i="7"/>
  <c r="V7" i="7"/>
  <c r="U7" i="7"/>
  <c r="V6" i="7"/>
  <c r="U6" i="7"/>
  <c r="V5" i="7"/>
  <c r="U5" i="7"/>
  <c r="V4" i="7"/>
  <c r="U4" i="7"/>
  <c r="V3" i="7"/>
  <c r="U3" i="7"/>
  <c r="V2" i="7"/>
  <c r="U2" i="7"/>
  <c r="T33" i="7"/>
  <c r="R33" i="7" s="1"/>
  <c r="P33" i="7" s="1"/>
  <c r="S33" i="7"/>
  <c r="Q33" i="7" s="1"/>
  <c r="O33" i="7" s="1"/>
  <c r="T32" i="7"/>
  <c r="R32" i="7" s="1"/>
  <c r="S32" i="7"/>
  <c r="T31" i="7"/>
  <c r="R31" i="7" s="1"/>
  <c r="S31" i="7"/>
  <c r="Q31" i="7" s="1"/>
  <c r="T30" i="7"/>
  <c r="S30" i="7"/>
  <c r="T29" i="7"/>
  <c r="R29" i="7" s="1"/>
  <c r="S29" i="7"/>
  <c r="Q29" i="7" s="1"/>
  <c r="T28" i="7"/>
  <c r="R28" i="7" s="1"/>
  <c r="S28" i="7"/>
  <c r="Q28" i="7" s="1"/>
  <c r="T27" i="7"/>
  <c r="R27" i="7" s="1"/>
  <c r="S27" i="7"/>
  <c r="Q27" i="7" s="1"/>
  <c r="T26" i="7"/>
  <c r="R26" i="7" s="1"/>
  <c r="S26" i="7"/>
  <c r="Q26" i="7" s="1"/>
  <c r="T25" i="7"/>
  <c r="R25" i="7" s="1"/>
  <c r="S25" i="7"/>
  <c r="Q25" i="7" s="1"/>
  <c r="T24" i="7"/>
  <c r="R24" i="7" s="1"/>
  <c r="S24" i="7"/>
  <c r="Q24" i="7" s="1"/>
  <c r="T23" i="7"/>
  <c r="R23" i="7" s="1"/>
  <c r="S23" i="7"/>
  <c r="Q23" i="7" s="1"/>
  <c r="T22" i="7"/>
  <c r="R22" i="7" s="1"/>
  <c r="S22" i="7"/>
  <c r="Q22" i="7" s="1"/>
  <c r="T21" i="7"/>
  <c r="R21" i="7" s="1"/>
  <c r="S21" i="7"/>
  <c r="Q21" i="7" s="1"/>
  <c r="T20" i="7"/>
  <c r="R20" i="7" s="1"/>
  <c r="S20" i="7"/>
  <c r="Q20" i="7" s="1"/>
  <c r="T19" i="7"/>
  <c r="R19" i="7" s="1"/>
  <c r="S19" i="7"/>
  <c r="Q19" i="7" s="1"/>
  <c r="T18" i="7"/>
  <c r="R18" i="7" s="1"/>
  <c r="S18" i="7"/>
  <c r="T17" i="7"/>
  <c r="R17" i="7" s="1"/>
  <c r="S17" i="7"/>
  <c r="Q17" i="7" s="1"/>
  <c r="T16" i="7"/>
  <c r="R16" i="7" s="1"/>
  <c r="S16" i="7"/>
  <c r="Q16" i="7" s="1"/>
  <c r="T15" i="7"/>
  <c r="R15" i="7" s="1"/>
  <c r="S15" i="7"/>
  <c r="Q15" i="7" s="1"/>
  <c r="T14" i="7"/>
  <c r="R14" i="7" s="1"/>
  <c r="S14" i="7"/>
  <c r="T13" i="7"/>
  <c r="R13" i="7" s="1"/>
  <c r="S13" i="7"/>
  <c r="Q13" i="7" s="1"/>
  <c r="T12" i="7"/>
  <c r="R12" i="7" s="1"/>
  <c r="S12" i="7"/>
  <c r="Q12" i="7" s="1"/>
  <c r="T11" i="7"/>
  <c r="R11" i="7" s="1"/>
  <c r="S11" i="7"/>
  <c r="Q11" i="7" s="1"/>
  <c r="T10" i="7"/>
  <c r="R10" i="7" s="1"/>
  <c r="S10" i="7"/>
  <c r="Q10" i="7" s="1"/>
  <c r="T9" i="7"/>
  <c r="R9" i="7" s="1"/>
  <c r="S9" i="7"/>
  <c r="Q9" i="7" s="1"/>
  <c r="T8" i="7"/>
  <c r="R8" i="7" s="1"/>
  <c r="S8" i="7"/>
  <c r="Q8" i="7" s="1"/>
  <c r="T7" i="7"/>
  <c r="R7" i="7" s="1"/>
  <c r="S7" i="7"/>
  <c r="Q7" i="7" s="1"/>
  <c r="T6" i="7"/>
  <c r="S6" i="7"/>
  <c r="Q6" i="7" s="1"/>
  <c r="T5" i="7"/>
  <c r="R5" i="7" s="1"/>
  <c r="S5" i="7"/>
  <c r="Q5" i="7" s="1"/>
  <c r="T4" i="7"/>
  <c r="R4" i="7" s="1"/>
  <c r="S4" i="7"/>
  <c r="Q4" i="7" s="1"/>
  <c r="T3" i="7"/>
  <c r="R3" i="7" s="1"/>
  <c r="S3" i="7"/>
  <c r="T2" i="7"/>
  <c r="R2" i="7" s="1"/>
  <c r="S2" i="7"/>
  <c r="Q2" i="7" s="1"/>
  <c r="R6" i="7" l="1"/>
  <c r="O2" i="7"/>
  <c r="P2" i="7"/>
  <c r="Q3" i="7"/>
  <c r="O3" i="7" s="1"/>
  <c r="P9" i="7"/>
  <c r="Q18" i="7"/>
  <c r="O19" i="7"/>
  <c r="O27" i="7"/>
  <c r="Q14" i="7"/>
  <c r="O14" i="7" s="1"/>
  <c r="R30" i="7"/>
  <c r="P30" i="7" s="1"/>
  <c r="Q32" i="7"/>
  <c r="O32" i="7" s="1"/>
  <c r="P4" i="7"/>
  <c r="P8" i="7"/>
  <c r="P14" i="7"/>
  <c r="O26" i="7"/>
  <c r="P26" i="7"/>
  <c r="P28" i="7"/>
  <c r="O11" i="7"/>
  <c r="P24" i="7"/>
  <c r="P6" i="7"/>
  <c r="O9" i="7"/>
  <c r="P22" i="7"/>
  <c r="O17" i="7"/>
  <c r="O25" i="7"/>
  <c r="O4" i="7"/>
  <c r="O6" i="7"/>
  <c r="O8" i="7"/>
  <c r="O10" i="7"/>
  <c r="O12" i="7"/>
  <c r="O16" i="7"/>
  <c r="O18" i="7"/>
  <c r="O20" i="7"/>
  <c r="O22" i="7"/>
  <c r="O24" i="7"/>
  <c r="O28" i="7"/>
  <c r="Q30" i="7"/>
  <c r="O30" i="7" s="1"/>
  <c r="P3" i="7"/>
  <c r="P11" i="7"/>
  <c r="P17" i="7"/>
  <c r="P19" i="7"/>
  <c r="P25" i="7"/>
  <c r="P27" i="7"/>
  <c r="O5" i="7"/>
  <c r="O7" i="7"/>
  <c r="O13" i="7"/>
  <c r="O15" i="7"/>
  <c r="O21" i="7"/>
  <c r="O29" i="7"/>
  <c r="P23" i="7"/>
  <c r="P31" i="7"/>
  <c r="P10" i="7"/>
  <c r="P12" i="7"/>
  <c r="P16" i="7"/>
  <c r="P18" i="7"/>
  <c r="P20" i="7"/>
  <c r="P32" i="7"/>
  <c r="P5" i="7"/>
  <c r="P7" i="7"/>
  <c r="P13" i="7"/>
  <c r="P15" i="7"/>
  <c r="P21" i="7"/>
  <c r="P29" i="7"/>
  <c r="O23" i="7"/>
  <c r="O31" i="7"/>
  <c r="I33" i="7" l="1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2" i="3"/>
  <c r="O2" i="4" l="1"/>
  <c r="E26" i="12" l="1"/>
  <c r="B26" i="12"/>
  <c r="E23" i="12"/>
  <c r="B23" i="12"/>
  <c r="E20" i="12"/>
  <c r="B20" i="12"/>
  <c r="E17" i="12"/>
  <c r="B17" i="12"/>
  <c r="E14" i="12"/>
  <c r="B14" i="12"/>
  <c r="E11" i="12"/>
  <c r="B11" i="12"/>
  <c r="E8" i="12"/>
  <c r="B8" i="12"/>
  <c r="E5" i="12"/>
  <c r="B5" i="12"/>
  <c r="C35" i="11"/>
  <c r="E35" i="11" s="1"/>
  <c r="B35" i="11"/>
  <c r="C34" i="11"/>
  <c r="E34" i="11" s="1"/>
  <c r="B34" i="11"/>
  <c r="C31" i="11"/>
  <c r="E31" i="11" s="1"/>
  <c r="B31" i="11"/>
  <c r="C30" i="11"/>
  <c r="E30" i="11" s="1"/>
  <c r="B30" i="11"/>
  <c r="C27" i="11"/>
  <c r="E27" i="11" s="1"/>
  <c r="B27" i="11"/>
  <c r="C26" i="11"/>
  <c r="E26" i="11" s="1"/>
  <c r="B26" i="11"/>
  <c r="C23" i="11"/>
  <c r="E23" i="11" s="1"/>
  <c r="B23" i="11"/>
  <c r="C22" i="11"/>
  <c r="E22" i="11" s="1"/>
  <c r="B22" i="11"/>
  <c r="C19" i="11"/>
  <c r="E19" i="11" s="1"/>
  <c r="B19" i="11"/>
  <c r="C18" i="11"/>
  <c r="E18" i="11" s="1"/>
  <c r="B18" i="11"/>
  <c r="C15" i="11"/>
  <c r="E15" i="11" s="1"/>
  <c r="B15" i="11"/>
  <c r="C14" i="11"/>
  <c r="E14" i="11" s="1"/>
  <c r="B14" i="11"/>
  <c r="C11" i="11"/>
  <c r="E11" i="11" s="1"/>
  <c r="B11" i="11"/>
  <c r="C10" i="11"/>
  <c r="E10" i="11" s="1"/>
  <c r="B10" i="11"/>
  <c r="C7" i="11"/>
  <c r="E7" i="11" s="1"/>
  <c r="B7" i="11"/>
  <c r="C6" i="11"/>
  <c r="D6" i="11" s="1"/>
  <c r="B6" i="11"/>
  <c r="E6" i="11" l="1"/>
  <c r="C2" i="11"/>
  <c r="D2" i="11" s="1"/>
  <c r="B2" i="12"/>
  <c r="C2" i="12"/>
  <c r="E2" i="12" s="1"/>
  <c r="D5" i="12"/>
  <c r="D8" i="12"/>
  <c r="D11" i="12"/>
  <c r="D14" i="12"/>
  <c r="D17" i="12"/>
  <c r="D20" i="12"/>
  <c r="D23" i="12"/>
  <c r="D26" i="12"/>
  <c r="E2" i="11"/>
  <c r="B3" i="11"/>
  <c r="B2" i="11"/>
  <c r="C3" i="11"/>
  <c r="E3" i="11" s="1"/>
  <c r="D7" i="11"/>
  <c r="D10" i="11"/>
  <c r="D11" i="11"/>
  <c r="D14" i="11"/>
  <c r="D15" i="11"/>
  <c r="D18" i="11"/>
  <c r="D19" i="11"/>
  <c r="D22" i="11"/>
  <c r="D23" i="11"/>
  <c r="D26" i="11"/>
  <c r="D27" i="11"/>
  <c r="D30" i="11"/>
  <c r="D31" i="11"/>
  <c r="D34" i="11"/>
  <c r="D35" i="11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D2" i="12" l="1"/>
  <c r="D3" i="1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2" i="7"/>
  <c r="C43" i="6"/>
  <c r="E43" i="6" s="1"/>
  <c r="C38" i="6"/>
  <c r="E38" i="6" s="1"/>
  <c r="C33" i="6"/>
  <c r="E33" i="6" s="1"/>
  <c r="C28" i="6"/>
  <c r="E28" i="6" s="1"/>
  <c r="C23" i="6"/>
  <c r="E23" i="6" s="1"/>
  <c r="C18" i="6"/>
  <c r="E18" i="6" s="1"/>
  <c r="C13" i="6"/>
  <c r="E13" i="6" s="1"/>
  <c r="E8" i="6"/>
  <c r="F9" i="8"/>
  <c r="H9" i="8" s="1"/>
  <c r="E9" i="8"/>
  <c r="G9" i="8" s="1"/>
  <c r="B9" i="8"/>
  <c r="F8" i="8"/>
  <c r="H8" i="8" s="1"/>
  <c r="E8" i="8"/>
  <c r="G8" i="8" s="1"/>
  <c r="B8" i="8"/>
  <c r="C8" i="8" s="1"/>
  <c r="F7" i="8"/>
  <c r="H7" i="8" s="1"/>
  <c r="E7" i="8"/>
  <c r="G7" i="8" s="1"/>
  <c r="B7" i="8"/>
  <c r="C7" i="8" s="1"/>
  <c r="F6" i="8"/>
  <c r="H6" i="8" s="1"/>
  <c r="E6" i="8"/>
  <c r="G6" i="8" s="1"/>
  <c r="B6" i="8"/>
  <c r="C6" i="8" s="1"/>
  <c r="D6" i="8" s="1"/>
  <c r="F5" i="8"/>
  <c r="H5" i="8" s="1"/>
  <c r="E5" i="8"/>
  <c r="G5" i="8" s="1"/>
  <c r="B5" i="8"/>
  <c r="F4" i="8"/>
  <c r="H4" i="8" s="1"/>
  <c r="E4" i="8"/>
  <c r="G4" i="8" s="1"/>
  <c r="B4" i="8"/>
  <c r="C4" i="8" s="1"/>
  <c r="F3" i="8"/>
  <c r="H3" i="8" s="1"/>
  <c r="E3" i="8"/>
  <c r="G3" i="8" s="1"/>
  <c r="B3" i="8"/>
  <c r="C3" i="8" s="1"/>
  <c r="F2" i="8"/>
  <c r="H2" i="8" s="1"/>
  <c r="E2" i="8"/>
  <c r="G2" i="8" s="1"/>
  <c r="B2" i="8"/>
  <c r="C2" i="8" s="1"/>
  <c r="D2" i="8" s="1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2" i="7"/>
  <c r="C44" i="6"/>
  <c r="E44" i="6" s="1"/>
  <c r="C39" i="6"/>
  <c r="E39" i="6" s="1"/>
  <c r="C34" i="6"/>
  <c r="E34" i="6" s="1"/>
  <c r="C29" i="6"/>
  <c r="E29" i="6" s="1"/>
  <c r="C24" i="6"/>
  <c r="E24" i="6" s="1"/>
  <c r="C19" i="6"/>
  <c r="E19" i="6" s="1"/>
  <c r="C14" i="6"/>
  <c r="E14" i="6" s="1"/>
  <c r="C9" i="6"/>
  <c r="E9" i="6" s="1"/>
  <c r="C42" i="6"/>
  <c r="D42" i="6" s="1"/>
  <c r="C37" i="6"/>
  <c r="E37" i="6" s="1"/>
  <c r="C32" i="6"/>
  <c r="E32" i="6" s="1"/>
  <c r="C27" i="6"/>
  <c r="E27" i="6" s="1"/>
  <c r="C22" i="6"/>
  <c r="E22" i="6" s="1"/>
  <c r="C17" i="6"/>
  <c r="E17" i="6" s="1"/>
  <c r="C12" i="6"/>
  <c r="B44" i="6"/>
  <c r="B43" i="6"/>
  <c r="B42" i="6"/>
  <c r="B39" i="6"/>
  <c r="B38" i="6"/>
  <c r="B37" i="6"/>
  <c r="B34" i="6"/>
  <c r="B33" i="6"/>
  <c r="B32" i="6"/>
  <c r="B29" i="6"/>
  <c r="B28" i="6"/>
  <c r="B27" i="6"/>
  <c r="B24" i="6"/>
  <c r="B23" i="6"/>
  <c r="B22" i="6"/>
  <c r="B19" i="6"/>
  <c r="B18" i="6"/>
  <c r="B17" i="6"/>
  <c r="B14" i="6"/>
  <c r="B13" i="6"/>
  <c r="B12" i="6"/>
  <c r="B9" i="6"/>
  <c r="B8" i="6"/>
  <c r="B7" i="6"/>
  <c r="E12" i="6" l="1"/>
  <c r="C2" i="6"/>
  <c r="E7" i="6"/>
  <c r="D37" i="6"/>
  <c r="D32" i="6"/>
  <c r="D27" i="6"/>
  <c r="D22" i="6"/>
  <c r="D17" i="6"/>
  <c r="D12" i="6"/>
  <c r="D7" i="6"/>
  <c r="E42" i="6"/>
  <c r="D4" i="8"/>
  <c r="D8" i="8"/>
  <c r="D3" i="8"/>
  <c r="C5" i="8"/>
  <c r="D7" i="8"/>
  <c r="C9" i="8"/>
  <c r="B4" i="6"/>
  <c r="B3" i="6"/>
  <c r="C4" i="6"/>
  <c r="E4" i="6" s="1"/>
  <c r="E2" i="6"/>
  <c r="C3" i="6"/>
  <c r="E3" i="6" s="1"/>
  <c r="B2" i="6"/>
  <c r="D8" i="6"/>
  <c r="D9" i="6"/>
  <c r="D13" i="6"/>
  <c r="D14" i="6"/>
  <c r="D18" i="6"/>
  <c r="D19" i="6"/>
  <c r="D23" i="6"/>
  <c r="D24" i="6"/>
  <c r="D28" i="6"/>
  <c r="D29" i="6"/>
  <c r="D33" i="6"/>
  <c r="D34" i="6"/>
  <c r="D38" i="6"/>
  <c r="D39" i="6"/>
  <c r="D43" i="6"/>
  <c r="D44" i="6"/>
  <c r="D9" i="8" l="1"/>
  <c r="D5" i="8"/>
  <c r="D4" i="6"/>
  <c r="D2" i="6"/>
  <c r="D3" i="6"/>
  <c r="G3" i="4"/>
  <c r="K3" i="4" s="1"/>
  <c r="H3" i="4"/>
  <c r="L3" i="4" s="1"/>
  <c r="I3" i="4"/>
  <c r="M3" i="4" s="1"/>
  <c r="J3" i="4"/>
  <c r="N3" i="4" s="1"/>
  <c r="G4" i="4"/>
  <c r="K4" i="4" s="1"/>
  <c r="H4" i="4"/>
  <c r="L4" i="4" s="1"/>
  <c r="I4" i="4"/>
  <c r="M4" i="4" s="1"/>
  <c r="J4" i="4"/>
  <c r="N4" i="4" s="1"/>
  <c r="G5" i="4"/>
  <c r="K5" i="4" s="1"/>
  <c r="H5" i="4"/>
  <c r="L5" i="4" s="1"/>
  <c r="I5" i="4"/>
  <c r="M5" i="4" s="1"/>
  <c r="J5" i="4"/>
  <c r="N5" i="4" s="1"/>
  <c r="G6" i="4"/>
  <c r="K6" i="4" s="1"/>
  <c r="H6" i="4"/>
  <c r="L6" i="4" s="1"/>
  <c r="I6" i="4"/>
  <c r="M6" i="4" s="1"/>
  <c r="J6" i="4"/>
  <c r="N6" i="4" s="1"/>
  <c r="G7" i="4"/>
  <c r="K7" i="4" s="1"/>
  <c r="H7" i="4"/>
  <c r="L7" i="4" s="1"/>
  <c r="I7" i="4"/>
  <c r="M7" i="4" s="1"/>
  <c r="J7" i="4"/>
  <c r="N7" i="4" s="1"/>
  <c r="G8" i="4"/>
  <c r="K8" i="4" s="1"/>
  <c r="H8" i="4"/>
  <c r="L8" i="4" s="1"/>
  <c r="I8" i="4"/>
  <c r="M8" i="4" s="1"/>
  <c r="J8" i="4"/>
  <c r="N8" i="4" s="1"/>
  <c r="G9" i="4"/>
  <c r="K9" i="4" s="1"/>
  <c r="H9" i="4"/>
  <c r="L9" i="4" s="1"/>
  <c r="I9" i="4"/>
  <c r="M9" i="4" s="1"/>
  <c r="J9" i="4"/>
  <c r="N9" i="4" s="1"/>
  <c r="I2" i="4"/>
  <c r="M2" i="4" s="1"/>
  <c r="J2" i="4"/>
  <c r="N2" i="4" s="1"/>
  <c r="H2" i="4" l="1"/>
  <c r="L2" i="4" s="1"/>
  <c r="G2" i="4"/>
  <c r="K2" i="4" s="1"/>
  <c r="B3" i="4"/>
  <c r="C3" i="4" s="1"/>
  <c r="D3" i="4" s="1"/>
  <c r="B4" i="4"/>
  <c r="C4" i="4" s="1"/>
  <c r="D4" i="4" s="1"/>
  <c r="B5" i="4"/>
  <c r="C5" i="4" s="1"/>
  <c r="D5" i="4" s="1"/>
  <c r="B6" i="4"/>
  <c r="C6" i="4" s="1"/>
  <c r="D6" i="4" s="1"/>
  <c r="B7" i="4"/>
  <c r="C7" i="4" s="1"/>
  <c r="D7" i="4" s="1"/>
  <c r="B8" i="4"/>
  <c r="C8" i="4" s="1"/>
  <c r="D8" i="4" s="1"/>
  <c r="B9" i="4"/>
  <c r="C9" i="4" s="1"/>
  <c r="D9" i="4" s="1"/>
  <c r="B2" i="4"/>
  <c r="C2" i="4" s="1"/>
  <c r="D2" i="4" s="1"/>
  <c r="E6" i="4" l="1"/>
  <c r="F6" i="4" s="1"/>
  <c r="E9" i="4"/>
  <c r="F9" i="4" s="1"/>
  <c r="E5" i="4"/>
  <c r="F5" i="4" s="1"/>
  <c r="E8" i="4"/>
  <c r="F8" i="4" s="1"/>
  <c r="E4" i="4"/>
  <c r="F4" i="4" s="1"/>
  <c r="E7" i="4"/>
  <c r="F7" i="4" s="1"/>
  <c r="E3" i="4"/>
  <c r="F3" i="4" s="1"/>
  <c r="E2" i="4"/>
  <c r="F2" i="4" s="1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K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K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K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K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K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K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K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K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K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K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K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K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K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K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K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K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K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K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K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K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K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K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K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K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K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K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K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K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K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K4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K3" i="3"/>
  <c r="CA2" i="3"/>
  <c r="BZ2" i="3"/>
  <c r="BY2" i="3"/>
  <c r="BX2" i="3"/>
  <c r="BW2" i="3"/>
  <c r="BV2" i="3"/>
  <c r="BU2" i="3"/>
  <c r="BT2" i="3"/>
  <c r="BS2" i="3"/>
  <c r="BR2" i="3"/>
  <c r="BQ2" i="3"/>
  <c r="BP2" i="3"/>
  <c r="BO2" i="3"/>
  <c r="BN2" i="3"/>
  <c r="BM2" i="3"/>
  <c r="BL2" i="3"/>
  <c r="K2" i="3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2" i="1"/>
  <c r="BK18" i="3" l="1"/>
  <c r="BK22" i="3"/>
  <c r="BJ28" i="3"/>
  <c r="BJ32" i="3"/>
  <c r="BH14" i="3"/>
  <c r="BJ14" i="3"/>
  <c r="BI16" i="3"/>
  <c r="BK16" i="3"/>
  <c r="CC16" i="3"/>
  <c r="BH21" i="3"/>
  <c r="BJ21" i="3"/>
  <c r="BI23" i="3"/>
  <c r="BH25" i="3"/>
  <c r="BJ25" i="3"/>
  <c r="BI27" i="3"/>
  <c r="BH29" i="3"/>
  <c r="BJ29" i="3"/>
  <c r="BI31" i="3"/>
  <c r="BJ33" i="3"/>
  <c r="CC12" i="3"/>
  <c r="CB14" i="3"/>
  <c r="BK10" i="3"/>
  <c r="BK14" i="3"/>
  <c r="BH4" i="3"/>
  <c r="BJ4" i="3"/>
  <c r="BI9" i="3"/>
  <c r="BK9" i="3"/>
  <c r="BH11" i="3"/>
  <c r="BJ11" i="3"/>
  <c r="BH15" i="3"/>
  <c r="BJ15" i="3"/>
  <c r="BI20" i="3"/>
  <c r="BI24" i="3"/>
  <c r="BH26" i="3"/>
  <c r="BJ26" i="3"/>
  <c r="BI28" i="3"/>
  <c r="BH30" i="3"/>
  <c r="BJ30" i="3"/>
  <c r="BI32" i="3"/>
  <c r="BI6" i="3"/>
  <c r="BH8" i="3"/>
  <c r="BK4" i="3"/>
  <c r="BI8" i="3"/>
  <c r="BK8" i="3"/>
  <c r="BJ8" i="3"/>
  <c r="BI3" i="3"/>
  <c r="BK3" i="3"/>
  <c r="BH5" i="3"/>
  <c r="BJ5" i="3"/>
  <c r="CC6" i="3"/>
  <c r="BJ10" i="3"/>
  <c r="BI2" i="3"/>
  <c r="BK2" i="3"/>
  <c r="BI7" i="3"/>
  <c r="BK7" i="3"/>
  <c r="CB12" i="3"/>
  <c r="BI13" i="3"/>
  <c r="BK13" i="3"/>
  <c r="CC17" i="3"/>
  <c r="CB18" i="3"/>
  <c r="CC20" i="3"/>
  <c r="CC24" i="3"/>
  <c r="CC28" i="3"/>
  <c r="BI4" i="3"/>
  <c r="CC4" i="3"/>
  <c r="BJ9" i="3"/>
  <c r="CB9" i="3"/>
  <c r="BI11" i="3"/>
  <c r="BK11" i="3"/>
  <c r="CC11" i="3"/>
  <c r="BH16" i="3"/>
  <c r="BJ16" i="3"/>
  <c r="BH19" i="3"/>
  <c r="BJ19" i="3"/>
  <c r="CC21" i="3"/>
  <c r="BH23" i="3"/>
  <c r="BJ23" i="3"/>
  <c r="CB23" i="3"/>
  <c r="BI25" i="3"/>
  <c r="BK25" i="3"/>
  <c r="CB27" i="3"/>
  <c r="BI29" i="3"/>
  <c r="BK29" i="3"/>
  <c r="BH3" i="3"/>
  <c r="BJ3" i="3"/>
  <c r="CB3" i="3"/>
  <c r="BI5" i="3"/>
  <c r="CC8" i="3"/>
  <c r="BH10" i="3"/>
  <c r="BI12" i="3"/>
  <c r="BH13" i="3"/>
  <c r="BJ13" i="3"/>
  <c r="BH17" i="3"/>
  <c r="BJ17" i="3"/>
  <c r="BI26" i="3"/>
  <c r="CC26" i="3"/>
  <c r="CB33" i="3"/>
  <c r="CC2" i="3"/>
  <c r="CB5" i="3"/>
  <c r="BK6" i="3"/>
  <c r="CC7" i="3"/>
  <c r="CB8" i="3"/>
  <c r="CB10" i="3"/>
  <c r="BK12" i="3"/>
  <c r="CC13" i="3"/>
  <c r="CB15" i="3"/>
  <c r="CB19" i="3"/>
  <c r="BK20" i="3"/>
  <c r="BI22" i="3"/>
  <c r="CC22" i="3"/>
  <c r="BH24" i="3"/>
  <c r="BJ24" i="3"/>
  <c r="CB25" i="3"/>
  <c r="BK26" i="3"/>
  <c r="BK27" i="3"/>
  <c r="BH28" i="3"/>
  <c r="CB29" i="3"/>
  <c r="BI30" i="3"/>
  <c r="BK30" i="3"/>
  <c r="CC30" i="3"/>
  <c r="BK31" i="3"/>
  <c r="BH32" i="3"/>
  <c r="BI33" i="3"/>
  <c r="BK33" i="3"/>
  <c r="CB31" i="3"/>
  <c r="CC3" i="3"/>
  <c r="CB4" i="3"/>
  <c r="BK5" i="3"/>
  <c r="BH6" i="3"/>
  <c r="BJ6" i="3"/>
  <c r="CB6" i="3"/>
  <c r="CC9" i="3"/>
  <c r="CB11" i="3"/>
  <c r="BI14" i="3"/>
  <c r="CC14" i="3"/>
  <c r="CB17" i="3"/>
  <c r="BI18" i="3"/>
  <c r="CC18" i="3"/>
  <c r="BH20" i="3"/>
  <c r="BJ20" i="3"/>
  <c r="CB21" i="3"/>
  <c r="CC23" i="3"/>
  <c r="CB24" i="3"/>
  <c r="CB26" i="3"/>
  <c r="CB28" i="3"/>
  <c r="CB30" i="3"/>
  <c r="CB32" i="3"/>
  <c r="CC33" i="3"/>
  <c r="CC32" i="3"/>
  <c r="BJ2" i="3"/>
  <c r="CB2" i="3"/>
  <c r="CC5" i="3"/>
  <c r="BH7" i="3"/>
  <c r="BJ7" i="3"/>
  <c r="CB7" i="3"/>
  <c r="BH9" i="3"/>
  <c r="BI10" i="3"/>
  <c r="CC10" i="3"/>
  <c r="BH12" i="3"/>
  <c r="BJ12" i="3"/>
  <c r="CB13" i="3"/>
  <c r="BI15" i="3"/>
  <c r="BK15" i="3"/>
  <c r="CC15" i="3"/>
  <c r="CB16" i="3"/>
  <c r="BI17" i="3"/>
  <c r="BK17" i="3"/>
  <c r="BH18" i="3"/>
  <c r="BJ18" i="3"/>
  <c r="BI19" i="3"/>
  <c r="BK19" i="3"/>
  <c r="CC19" i="3"/>
  <c r="CB20" i="3"/>
  <c r="BI21" i="3"/>
  <c r="BK21" i="3"/>
  <c r="BH22" i="3"/>
  <c r="BJ22" i="3"/>
  <c r="CB22" i="3"/>
  <c r="BK23" i="3"/>
  <c r="BK24" i="3"/>
  <c r="CC25" i="3"/>
  <c r="BH27" i="3"/>
  <c r="BJ27" i="3"/>
  <c r="BK28" i="3"/>
  <c r="CC29" i="3"/>
  <c r="BH31" i="3"/>
  <c r="BJ31" i="3"/>
  <c r="BK32" i="3"/>
  <c r="BH33" i="3"/>
  <c r="CC27" i="3"/>
  <c r="CC31" i="3"/>
  <c r="BL33" i="1"/>
  <c r="BK33" i="1"/>
  <c r="BK30" i="1"/>
  <c r="BK26" i="1"/>
  <c r="BK18" i="1"/>
  <c r="BK16" i="1"/>
  <c r="BK12" i="1"/>
  <c r="BK8" i="1"/>
  <c r="BK4" i="1"/>
  <c r="BK2" i="1"/>
  <c r="BL31" i="1"/>
  <c r="BL29" i="1"/>
  <c r="BL27" i="1"/>
  <c r="BL25" i="1"/>
  <c r="BL23" i="1"/>
  <c r="BL21" i="1"/>
  <c r="BL19" i="1"/>
  <c r="BL17" i="1"/>
  <c r="BL15" i="1"/>
  <c r="BL13" i="1"/>
  <c r="BL9" i="1"/>
  <c r="BL7" i="1"/>
  <c r="BL5" i="1"/>
  <c r="BL3" i="1"/>
  <c r="BK32" i="1"/>
  <c r="BK28" i="1"/>
  <c r="BK24" i="1"/>
  <c r="BK22" i="1"/>
  <c r="BK20" i="1"/>
  <c r="BK14" i="1"/>
  <c r="BK10" i="1"/>
  <c r="BK6" i="1"/>
  <c r="BL32" i="1"/>
  <c r="BL30" i="1"/>
  <c r="BL28" i="1"/>
  <c r="BL26" i="1"/>
  <c r="BL24" i="1"/>
  <c r="BL22" i="1"/>
  <c r="BL20" i="1"/>
  <c r="BL18" i="1"/>
  <c r="BL16" i="1"/>
  <c r="BL14" i="1"/>
  <c r="BL12" i="1"/>
  <c r="BL10" i="1"/>
  <c r="BL8" i="1"/>
  <c r="BL6" i="1"/>
  <c r="BL4" i="1"/>
  <c r="BL2" i="1"/>
  <c r="BK31" i="1"/>
  <c r="BK29" i="1"/>
  <c r="BK27" i="1"/>
  <c r="BK25" i="1"/>
  <c r="BK23" i="1"/>
  <c r="BK21" i="1"/>
  <c r="BK19" i="1"/>
  <c r="BK17" i="1"/>
  <c r="BK15" i="1"/>
  <c r="BK13" i="1"/>
  <c r="BK11" i="1"/>
  <c r="BK9" i="1"/>
  <c r="BK7" i="1"/>
  <c r="BK5" i="1"/>
  <c r="BK3" i="1"/>
  <c r="BL11" i="1"/>
  <c r="K18" i="1"/>
  <c r="L18" i="1"/>
  <c r="M18" i="1"/>
  <c r="N18" i="1"/>
  <c r="O18" i="1"/>
  <c r="P18" i="1"/>
  <c r="Q18" i="1"/>
  <c r="R18" i="1"/>
  <c r="K19" i="1"/>
  <c r="L19" i="1"/>
  <c r="M19" i="1"/>
  <c r="N19" i="1"/>
  <c r="O19" i="1"/>
  <c r="P19" i="1"/>
  <c r="Q19" i="1"/>
  <c r="R19" i="1"/>
  <c r="K20" i="1"/>
  <c r="L20" i="1"/>
  <c r="M20" i="1"/>
  <c r="N20" i="1"/>
  <c r="O20" i="1"/>
  <c r="P20" i="1"/>
  <c r="Q20" i="1"/>
  <c r="R20" i="1"/>
  <c r="K21" i="1"/>
  <c r="L21" i="1"/>
  <c r="M21" i="1"/>
  <c r="N21" i="1"/>
  <c r="O21" i="1"/>
  <c r="P21" i="1"/>
  <c r="Q21" i="1"/>
  <c r="R21" i="1"/>
  <c r="K22" i="1"/>
  <c r="L22" i="1"/>
  <c r="M22" i="1"/>
  <c r="N22" i="1"/>
  <c r="O22" i="1"/>
  <c r="P22" i="1"/>
  <c r="Q22" i="1"/>
  <c r="R22" i="1"/>
  <c r="K23" i="1"/>
  <c r="L23" i="1"/>
  <c r="M23" i="1"/>
  <c r="N23" i="1"/>
  <c r="O23" i="1"/>
  <c r="P23" i="1"/>
  <c r="Q23" i="1"/>
  <c r="R23" i="1"/>
  <c r="K24" i="1"/>
  <c r="L24" i="1"/>
  <c r="M24" i="1"/>
  <c r="N24" i="1"/>
  <c r="O24" i="1"/>
  <c r="P24" i="1"/>
  <c r="Q24" i="1"/>
  <c r="R24" i="1"/>
  <c r="K25" i="1"/>
  <c r="L25" i="1"/>
  <c r="M25" i="1"/>
  <c r="N25" i="1"/>
  <c r="O25" i="1"/>
  <c r="P25" i="1"/>
  <c r="Q25" i="1"/>
  <c r="R25" i="1"/>
  <c r="K26" i="1"/>
  <c r="L26" i="1"/>
  <c r="M26" i="1"/>
  <c r="N26" i="1"/>
  <c r="O26" i="1"/>
  <c r="P26" i="1"/>
  <c r="Q26" i="1"/>
  <c r="R26" i="1"/>
  <c r="K27" i="1"/>
  <c r="L27" i="1"/>
  <c r="M27" i="1"/>
  <c r="N27" i="1"/>
  <c r="O27" i="1"/>
  <c r="P27" i="1"/>
  <c r="Q27" i="1"/>
  <c r="R27" i="1"/>
  <c r="K28" i="1"/>
  <c r="L28" i="1"/>
  <c r="M28" i="1"/>
  <c r="N28" i="1"/>
  <c r="O28" i="1"/>
  <c r="P28" i="1"/>
  <c r="Q28" i="1"/>
  <c r="R28" i="1"/>
  <c r="K29" i="1"/>
  <c r="L29" i="1"/>
  <c r="M29" i="1"/>
  <c r="N29" i="1"/>
  <c r="O29" i="1"/>
  <c r="P29" i="1"/>
  <c r="Q29" i="1"/>
  <c r="R29" i="1"/>
  <c r="K30" i="1"/>
  <c r="L30" i="1"/>
  <c r="M30" i="1"/>
  <c r="N30" i="1"/>
  <c r="O30" i="1"/>
  <c r="P30" i="1"/>
  <c r="Q30" i="1"/>
  <c r="R30" i="1"/>
  <c r="K31" i="1"/>
  <c r="L31" i="1"/>
  <c r="M31" i="1"/>
  <c r="N31" i="1"/>
  <c r="O31" i="1"/>
  <c r="P31" i="1"/>
  <c r="Q31" i="1"/>
  <c r="R31" i="1"/>
  <c r="K32" i="1"/>
  <c r="L32" i="1"/>
  <c r="M32" i="1"/>
  <c r="N32" i="1"/>
  <c r="O32" i="1"/>
  <c r="P32" i="1"/>
  <c r="Q32" i="1"/>
  <c r="R32" i="1"/>
  <c r="K33" i="1"/>
  <c r="L33" i="1"/>
  <c r="M33" i="1"/>
  <c r="N33" i="1"/>
  <c r="O33" i="1"/>
  <c r="P33" i="1"/>
  <c r="Q33" i="1"/>
  <c r="R33" i="1"/>
  <c r="K3" i="1"/>
  <c r="L3" i="1"/>
  <c r="M3" i="1"/>
  <c r="N3" i="1"/>
  <c r="O3" i="1"/>
  <c r="P3" i="1"/>
  <c r="Q3" i="1"/>
  <c r="R3" i="1"/>
  <c r="K4" i="1"/>
  <c r="L4" i="1"/>
  <c r="M4" i="1"/>
  <c r="N4" i="1"/>
  <c r="O4" i="1"/>
  <c r="P4" i="1"/>
  <c r="Q4" i="1"/>
  <c r="R4" i="1"/>
  <c r="K5" i="1"/>
  <c r="L5" i="1"/>
  <c r="M5" i="1"/>
  <c r="N5" i="1"/>
  <c r="O5" i="1"/>
  <c r="P5" i="1"/>
  <c r="Q5" i="1"/>
  <c r="R5" i="1"/>
  <c r="K6" i="1"/>
  <c r="L6" i="1"/>
  <c r="M6" i="1"/>
  <c r="N6" i="1"/>
  <c r="O6" i="1"/>
  <c r="P6" i="1"/>
  <c r="Q6" i="1"/>
  <c r="R6" i="1"/>
  <c r="K7" i="1"/>
  <c r="L7" i="1"/>
  <c r="M7" i="1"/>
  <c r="N7" i="1"/>
  <c r="O7" i="1"/>
  <c r="P7" i="1"/>
  <c r="Q7" i="1"/>
  <c r="R7" i="1"/>
  <c r="K8" i="1"/>
  <c r="L8" i="1"/>
  <c r="M8" i="1"/>
  <c r="N8" i="1"/>
  <c r="O8" i="1"/>
  <c r="P8" i="1"/>
  <c r="Q8" i="1"/>
  <c r="R8" i="1"/>
  <c r="K9" i="1"/>
  <c r="L9" i="1"/>
  <c r="M9" i="1"/>
  <c r="N9" i="1"/>
  <c r="O9" i="1"/>
  <c r="P9" i="1"/>
  <c r="Q9" i="1"/>
  <c r="R9" i="1"/>
  <c r="K10" i="1"/>
  <c r="L10" i="1"/>
  <c r="M10" i="1"/>
  <c r="N10" i="1"/>
  <c r="O10" i="1"/>
  <c r="P10" i="1"/>
  <c r="Q10" i="1"/>
  <c r="R10" i="1"/>
  <c r="K11" i="1"/>
  <c r="L11" i="1"/>
  <c r="M11" i="1"/>
  <c r="N11" i="1"/>
  <c r="O11" i="1"/>
  <c r="P11" i="1"/>
  <c r="Q11" i="1"/>
  <c r="R11" i="1"/>
  <c r="K12" i="1"/>
  <c r="L12" i="1"/>
  <c r="M12" i="1"/>
  <c r="N12" i="1"/>
  <c r="O12" i="1"/>
  <c r="P12" i="1"/>
  <c r="Q12" i="1"/>
  <c r="R12" i="1"/>
  <c r="K13" i="1"/>
  <c r="L13" i="1"/>
  <c r="M13" i="1"/>
  <c r="N13" i="1"/>
  <c r="O13" i="1"/>
  <c r="P13" i="1"/>
  <c r="Q13" i="1"/>
  <c r="R13" i="1"/>
  <c r="K14" i="1"/>
  <c r="L14" i="1"/>
  <c r="M14" i="1"/>
  <c r="N14" i="1"/>
  <c r="O14" i="1"/>
  <c r="P14" i="1"/>
  <c r="Q14" i="1"/>
  <c r="R14" i="1"/>
  <c r="K15" i="1"/>
  <c r="L15" i="1"/>
  <c r="M15" i="1"/>
  <c r="N15" i="1"/>
  <c r="O15" i="1"/>
  <c r="P15" i="1"/>
  <c r="Q15" i="1"/>
  <c r="R15" i="1"/>
  <c r="K16" i="1"/>
  <c r="L16" i="1"/>
  <c r="M16" i="1"/>
  <c r="N16" i="1"/>
  <c r="O16" i="1"/>
  <c r="P16" i="1"/>
  <c r="Q16" i="1"/>
  <c r="R16" i="1"/>
  <c r="K17" i="1"/>
  <c r="L17" i="1"/>
  <c r="M17" i="1"/>
  <c r="N17" i="1"/>
  <c r="O17" i="1"/>
  <c r="P17" i="1"/>
  <c r="Q17" i="1"/>
  <c r="R17" i="1"/>
  <c r="AS17" i="1" l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T17" i="1"/>
  <c r="AT15" i="1"/>
  <c r="AT13" i="1"/>
  <c r="AT11" i="1"/>
  <c r="AT9" i="1"/>
  <c r="AT8" i="1"/>
  <c r="AT7" i="1"/>
  <c r="AT5" i="1"/>
  <c r="AT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6" i="1"/>
  <c r="AT14" i="1"/>
  <c r="AT12" i="1"/>
  <c r="AT10" i="1"/>
  <c r="AT6" i="1"/>
  <c r="AT3" i="1"/>
  <c r="AR17" i="1"/>
  <c r="AR16" i="1"/>
  <c r="AR15" i="1"/>
  <c r="AR12" i="1"/>
  <c r="AR10" i="1"/>
  <c r="AR9" i="1"/>
  <c r="AR8" i="1"/>
  <c r="AR7" i="1"/>
  <c r="AR6" i="1"/>
  <c r="AR5" i="1"/>
  <c r="AR4" i="1"/>
  <c r="AR3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4" i="1"/>
  <c r="AR11" i="1"/>
  <c r="AR13" i="1"/>
  <c r="AQ17" i="1"/>
  <c r="AQ16" i="1"/>
  <c r="AQ15" i="1"/>
  <c r="AQ13" i="1"/>
  <c r="AQ12" i="1"/>
  <c r="AQ11" i="1"/>
  <c r="AQ9" i="1"/>
  <c r="AQ8" i="1"/>
  <c r="AQ7" i="1"/>
  <c r="AQ5" i="1"/>
  <c r="AQ4" i="1"/>
  <c r="AQ33" i="1"/>
  <c r="AQ32" i="1"/>
  <c r="AQ31" i="1"/>
  <c r="AQ29" i="1"/>
  <c r="AQ25" i="1"/>
  <c r="AQ22" i="1"/>
  <c r="AQ18" i="1"/>
  <c r="AQ14" i="1"/>
  <c r="AQ10" i="1"/>
  <c r="AQ6" i="1"/>
  <c r="AQ30" i="1"/>
  <c r="AQ26" i="1"/>
  <c r="AQ28" i="1"/>
  <c r="AQ27" i="1"/>
  <c r="AQ24" i="1"/>
  <c r="AQ23" i="1"/>
  <c r="AQ21" i="1"/>
  <c r="AQ20" i="1"/>
  <c r="AQ19" i="1"/>
  <c r="AQ3" i="1"/>
  <c r="L2" i="1"/>
  <c r="M2" i="1"/>
  <c r="N2" i="1"/>
  <c r="O2" i="1"/>
  <c r="P2" i="1"/>
  <c r="Q2" i="1"/>
  <c r="R2" i="1"/>
  <c r="K2" i="1"/>
  <c r="AT2" i="1" l="1"/>
  <c r="AS2" i="1"/>
  <c r="AR2" i="1"/>
  <c r="AQ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Kai Qin Chan</author>
  </authors>
  <commentList>
    <comment ref="Q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Kai Qin Chan: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ICC needs to be computed for these two variables. Only "mention" is necessary because "mention" is the only subjective variable. Bell rings are objective, hence computing ICC is unnecessary.</t>
        </r>
      </text>
    </comment>
    <comment ref="Y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Kai Qin Chan:</t>
        </r>
        <r>
          <rPr>
            <sz val="9"/>
            <color indexed="81"/>
            <rFont val="Tahoma"/>
            <family val="2"/>
          </rPr>
          <t xml:space="preserve">
ICC needs to be computed for these two variables. Only "mention" is necessary because "mention" is the only subjective variable. Bell rings are objective, hence computing ICC is unnecessary.</t>
        </r>
      </text>
    </comment>
  </commentList>
</comments>
</file>

<file path=xl/sharedStrings.xml><?xml version="1.0" encoding="utf-8"?>
<sst xmlns="http://schemas.openxmlformats.org/spreadsheetml/2006/main" count="1881" uniqueCount="186">
  <si>
    <t>SubjID</t>
  </si>
  <si>
    <t>w1.t1.target</t>
  </si>
  <si>
    <t>w2.t1.target</t>
  </si>
  <si>
    <t>w3.t1.target</t>
  </si>
  <si>
    <t>w4.t1.target</t>
  </si>
  <si>
    <t>w5.t1.nontarget</t>
  </si>
  <si>
    <t>w6.t1.nontarget</t>
  </si>
  <si>
    <t>w7.t1.nontarget</t>
  </si>
  <si>
    <t>w8.t1.nontarget</t>
  </si>
  <si>
    <t>w1.t2.target</t>
  </si>
  <si>
    <t>w2.t2.target</t>
  </si>
  <si>
    <t>w3.t2.target</t>
  </si>
  <si>
    <t>w4.t2.traget</t>
  </si>
  <si>
    <t>w5.t2.nontarget</t>
  </si>
  <si>
    <t>w6.t2.nontarget</t>
  </si>
  <si>
    <t>w7.t2.nontarget</t>
  </si>
  <si>
    <t>w8.t2.nontarget</t>
  </si>
  <si>
    <t>NA</t>
  </si>
  <si>
    <t>Concentration</t>
  </si>
  <si>
    <t>Suppression</t>
  </si>
  <si>
    <t>H-L</t>
  </si>
  <si>
    <t>L-H</t>
  </si>
  <si>
    <t>targetword</t>
  </si>
  <si>
    <t>child</t>
  </si>
  <si>
    <t>house</t>
  </si>
  <si>
    <t>mountain</t>
  </si>
  <si>
    <t>car</t>
  </si>
  <si>
    <t>timepressure order</t>
  </si>
  <si>
    <t>mother, little, adult, young</t>
  </si>
  <si>
    <t>nontarget prompts</t>
  </si>
  <si>
    <t>home, door, brick, roof</t>
  </si>
  <si>
    <t>hill, high, top, climb</t>
  </si>
  <si>
    <t>wheel, bus, truck, drive</t>
  </si>
  <si>
    <t>filler words</t>
  </si>
  <si>
    <t>targetprompts.low time pressure</t>
  </si>
  <si>
    <t>targetprompts.high time pressure</t>
  </si>
  <si>
    <t>adult, young</t>
  </si>
  <si>
    <t>mother, little</t>
  </si>
  <si>
    <t>brick, roof</t>
  </si>
  <si>
    <t>home, door</t>
  </si>
  <si>
    <t>top, climb</t>
  </si>
  <si>
    <t>hill, high</t>
  </si>
  <si>
    <t>wheel, bus</t>
  </si>
  <si>
    <t>truck, drive</t>
  </si>
  <si>
    <t>Cond</t>
  </si>
  <si>
    <t>a, b, c, d, e, f, g, h</t>
  </si>
  <si>
    <t>Replication</t>
  </si>
  <si>
    <t>correctresponse.target.low1</t>
  </si>
  <si>
    <t>correctresponse.target.low2</t>
  </si>
  <si>
    <t>correctresponse.target.high1</t>
  </si>
  <si>
    <t>correctresponse.nontarget.low1</t>
  </si>
  <si>
    <t>correctresponse.nontarget.low2</t>
  </si>
  <si>
    <t>correctresponse.nontarget.high1</t>
  </si>
  <si>
    <t>correctresponse.nontarget.high2</t>
  </si>
  <si>
    <t>correctresponse.filler.low1</t>
  </si>
  <si>
    <t>correctresponse.filler.low2</t>
  </si>
  <si>
    <t>correctresponse.filler.low3</t>
  </si>
  <si>
    <t>correctresponse.filler.low4</t>
  </si>
  <si>
    <t>correctresponse.filler.high1</t>
  </si>
  <si>
    <t>correctresponse.filler.high2</t>
  </si>
  <si>
    <t>correctresponse.filler.high3</t>
  </si>
  <si>
    <t>correctresponse.filler.high4</t>
  </si>
  <si>
    <t>mean.correctresponse.target.low</t>
  </si>
  <si>
    <t>mean.correctresponse.target.high</t>
  </si>
  <si>
    <t>correctresponse.target.high2</t>
  </si>
  <si>
    <t>RTresponse.target.low1</t>
  </si>
  <si>
    <t>RTresponse.target.low2</t>
  </si>
  <si>
    <t>RTresponse.target.high1</t>
  </si>
  <si>
    <t>RTresponse.target.high2</t>
  </si>
  <si>
    <t>RTresponse.nontarget.low1</t>
  </si>
  <si>
    <t>RTresponse.nontarget.low2</t>
  </si>
  <si>
    <t>RTresponse.nontarget.high1</t>
  </si>
  <si>
    <t>RTresponse.nontarget.high2</t>
  </si>
  <si>
    <t>RTresponse.filler.low1</t>
  </si>
  <si>
    <t>RTresponse.filler.low2</t>
  </si>
  <si>
    <t>RTresponse.filler.low3</t>
  </si>
  <si>
    <t>RTresponse.filler.low4</t>
  </si>
  <si>
    <t>RTresponse.filler.high1</t>
  </si>
  <si>
    <t>RTresponse.filler.high2</t>
  </si>
  <si>
    <t>RTresponse.filler.high3</t>
  </si>
  <si>
    <t>RTresponse.filler.high4</t>
  </si>
  <si>
    <t>mean.RTresponse.target.low</t>
  </si>
  <si>
    <t>mean.RTresponse.target.high</t>
  </si>
  <si>
    <t>mean.correctresponse.nontarget.low</t>
  </si>
  <si>
    <t>mean.correctresponse.nontarget.high</t>
  </si>
  <si>
    <t>Cond_num</t>
  </si>
  <si>
    <t>shallow, candidate, gesture, reader, quarter, elite, voice, option</t>
  </si>
  <si>
    <t>Lab</t>
  </si>
  <si>
    <t>N</t>
  </si>
  <si>
    <t>N.conc.low</t>
  </si>
  <si>
    <t>N.supp.high</t>
  </si>
  <si>
    <t>N.supp.low</t>
  </si>
  <si>
    <t>N.conc.high</t>
  </si>
  <si>
    <t>M.supp.low</t>
  </si>
  <si>
    <t>M.supp.high</t>
  </si>
  <si>
    <t>M.conc.low</t>
  </si>
  <si>
    <t>M.conc.high</t>
  </si>
  <si>
    <t>SD.conc.low</t>
  </si>
  <si>
    <t>SD.conc.high</t>
  </si>
  <si>
    <t>SD.supp.low</t>
  </si>
  <si>
    <t>SD.supp.high</t>
  </si>
  <si>
    <t>Point</t>
  </si>
  <si>
    <t>Low</t>
  </si>
  <si>
    <t>High</t>
  </si>
  <si>
    <t>d1</t>
  </si>
  <si>
    <t>d2</t>
  </si>
  <si>
    <t>d3</t>
  </si>
  <si>
    <t>Einstein (DE)</t>
  </si>
  <si>
    <t>Planck (DE)</t>
  </si>
  <si>
    <t>Curie (FR)</t>
  </si>
  <si>
    <t>Overall d1</t>
  </si>
  <si>
    <t>Overall d2</t>
  </si>
  <si>
    <t>Overall d3</t>
  </si>
  <si>
    <t>Newton (UK)</t>
  </si>
  <si>
    <t>Feynman (USA)</t>
  </si>
  <si>
    <t>Turing (UK)</t>
  </si>
  <si>
    <t>Bohr (DK)</t>
  </si>
  <si>
    <t>Higgs (UK)</t>
  </si>
  <si>
    <t>Age</t>
  </si>
  <si>
    <t>pct.time.spent</t>
  </si>
  <si>
    <t>N.conc</t>
  </si>
  <si>
    <t>N.supp</t>
  </si>
  <si>
    <t>M.conc</t>
  </si>
  <si>
    <t>M.supp</t>
  </si>
  <si>
    <t>SD.conc</t>
  </si>
  <si>
    <t>SD.supp</t>
  </si>
  <si>
    <t>Express-first</t>
  </si>
  <si>
    <t>Suppress-first</t>
  </si>
  <si>
    <t>Ethnicity</t>
  </si>
  <si>
    <t>Manipulationcheck</t>
  </si>
  <si>
    <t>count.bellonly.rater1.period1</t>
  </si>
  <si>
    <t>count.bellonly.rater1.period2</t>
  </si>
  <si>
    <t>count.mentiononly.rater1.period1</t>
  </si>
  <si>
    <t>count.mentiononly.rater1.period2</t>
  </si>
  <si>
    <t>count.simulresponse.rater1.period1</t>
  </si>
  <si>
    <t>count.simulresponse.rater1.period2</t>
  </si>
  <si>
    <t>totalmention.rater1.period1</t>
  </si>
  <si>
    <t>totalmention.rater1.period2</t>
  </si>
  <si>
    <t>totalmention.rater2.period1</t>
  </si>
  <si>
    <t>totalmention.rater2.period2</t>
  </si>
  <si>
    <t>count.bellonly.rater2.period1</t>
  </si>
  <si>
    <t>count.bellonly.rater2.period2</t>
  </si>
  <si>
    <t>count.mentiononly.rater2.period1</t>
  </si>
  <si>
    <t>count.mentiononly.rater2.period2</t>
  </si>
  <si>
    <t>count.simulresponse.rater2.period1</t>
  </si>
  <si>
    <t>count.simulresponse.rater2.period2</t>
  </si>
  <si>
    <t>finalDV.period1</t>
  </si>
  <si>
    <t>finalDV.period2</t>
  </si>
  <si>
    <t>timepressure.cond</t>
  </si>
  <si>
    <t>correctresponse.r1r2.target.low1</t>
  </si>
  <si>
    <t>correctresponse.r1r2.target.low2</t>
  </si>
  <si>
    <t>correctresponse.r1r2.target.high1</t>
  </si>
  <si>
    <t>correctresponse.r1r2.target.high2</t>
  </si>
  <si>
    <t>correctresponse.r1r2.nontarget.low1</t>
  </si>
  <si>
    <t>correctresponse.r1r2.nontarget.low2</t>
  </si>
  <si>
    <t>correctresponse.r1r2.nontarget.high1</t>
  </si>
  <si>
    <t>correctresponse.r1r2.nontarget.high2</t>
  </si>
  <si>
    <t>correctresponse.rater1.target.low1</t>
  </si>
  <si>
    <t>correctresponse.rater1.target.low2</t>
  </si>
  <si>
    <t>correctresponse.rater1.target.high1</t>
  </si>
  <si>
    <t>correctresponse.rater1.target.high2</t>
  </si>
  <si>
    <t>correctresponse.rater1.nontarget.low1</t>
  </si>
  <si>
    <t>correctresponse.rater1.nontarget.low2</t>
  </si>
  <si>
    <t>correctresponse.rater1.nontarget.high1</t>
  </si>
  <si>
    <t>correctresponse.rater1.nontarget.high2</t>
  </si>
  <si>
    <t>correctresponse.rater2.target.low1</t>
  </si>
  <si>
    <t>correctresponse.rater2.target.low2</t>
  </si>
  <si>
    <t>correctresponse.rater2.target.high1</t>
  </si>
  <si>
    <t>correctresponse.rater2.target.high2</t>
  </si>
  <si>
    <t>correctresponse.rater2.nontarget.low1</t>
  </si>
  <si>
    <t>correctresponse.rater2.nontarget.low2</t>
  </si>
  <si>
    <t>correctresponse.rater2.nontarget.high1</t>
  </si>
  <si>
    <t>correctresponse.rater2.nontarget.high2</t>
  </si>
  <si>
    <t>Suspicionprobe.rater.1</t>
  </si>
  <si>
    <t>Suspicionprobe.rater.2</t>
  </si>
  <si>
    <t>Suspicionprobecode.final</t>
  </si>
  <si>
    <t>mean.correctresponse.r1r2.target.low</t>
  </si>
  <si>
    <t>mean.correctresponse.r1r2.target.high</t>
  </si>
  <si>
    <t>mean.correctresponse.r1r2.nontarget.low</t>
  </si>
  <si>
    <t>mean.correctresponse.r1r2.nontarget.high</t>
  </si>
  <si>
    <t>[text]</t>
  </si>
  <si>
    <t>Gender.participant</t>
  </si>
  <si>
    <t>Gender.experimenter</t>
  </si>
  <si>
    <t>threeway.beta.int_term</t>
  </si>
  <si>
    <t>threeway.SE.int_term</t>
  </si>
  <si>
    <t>forest plot seems to be simple averages, not weighted means? Is this just dummy data or part of the method?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</si>
</sst>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0" fillId="0" borderId="0" xfId="0" applyNumberFormat="1"/>
    <xf numFmtId="0" fontId="1" fillId="2" borderId="0" xfId="0" applyFont="1" applyFill="1"/>
    <xf numFmtId="0" fontId="1" fillId="5" borderId="0" xfId="0" applyFont="1" applyFill="1"/>
    <xf numFmtId="0" fontId="0" fillId="7" borderId="0" xfId="0" applyFill="1"/>
    <xf numFmtId="165" fontId="0" fillId="0" borderId="0" xfId="0" applyNumberFormat="1"/>
    <xf numFmtId="0" fontId="2" fillId="2" borderId="0" xfId="0" applyFont="1" applyFill="1"/>
    <xf numFmtId="0" fontId="2" fillId="5" borderId="0" xfId="0" applyFont="1" applyFill="1"/>
    <xf numFmtId="1" fontId="0" fillId="0" borderId="0" xfId="0" applyNumberFormat="1"/>
    <xf numFmtId="0" fontId="2" fillId="0" borderId="0" xfId="0" applyFont="1"/>
    <xf numFmtId="0" fontId="2" fillId="3" borderId="0" xfId="0" applyFont="1" applyFill="1"/>
    <xf numFmtId="0" fontId="2" fillId="7" borderId="0" xfId="0" applyFont="1" applyFill="1"/>
    <xf numFmtId="0" fontId="0" fillId="7" borderId="1" xfId="0" applyFill="1" applyBorder="1"/>
    <xf numFmtId="0" fontId="2" fillId="7" borderId="2" xfId="0" applyFont="1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5" borderId="1" xfId="0" applyFill="1" applyBorder="1"/>
    <xf numFmtId="0" fontId="2" fillId="5" borderId="2" xfId="0" applyFont="1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33"/>
  <sheetViews>
    <sheetView zoomScale="90" zoomScaleNormal="90" workbookViewId="0"/>
  </sheetViews>
  <sheetFormatPr baseColWidth="10" defaultColWidth="8.83203125" defaultRowHeight="15" x14ac:dyDescent="0.2"/>
  <cols>
    <col min="2" max="2" width="13.6640625" bestFit="1" customWidth="1"/>
    <col min="3" max="4" width="13.6640625" customWidth="1"/>
    <col min="5" max="5" width="10.83203125" bestFit="1" customWidth="1"/>
    <col min="6" max="6" width="25" style="2" customWidth="1"/>
    <col min="7" max="7" width="25" style="5" customWidth="1"/>
    <col min="8" max="8" width="30.1640625" style="3" customWidth="1"/>
    <col min="9" max="9" width="30.1640625" style="4" customWidth="1"/>
    <col min="11" max="12" width="26.5" bestFit="1" customWidth="1"/>
    <col min="13" max="14" width="27.1640625" bestFit="1" customWidth="1"/>
    <col min="15" max="16" width="30.1640625" bestFit="1" customWidth="1"/>
    <col min="17" max="18" width="30.6640625" bestFit="1" customWidth="1"/>
    <col min="19" max="22" width="25.5" bestFit="1" customWidth="1"/>
    <col min="23" max="26" width="26.1640625" bestFit="1" customWidth="1"/>
    <col min="27" max="42" width="9.1640625" hidden="1" customWidth="1"/>
    <col min="43" max="43" width="31.33203125" bestFit="1" customWidth="1"/>
    <col min="44" max="44" width="31.83203125" bestFit="1" customWidth="1"/>
    <col min="45" max="45" width="34.83203125" bestFit="1" customWidth="1"/>
    <col min="46" max="46" width="35.5" bestFit="1" customWidth="1"/>
    <col min="47" max="49" width="9.1640625" hidden="1" customWidth="1"/>
    <col min="50" max="50" width="18" hidden="1" customWidth="1"/>
    <col min="51" max="51" width="13.6640625" hidden="1" customWidth="1"/>
    <col min="52" max="52" width="14.5" hidden="1" customWidth="1"/>
    <col min="53" max="64" width="9.1640625" hidden="1" customWidth="1"/>
  </cols>
  <sheetData>
    <row r="1" spans="1:64" x14ac:dyDescent="0.2">
      <c r="A1" t="s">
        <v>0</v>
      </c>
      <c r="B1" t="s">
        <v>44</v>
      </c>
      <c r="C1" t="s">
        <v>85</v>
      </c>
      <c r="D1" t="s">
        <v>46</v>
      </c>
      <c r="E1" t="s">
        <v>22</v>
      </c>
      <c r="F1" s="2" t="s">
        <v>34</v>
      </c>
      <c r="G1" s="5" t="s">
        <v>35</v>
      </c>
      <c r="H1" s="3" t="s">
        <v>29</v>
      </c>
      <c r="I1" s="4" t="s">
        <v>33</v>
      </c>
      <c r="J1" t="s">
        <v>27</v>
      </c>
      <c r="K1" s="2" t="s">
        <v>47</v>
      </c>
      <c r="L1" s="2" t="s">
        <v>48</v>
      </c>
      <c r="M1" s="6" t="s">
        <v>49</v>
      </c>
      <c r="N1" s="6" t="s">
        <v>64</v>
      </c>
      <c r="O1" s="3" t="s">
        <v>50</v>
      </c>
      <c r="P1" s="3" t="s">
        <v>51</v>
      </c>
      <c r="Q1" s="10" t="s">
        <v>52</v>
      </c>
      <c r="R1" s="10" t="s">
        <v>53</v>
      </c>
      <c r="S1" s="4" t="s">
        <v>54</v>
      </c>
      <c r="T1" s="4" t="s">
        <v>55</v>
      </c>
      <c r="U1" s="4" t="s">
        <v>56</v>
      </c>
      <c r="V1" s="4" t="s">
        <v>57</v>
      </c>
      <c r="W1" s="4" t="s">
        <v>58</v>
      </c>
      <c r="X1" s="4" t="s">
        <v>59</v>
      </c>
      <c r="Y1" s="4" t="s">
        <v>60</v>
      </c>
      <c r="Z1" s="4" t="s">
        <v>61</v>
      </c>
      <c r="AA1" t="s">
        <v>1</v>
      </c>
      <c r="AB1" t="s">
        <v>2</v>
      </c>
      <c r="AC1" t="s">
        <v>3</v>
      </c>
      <c r="AD1" t="s">
        <v>4</v>
      </c>
      <c r="AE1" t="s">
        <v>5</v>
      </c>
      <c r="AF1" t="s">
        <v>6</v>
      </c>
      <c r="AG1" t="s">
        <v>7</v>
      </c>
      <c r="AH1" t="s">
        <v>8</v>
      </c>
      <c r="AI1" t="s">
        <v>9</v>
      </c>
      <c r="AJ1" t="s">
        <v>10</v>
      </c>
      <c r="AK1" t="s">
        <v>11</v>
      </c>
      <c r="AL1" t="s">
        <v>12</v>
      </c>
      <c r="AM1" t="s">
        <v>13</v>
      </c>
      <c r="AN1" t="s">
        <v>14</v>
      </c>
      <c r="AO1" t="s">
        <v>15</v>
      </c>
      <c r="AP1" t="s">
        <v>16</v>
      </c>
      <c r="AQ1" s="2" t="s">
        <v>62</v>
      </c>
      <c r="AR1" s="6" t="s">
        <v>63</v>
      </c>
      <c r="AS1" s="3" t="s">
        <v>83</v>
      </c>
      <c r="AT1" s="10" t="s">
        <v>84</v>
      </c>
      <c r="AU1" s="2" t="s">
        <v>65</v>
      </c>
      <c r="AV1" s="2" t="s">
        <v>66</v>
      </c>
      <c r="AW1" s="6" t="s">
        <v>67</v>
      </c>
      <c r="AX1" s="6" t="s">
        <v>68</v>
      </c>
      <c r="AY1" s="3" t="s">
        <v>69</v>
      </c>
      <c r="AZ1" s="3" t="s">
        <v>70</v>
      </c>
      <c r="BA1" s="3" t="s">
        <v>71</v>
      </c>
      <c r="BB1" s="3" t="s">
        <v>72</v>
      </c>
      <c r="BC1" s="4" t="s">
        <v>73</v>
      </c>
      <c r="BD1" s="4" t="s">
        <v>74</v>
      </c>
      <c r="BE1" s="4" t="s">
        <v>75</v>
      </c>
      <c r="BF1" s="4" t="s">
        <v>76</v>
      </c>
      <c r="BG1" s="10" t="s">
        <v>77</v>
      </c>
      <c r="BH1" s="10" t="s">
        <v>78</v>
      </c>
      <c r="BI1" s="10" t="s">
        <v>79</v>
      </c>
      <c r="BJ1" s="10" t="s">
        <v>80</v>
      </c>
      <c r="BK1" s="2" t="s">
        <v>81</v>
      </c>
      <c r="BL1" s="6" t="s">
        <v>82</v>
      </c>
    </row>
    <row r="2" spans="1:64" x14ac:dyDescent="0.2">
      <c r="A2">
        <v>1</v>
      </c>
      <c r="B2" t="s">
        <v>18</v>
      </c>
      <c r="C2">
        <f>IF(B2 = "Concentration", 1, 0)</f>
        <v>1</v>
      </c>
      <c r="D2">
        <v>1</v>
      </c>
      <c r="E2" t="s">
        <v>23</v>
      </c>
      <c r="F2" s="8" t="s">
        <v>37</v>
      </c>
      <c r="G2" s="5" t="s">
        <v>36</v>
      </c>
      <c r="H2" s="3" t="s">
        <v>30</v>
      </c>
      <c r="I2" s="4" t="s">
        <v>45</v>
      </c>
      <c r="J2" t="s">
        <v>20</v>
      </c>
      <c r="K2">
        <f t="shared" ref="K2:R11" ca="1" si="0">RANDBETWEEN(0,1)</f>
        <v>0</v>
      </c>
      <c r="L2">
        <f t="shared" ca="1" si="0"/>
        <v>0</v>
      </c>
      <c r="M2">
        <f t="shared" ca="1" si="0"/>
        <v>1</v>
      </c>
      <c r="N2">
        <f t="shared" ca="1" si="0"/>
        <v>1</v>
      </c>
      <c r="O2">
        <f t="shared" ca="1" si="0"/>
        <v>1</v>
      </c>
      <c r="P2">
        <f t="shared" ca="1" si="0"/>
        <v>1</v>
      </c>
      <c r="Q2">
        <f t="shared" ca="1" si="0"/>
        <v>0</v>
      </c>
      <c r="R2">
        <f t="shared" ca="1" si="0"/>
        <v>0</v>
      </c>
      <c r="S2" t="s">
        <v>17</v>
      </c>
      <c r="T2" t="s">
        <v>17</v>
      </c>
      <c r="U2" t="s">
        <v>17</v>
      </c>
      <c r="V2" t="s">
        <v>17</v>
      </c>
      <c r="W2" t="s">
        <v>17</v>
      </c>
      <c r="X2" t="s">
        <v>17</v>
      </c>
      <c r="Y2" t="s">
        <v>17</v>
      </c>
      <c r="Z2" t="s">
        <v>17</v>
      </c>
      <c r="AA2" t="s">
        <v>17</v>
      </c>
      <c r="AB2" t="s">
        <v>17</v>
      </c>
      <c r="AC2" t="s">
        <v>17</v>
      </c>
      <c r="AD2" t="s">
        <v>17</v>
      </c>
      <c r="AE2" t="s">
        <v>17</v>
      </c>
      <c r="AF2" t="s">
        <v>17</v>
      </c>
      <c r="AG2" t="s">
        <v>17</v>
      </c>
      <c r="AH2" t="s">
        <v>17</v>
      </c>
      <c r="AI2" t="s">
        <v>17</v>
      </c>
      <c r="AJ2" t="s">
        <v>17</v>
      </c>
      <c r="AK2" t="s">
        <v>17</v>
      </c>
      <c r="AL2" t="s">
        <v>17</v>
      </c>
      <c r="AM2" t="s">
        <v>17</v>
      </c>
      <c r="AN2" t="s">
        <v>17</v>
      </c>
      <c r="AO2" t="s">
        <v>17</v>
      </c>
      <c r="AP2" t="s">
        <v>17</v>
      </c>
      <c r="AQ2" s="1">
        <f t="shared" ref="AQ2:AQ33" ca="1" si="1">AVERAGE(K2:L2)</f>
        <v>0</v>
      </c>
      <c r="AR2" s="1">
        <f ca="1">AVERAGE(M2:N2)</f>
        <v>1</v>
      </c>
      <c r="AS2" s="1">
        <f ca="1">AVERAGE(O2:P2)</f>
        <v>1</v>
      </c>
      <c r="AT2" s="1">
        <f ca="1">AVERAGE(Q2:R2)</f>
        <v>0</v>
      </c>
      <c r="AU2">
        <f t="shared" ref="AU2:AV33" ca="1" si="2">RANDBETWEEN(500, 10000)</f>
        <v>5542</v>
      </c>
      <c r="AV2">
        <f t="shared" ca="1" si="2"/>
        <v>1751</v>
      </c>
      <c r="AW2">
        <f t="shared" ref="AW2:AX33" ca="1" si="3">RANDBETWEEN(500, 3000)</f>
        <v>1535</v>
      </c>
      <c r="AX2">
        <f t="shared" ca="1" si="3"/>
        <v>1799</v>
      </c>
      <c r="AY2">
        <f t="shared" ref="AY2:AZ33" ca="1" si="4">RANDBETWEEN(500, 10000)</f>
        <v>8323</v>
      </c>
      <c r="AZ2">
        <f t="shared" ca="1" si="4"/>
        <v>3710</v>
      </c>
      <c r="BA2">
        <f t="shared" ref="BA2:BB33" ca="1" si="5">RANDBETWEEN(500, 3000)</f>
        <v>565</v>
      </c>
      <c r="BB2">
        <f t="shared" ca="1" si="5"/>
        <v>792</v>
      </c>
      <c r="BC2">
        <f t="shared" ref="BC2:BF33" ca="1" si="6">RANDBETWEEN(500, 10000)</f>
        <v>3494</v>
      </c>
      <c r="BD2">
        <f t="shared" ca="1" si="6"/>
        <v>9947</v>
      </c>
      <c r="BE2">
        <f t="shared" ca="1" si="6"/>
        <v>2335</v>
      </c>
      <c r="BF2">
        <f t="shared" ca="1" si="6"/>
        <v>4206</v>
      </c>
      <c r="BG2">
        <f t="shared" ref="BG2:BJ33" ca="1" si="7">RANDBETWEEN(500, 3000)</f>
        <v>2412</v>
      </c>
      <c r="BH2">
        <f t="shared" ca="1" si="7"/>
        <v>773</v>
      </c>
      <c r="BI2">
        <f t="shared" ca="1" si="7"/>
        <v>1107</v>
      </c>
      <c r="BJ2">
        <f t="shared" ca="1" si="7"/>
        <v>1809</v>
      </c>
      <c r="BK2" s="7">
        <f ca="1">AVERAGE(AU2:AV33,AY2:AZ33,BC2:BF33)</f>
        <v>5263.72265625</v>
      </c>
      <c r="BL2" s="7">
        <f ca="1">AVERAGE(AW2:AX33,BA2:BB33,BG2:BJ33)</f>
        <v>1696.47265625</v>
      </c>
    </row>
    <row r="3" spans="1:64" x14ac:dyDescent="0.2">
      <c r="A3">
        <v>2</v>
      </c>
      <c r="B3" t="s">
        <v>19</v>
      </c>
      <c r="C3">
        <f t="shared" ref="C3:C33" si="8">IF(B3 = "Concentration", 1, 0)</f>
        <v>0</v>
      </c>
      <c r="D3">
        <v>1</v>
      </c>
      <c r="E3" t="s">
        <v>23</v>
      </c>
      <c r="F3" s="8" t="s">
        <v>37</v>
      </c>
      <c r="G3" s="5" t="s">
        <v>36</v>
      </c>
      <c r="H3" s="3" t="s">
        <v>30</v>
      </c>
      <c r="I3" s="4" t="s">
        <v>45</v>
      </c>
      <c r="J3" t="s">
        <v>20</v>
      </c>
      <c r="K3">
        <f t="shared" ca="1" si="0"/>
        <v>1</v>
      </c>
      <c r="L3">
        <f t="shared" ca="1" si="0"/>
        <v>0</v>
      </c>
      <c r="M3">
        <f t="shared" ca="1" si="0"/>
        <v>0</v>
      </c>
      <c r="N3">
        <f t="shared" ca="1" si="0"/>
        <v>0</v>
      </c>
      <c r="O3">
        <f t="shared" ca="1" si="0"/>
        <v>1</v>
      </c>
      <c r="P3">
        <f t="shared" ca="1" si="0"/>
        <v>1</v>
      </c>
      <c r="Q3">
        <f t="shared" ca="1" si="0"/>
        <v>0</v>
      </c>
      <c r="R3">
        <f t="shared" ca="1" si="0"/>
        <v>1</v>
      </c>
      <c r="S3" t="s">
        <v>17</v>
      </c>
      <c r="T3" t="s">
        <v>17</v>
      </c>
      <c r="U3" t="s">
        <v>17</v>
      </c>
      <c r="V3" t="s">
        <v>17</v>
      </c>
      <c r="W3" t="s">
        <v>17</v>
      </c>
      <c r="X3" t="s">
        <v>17</v>
      </c>
      <c r="Y3" t="s">
        <v>17</v>
      </c>
      <c r="Z3" t="s">
        <v>17</v>
      </c>
      <c r="AA3" t="s">
        <v>17</v>
      </c>
      <c r="AB3" t="s">
        <v>17</v>
      </c>
      <c r="AC3" t="s">
        <v>17</v>
      </c>
      <c r="AD3" t="s">
        <v>17</v>
      </c>
      <c r="AE3" t="s">
        <v>17</v>
      </c>
      <c r="AF3" t="s">
        <v>17</v>
      </c>
      <c r="AG3" t="s">
        <v>17</v>
      </c>
      <c r="AH3" t="s">
        <v>17</v>
      </c>
      <c r="AI3" t="s">
        <v>17</v>
      </c>
      <c r="AJ3" t="s">
        <v>17</v>
      </c>
      <c r="AK3" t="s">
        <v>17</v>
      </c>
      <c r="AL3" t="s">
        <v>17</v>
      </c>
      <c r="AM3" t="s">
        <v>17</v>
      </c>
      <c r="AN3" t="s">
        <v>17</v>
      </c>
      <c r="AO3" t="s">
        <v>17</v>
      </c>
      <c r="AP3" t="s">
        <v>17</v>
      </c>
      <c r="AQ3" s="1">
        <f t="shared" ca="1" si="1"/>
        <v>0.5</v>
      </c>
      <c r="AR3" s="1">
        <f t="shared" ref="AR3:AR33" ca="1" si="9">AVERAGE(M3:N3)</f>
        <v>0</v>
      </c>
      <c r="AS3" s="1">
        <f t="shared" ref="AS3:AS33" ca="1" si="10">AVERAGE(O3:P3)</f>
        <v>1</v>
      </c>
      <c r="AT3" s="1">
        <f t="shared" ref="AT3:AT33" ca="1" si="11">AVERAGE(Q3:R3)</f>
        <v>0.5</v>
      </c>
      <c r="AU3">
        <f t="shared" ca="1" si="2"/>
        <v>9906</v>
      </c>
      <c r="AV3">
        <f t="shared" ca="1" si="2"/>
        <v>2243</v>
      </c>
      <c r="AW3">
        <f t="shared" ca="1" si="3"/>
        <v>1698</v>
      </c>
      <c r="AX3">
        <f t="shared" ca="1" si="3"/>
        <v>1905</v>
      </c>
      <c r="AY3">
        <f t="shared" ca="1" si="4"/>
        <v>6706</v>
      </c>
      <c r="AZ3">
        <f t="shared" ca="1" si="4"/>
        <v>6204</v>
      </c>
      <c r="BA3">
        <f t="shared" ca="1" si="5"/>
        <v>530</v>
      </c>
      <c r="BB3">
        <f t="shared" ca="1" si="5"/>
        <v>2224</v>
      </c>
      <c r="BC3">
        <f t="shared" ca="1" si="6"/>
        <v>8986</v>
      </c>
      <c r="BD3">
        <f t="shared" ca="1" si="6"/>
        <v>2358</v>
      </c>
      <c r="BE3">
        <f t="shared" ca="1" si="6"/>
        <v>7082</v>
      </c>
      <c r="BF3">
        <f t="shared" ca="1" si="6"/>
        <v>8184</v>
      </c>
      <c r="BG3">
        <f t="shared" ca="1" si="7"/>
        <v>1934</v>
      </c>
      <c r="BH3">
        <f t="shared" ca="1" si="7"/>
        <v>1947</v>
      </c>
      <c r="BI3">
        <f t="shared" ca="1" si="7"/>
        <v>1732</v>
      </c>
      <c r="BJ3">
        <f t="shared" ca="1" si="7"/>
        <v>876</v>
      </c>
      <c r="BK3" s="7">
        <f ca="1">AVERAGE(AU3:AV33,AY3:AZ33,BC3:BF33)</f>
        <v>5275.0201612903229</v>
      </c>
      <c r="BL3" s="7">
        <f ca="1">AVERAGE(AW3:AX33,BA3:BB33,BG3:BJ33)</f>
        <v>1707.6814516129032</v>
      </c>
    </row>
    <row r="4" spans="1:64" x14ac:dyDescent="0.2">
      <c r="A4">
        <v>3</v>
      </c>
      <c r="B4" t="s">
        <v>18</v>
      </c>
      <c r="C4">
        <f t="shared" si="8"/>
        <v>1</v>
      </c>
      <c r="D4">
        <v>1</v>
      </c>
      <c r="E4" t="s">
        <v>23</v>
      </c>
      <c r="F4" s="2" t="s">
        <v>36</v>
      </c>
      <c r="G4" s="9" t="s">
        <v>37</v>
      </c>
      <c r="H4" s="3" t="s">
        <v>30</v>
      </c>
      <c r="I4" s="4" t="s">
        <v>45</v>
      </c>
      <c r="J4" t="s">
        <v>20</v>
      </c>
      <c r="K4">
        <f t="shared" ca="1" si="0"/>
        <v>0</v>
      </c>
      <c r="L4">
        <f t="shared" ca="1" si="0"/>
        <v>1</v>
      </c>
      <c r="M4">
        <f t="shared" ca="1" si="0"/>
        <v>0</v>
      </c>
      <c r="N4">
        <f t="shared" ca="1" si="0"/>
        <v>1</v>
      </c>
      <c r="O4">
        <f t="shared" ca="1" si="0"/>
        <v>0</v>
      </c>
      <c r="P4">
        <f t="shared" ca="1" si="0"/>
        <v>0</v>
      </c>
      <c r="Q4">
        <f t="shared" ca="1" si="0"/>
        <v>0</v>
      </c>
      <c r="R4">
        <f t="shared" ca="1" si="0"/>
        <v>0</v>
      </c>
      <c r="S4" t="s">
        <v>17</v>
      </c>
      <c r="T4" t="s">
        <v>17</v>
      </c>
      <c r="U4" t="s">
        <v>17</v>
      </c>
      <c r="V4" t="s">
        <v>17</v>
      </c>
      <c r="W4" t="s">
        <v>17</v>
      </c>
      <c r="X4" t="s">
        <v>17</v>
      </c>
      <c r="Y4" t="s">
        <v>17</v>
      </c>
      <c r="Z4" t="s">
        <v>17</v>
      </c>
      <c r="AA4" t="s">
        <v>17</v>
      </c>
      <c r="AB4" t="s">
        <v>17</v>
      </c>
      <c r="AC4" t="s">
        <v>17</v>
      </c>
      <c r="AD4" t="s">
        <v>17</v>
      </c>
      <c r="AE4" t="s">
        <v>17</v>
      </c>
      <c r="AF4" t="s">
        <v>17</v>
      </c>
      <c r="AG4" t="s">
        <v>17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17</v>
      </c>
      <c r="AO4" t="s">
        <v>17</v>
      </c>
      <c r="AP4" t="s">
        <v>17</v>
      </c>
      <c r="AQ4" s="1">
        <f t="shared" ca="1" si="1"/>
        <v>0.5</v>
      </c>
      <c r="AR4" s="1">
        <f t="shared" ca="1" si="9"/>
        <v>0.5</v>
      </c>
      <c r="AS4" s="1">
        <f t="shared" ca="1" si="10"/>
        <v>0</v>
      </c>
      <c r="AT4" s="1">
        <f t="shared" ca="1" si="11"/>
        <v>0</v>
      </c>
      <c r="AU4">
        <f t="shared" ca="1" si="2"/>
        <v>2362</v>
      </c>
      <c r="AV4">
        <f t="shared" ca="1" si="2"/>
        <v>7848</v>
      </c>
      <c r="AW4">
        <f t="shared" ca="1" si="3"/>
        <v>900</v>
      </c>
      <c r="AX4">
        <f t="shared" ca="1" si="3"/>
        <v>2833</v>
      </c>
      <c r="AY4">
        <f t="shared" ca="1" si="4"/>
        <v>8624</v>
      </c>
      <c r="AZ4">
        <f t="shared" ca="1" si="4"/>
        <v>564</v>
      </c>
      <c r="BA4">
        <f t="shared" ca="1" si="5"/>
        <v>2609</v>
      </c>
      <c r="BB4">
        <f t="shared" ca="1" si="5"/>
        <v>1123</v>
      </c>
      <c r="BC4">
        <f t="shared" ca="1" si="6"/>
        <v>2329</v>
      </c>
      <c r="BD4">
        <f t="shared" ca="1" si="6"/>
        <v>7382</v>
      </c>
      <c r="BE4">
        <f t="shared" ca="1" si="6"/>
        <v>7493</v>
      </c>
      <c r="BF4">
        <f t="shared" ca="1" si="6"/>
        <v>5129</v>
      </c>
      <c r="BG4">
        <f t="shared" ca="1" si="7"/>
        <v>931</v>
      </c>
      <c r="BH4">
        <f t="shared" ca="1" si="7"/>
        <v>2248</v>
      </c>
      <c r="BI4">
        <f t="shared" ca="1" si="7"/>
        <v>776</v>
      </c>
      <c r="BJ4">
        <f t="shared" ca="1" si="7"/>
        <v>1760</v>
      </c>
      <c r="BK4" s="7">
        <f ca="1">AVERAGE(AU4:AV33,AY4:AZ33,BC4:BF33)</f>
        <v>5235.5666666666666</v>
      </c>
      <c r="BL4" s="7">
        <f ca="1">AVERAGE(AW4:AX33,BA4:BB33,BG4:BJ33)</f>
        <v>1711.0791666666667</v>
      </c>
    </row>
    <row r="5" spans="1:64" x14ac:dyDescent="0.2">
      <c r="A5">
        <v>4</v>
      </c>
      <c r="B5" t="s">
        <v>19</v>
      </c>
      <c r="C5">
        <f t="shared" si="8"/>
        <v>0</v>
      </c>
      <c r="D5">
        <v>1</v>
      </c>
      <c r="E5" t="s">
        <v>23</v>
      </c>
      <c r="F5" s="2" t="s">
        <v>36</v>
      </c>
      <c r="G5" s="9" t="s">
        <v>37</v>
      </c>
      <c r="H5" s="3" t="s">
        <v>30</v>
      </c>
      <c r="I5" s="4" t="s">
        <v>45</v>
      </c>
      <c r="J5" t="s">
        <v>20</v>
      </c>
      <c r="K5">
        <f t="shared" ca="1" si="0"/>
        <v>0</v>
      </c>
      <c r="L5">
        <f t="shared" ca="1" si="0"/>
        <v>0</v>
      </c>
      <c r="M5">
        <f t="shared" ca="1" si="0"/>
        <v>1</v>
      </c>
      <c r="N5">
        <f t="shared" ca="1" si="0"/>
        <v>0</v>
      </c>
      <c r="O5">
        <f t="shared" ca="1" si="0"/>
        <v>1</v>
      </c>
      <c r="P5">
        <f t="shared" ca="1" si="0"/>
        <v>1</v>
      </c>
      <c r="Q5">
        <f t="shared" ca="1" si="0"/>
        <v>1</v>
      </c>
      <c r="R5">
        <f t="shared" ca="1" si="0"/>
        <v>1</v>
      </c>
      <c r="S5" t="s">
        <v>17</v>
      </c>
      <c r="T5" t="s">
        <v>17</v>
      </c>
      <c r="U5" t="s">
        <v>17</v>
      </c>
      <c r="V5" t="s">
        <v>17</v>
      </c>
      <c r="W5" t="s">
        <v>17</v>
      </c>
      <c r="X5" t="s">
        <v>17</v>
      </c>
      <c r="Y5" t="s">
        <v>17</v>
      </c>
      <c r="Z5" t="s">
        <v>17</v>
      </c>
      <c r="AA5" t="s">
        <v>17</v>
      </c>
      <c r="AB5" t="s">
        <v>17</v>
      </c>
      <c r="AC5" t="s">
        <v>17</v>
      </c>
      <c r="AD5" t="s">
        <v>17</v>
      </c>
      <c r="AE5" t="s">
        <v>17</v>
      </c>
      <c r="AF5" t="s">
        <v>17</v>
      </c>
      <c r="AG5" t="s">
        <v>17</v>
      </c>
      <c r="AH5" t="s">
        <v>17</v>
      </c>
      <c r="AI5" t="s">
        <v>17</v>
      </c>
      <c r="AJ5" t="s">
        <v>17</v>
      </c>
      <c r="AK5" t="s">
        <v>17</v>
      </c>
      <c r="AL5" t="s">
        <v>17</v>
      </c>
      <c r="AM5" t="s">
        <v>17</v>
      </c>
      <c r="AN5" t="s">
        <v>17</v>
      </c>
      <c r="AO5" t="s">
        <v>17</v>
      </c>
      <c r="AP5" t="s">
        <v>17</v>
      </c>
      <c r="AQ5" s="1">
        <f t="shared" ca="1" si="1"/>
        <v>0</v>
      </c>
      <c r="AR5" s="1">
        <f t="shared" ca="1" si="9"/>
        <v>0.5</v>
      </c>
      <c r="AS5" s="1">
        <f t="shared" ca="1" si="10"/>
        <v>1</v>
      </c>
      <c r="AT5" s="1">
        <f t="shared" ca="1" si="11"/>
        <v>1</v>
      </c>
      <c r="AU5">
        <f t="shared" ca="1" si="2"/>
        <v>2130</v>
      </c>
      <c r="AV5">
        <f t="shared" ca="1" si="2"/>
        <v>2429</v>
      </c>
      <c r="AW5">
        <f t="shared" ca="1" si="3"/>
        <v>2387</v>
      </c>
      <c r="AX5">
        <f t="shared" ca="1" si="3"/>
        <v>1033</v>
      </c>
      <c r="AY5">
        <f t="shared" ca="1" si="4"/>
        <v>8493</v>
      </c>
      <c r="AZ5">
        <f t="shared" ca="1" si="4"/>
        <v>4940</v>
      </c>
      <c r="BA5">
        <f t="shared" ca="1" si="5"/>
        <v>951</v>
      </c>
      <c r="BB5">
        <f t="shared" ca="1" si="5"/>
        <v>980</v>
      </c>
      <c r="BC5">
        <f t="shared" ca="1" si="6"/>
        <v>7525</v>
      </c>
      <c r="BD5">
        <f t="shared" ca="1" si="6"/>
        <v>2438</v>
      </c>
      <c r="BE5">
        <f t="shared" ca="1" si="6"/>
        <v>3243</v>
      </c>
      <c r="BF5">
        <f t="shared" ca="1" si="6"/>
        <v>5143</v>
      </c>
      <c r="BG5">
        <f t="shared" ca="1" si="7"/>
        <v>1283</v>
      </c>
      <c r="BH5">
        <f t="shared" ca="1" si="7"/>
        <v>1398</v>
      </c>
      <c r="BI5">
        <f t="shared" ca="1" si="7"/>
        <v>1780</v>
      </c>
      <c r="BJ5">
        <f t="shared" ca="1" si="7"/>
        <v>1214</v>
      </c>
      <c r="BK5" s="7">
        <f ca="1">AVERAGE(AU5:AV33,AY5:AZ33,BC5:BF33)</f>
        <v>5236.2284482758623</v>
      </c>
      <c r="BL5" s="7">
        <f ca="1">AVERAGE(AW5:AX33,BA5:BB33,BG5:BJ33)</f>
        <v>1713.2715517241379</v>
      </c>
    </row>
    <row r="6" spans="1:64" x14ac:dyDescent="0.2">
      <c r="A6">
        <v>5</v>
      </c>
      <c r="B6" t="s">
        <v>18</v>
      </c>
      <c r="C6">
        <f t="shared" si="8"/>
        <v>1</v>
      </c>
      <c r="D6">
        <v>2</v>
      </c>
      <c r="E6" t="s">
        <v>24</v>
      </c>
      <c r="F6" s="8" t="s">
        <v>39</v>
      </c>
      <c r="G6" s="5" t="s">
        <v>38</v>
      </c>
      <c r="H6" s="3" t="s">
        <v>28</v>
      </c>
      <c r="I6" s="4" t="s">
        <v>45</v>
      </c>
      <c r="J6" t="s">
        <v>20</v>
      </c>
      <c r="K6">
        <f t="shared" ca="1" si="0"/>
        <v>1</v>
      </c>
      <c r="L6">
        <f t="shared" ca="1" si="0"/>
        <v>0</v>
      </c>
      <c r="M6">
        <f t="shared" ca="1" si="0"/>
        <v>0</v>
      </c>
      <c r="N6">
        <f t="shared" ca="1" si="0"/>
        <v>1</v>
      </c>
      <c r="O6">
        <f t="shared" ca="1" si="0"/>
        <v>1</v>
      </c>
      <c r="P6">
        <f t="shared" ca="1" si="0"/>
        <v>1</v>
      </c>
      <c r="Q6">
        <f t="shared" ca="1" si="0"/>
        <v>0</v>
      </c>
      <c r="R6">
        <f t="shared" ca="1" si="0"/>
        <v>0</v>
      </c>
      <c r="S6" t="s">
        <v>17</v>
      </c>
      <c r="T6" t="s">
        <v>17</v>
      </c>
      <c r="U6" t="s">
        <v>17</v>
      </c>
      <c r="V6" t="s">
        <v>17</v>
      </c>
      <c r="W6" t="s">
        <v>17</v>
      </c>
      <c r="X6" t="s">
        <v>17</v>
      </c>
      <c r="Y6" t="s">
        <v>17</v>
      </c>
      <c r="Z6" t="s">
        <v>17</v>
      </c>
      <c r="AA6" t="s">
        <v>17</v>
      </c>
      <c r="AB6" t="s">
        <v>17</v>
      </c>
      <c r="AC6" t="s">
        <v>17</v>
      </c>
      <c r="AD6" t="s">
        <v>17</v>
      </c>
      <c r="AE6" t="s">
        <v>17</v>
      </c>
      <c r="AF6" t="s">
        <v>17</v>
      </c>
      <c r="AG6" t="s">
        <v>17</v>
      </c>
      <c r="AH6" t="s">
        <v>17</v>
      </c>
      <c r="AI6" t="s">
        <v>17</v>
      </c>
      <c r="AJ6" t="s">
        <v>17</v>
      </c>
      <c r="AK6" t="s">
        <v>17</v>
      </c>
      <c r="AL6" t="s">
        <v>17</v>
      </c>
      <c r="AM6" t="s">
        <v>17</v>
      </c>
      <c r="AN6" t="s">
        <v>17</v>
      </c>
      <c r="AO6" t="s">
        <v>17</v>
      </c>
      <c r="AP6" t="s">
        <v>17</v>
      </c>
      <c r="AQ6" s="1">
        <f t="shared" ca="1" si="1"/>
        <v>0.5</v>
      </c>
      <c r="AR6" s="1">
        <f t="shared" ca="1" si="9"/>
        <v>0.5</v>
      </c>
      <c r="AS6" s="1">
        <f t="shared" ca="1" si="10"/>
        <v>1</v>
      </c>
      <c r="AT6" s="1">
        <f t="shared" ca="1" si="11"/>
        <v>0</v>
      </c>
      <c r="AU6">
        <f t="shared" ca="1" si="2"/>
        <v>6376</v>
      </c>
      <c r="AV6">
        <f t="shared" ca="1" si="2"/>
        <v>1436</v>
      </c>
      <c r="AW6">
        <f t="shared" ca="1" si="3"/>
        <v>2268</v>
      </c>
      <c r="AX6">
        <f t="shared" ca="1" si="3"/>
        <v>2180</v>
      </c>
      <c r="AY6">
        <f t="shared" ca="1" si="4"/>
        <v>7423</v>
      </c>
      <c r="AZ6">
        <f t="shared" ca="1" si="4"/>
        <v>7796</v>
      </c>
      <c r="BA6">
        <f t="shared" ca="1" si="5"/>
        <v>2795</v>
      </c>
      <c r="BB6">
        <f t="shared" ca="1" si="5"/>
        <v>645</v>
      </c>
      <c r="BC6">
        <f t="shared" ca="1" si="6"/>
        <v>5408</v>
      </c>
      <c r="BD6">
        <f t="shared" ca="1" si="6"/>
        <v>7712</v>
      </c>
      <c r="BE6">
        <f t="shared" ca="1" si="6"/>
        <v>6357</v>
      </c>
      <c r="BF6">
        <f t="shared" ca="1" si="6"/>
        <v>2146</v>
      </c>
      <c r="BG6">
        <f t="shared" ca="1" si="7"/>
        <v>1528</v>
      </c>
      <c r="BH6">
        <f t="shared" ca="1" si="7"/>
        <v>1754</v>
      </c>
      <c r="BI6">
        <f t="shared" ca="1" si="7"/>
        <v>2726</v>
      </c>
      <c r="BJ6">
        <f t="shared" ca="1" si="7"/>
        <v>827</v>
      </c>
      <c r="BK6" s="7">
        <f ca="1">AVERAGE(AU6:AV33,AY6:AZ33,BC6:BF33)</f>
        <v>5261</v>
      </c>
      <c r="BL6" s="7">
        <f ca="1">AVERAGE(AW6:AX33,BA6:BB33,BG6:BJ33)</f>
        <v>1725.2366071428571</v>
      </c>
    </row>
    <row r="7" spans="1:64" x14ac:dyDescent="0.2">
      <c r="A7">
        <v>6</v>
      </c>
      <c r="B7" t="s">
        <v>19</v>
      </c>
      <c r="C7">
        <f t="shared" si="8"/>
        <v>0</v>
      </c>
      <c r="D7">
        <v>2</v>
      </c>
      <c r="E7" t="s">
        <v>24</v>
      </c>
      <c r="F7" s="8" t="s">
        <v>39</v>
      </c>
      <c r="G7" s="5" t="s">
        <v>38</v>
      </c>
      <c r="H7" s="3" t="s">
        <v>28</v>
      </c>
      <c r="I7" s="4" t="s">
        <v>45</v>
      </c>
      <c r="J7" t="s">
        <v>20</v>
      </c>
      <c r="K7">
        <f t="shared" ca="1" si="0"/>
        <v>0</v>
      </c>
      <c r="L7">
        <f t="shared" ca="1" si="0"/>
        <v>0</v>
      </c>
      <c r="M7">
        <f t="shared" ca="1" si="0"/>
        <v>1</v>
      </c>
      <c r="N7">
        <f t="shared" ca="1" si="0"/>
        <v>1</v>
      </c>
      <c r="O7">
        <f t="shared" ca="1" si="0"/>
        <v>0</v>
      </c>
      <c r="P7">
        <f t="shared" ca="1" si="0"/>
        <v>1</v>
      </c>
      <c r="Q7">
        <f t="shared" ca="1" si="0"/>
        <v>0</v>
      </c>
      <c r="R7">
        <f t="shared" ca="1" si="0"/>
        <v>1</v>
      </c>
      <c r="S7" t="s">
        <v>17</v>
      </c>
      <c r="T7" t="s">
        <v>17</v>
      </c>
      <c r="U7" t="s">
        <v>17</v>
      </c>
      <c r="V7" t="s">
        <v>17</v>
      </c>
      <c r="W7" t="s">
        <v>17</v>
      </c>
      <c r="X7" t="s">
        <v>17</v>
      </c>
      <c r="Y7" t="s">
        <v>17</v>
      </c>
      <c r="Z7" t="s">
        <v>17</v>
      </c>
      <c r="AA7" t="s">
        <v>17</v>
      </c>
      <c r="AB7" t="s">
        <v>17</v>
      </c>
      <c r="AC7" t="s">
        <v>17</v>
      </c>
      <c r="AD7" t="s">
        <v>17</v>
      </c>
      <c r="AE7" t="s">
        <v>17</v>
      </c>
      <c r="AF7" t="s">
        <v>17</v>
      </c>
      <c r="AG7" t="s">
        <v>17</v>
      </c>
      <c r="AH7" t="s">
        <v>17</v>
      </c>
      <c r="AI7" t="s">
        <v>17</v>
      </c>
      <c r="AJ7" t="s">
        <v>17</v>
      </c>
      <c r="AK7" t="s">
        <v>17</v>
      </c>
      <c r="AL7" t="s">
        <v>17</v>
      </c>
      <c r="AM7" t="s">
        <v>17</v>
      </c>
      <c r="AN7" t="s">
        <v>17</v>
      </c>
      <c r="AO7" t="s">
        <v>17</v>
      </c>
      <c r="AP7" t="s">
        <v>17</v>
      </c>
      <c r="AQ7" s="1">
        <f t="shared" ca="1" si="1"/>
        <v>0</v>
      </c>
      <c r="AR7" s="1">
        <f t="shared" ca="1" si="9"/>
        <v>1</v>
      </c>
      <c r="AS7" s="1">
        <f t="shared" ca="1" si="10"/>
        <v>0.5</v>
      </c>
      <c r="AT7" s="1">
        <f t="shared" ca="1" si="11"/>
        <v>0.5</v>
      </c>
      <c r="AU7">
        <f t="shared" ca="1" si="2"/>
        <v>5461</v>
      </c>
      <c r="AV7">
        <f t="shared" ca="1" si="2"/>
        <v>7286</v>
      </c>
      <c r="AW7">
        <f t="shared" ca="1" si="3"/>
        <v>806</v>
      </c>
      <c r="AX7">
        <f t="shared" ca="1" si="3"/>
        <v>2217</v>
      </c>
      <c r="AY7">
        <f t="shared" ca="1" si="4"/>
        <v>1679</v>
      </c>
      <c r="AZ7">
        <f t="shared" ca="1" si="4"/>
        <v>897</v>
      </c>
      <c r="BA7">
        <f t="shared" ca="1" si="5"/>
        <v>2093</v>
      </c>
      <c r="BB7">
        <f t="shared" ca="1" si="5"/>
        <v>2162</v>
      </c>
      <c r="BC7">
        <f t="shared" ca="1" si="6"/>
        <v>2245</v>
      </c>
      <c r="BD7">
        <f t="shared" ca="1" si="6"/>
        <v>7504</v>
      </c>
      <c r="BE7">
        <f t="shared" ca="1" si="6"/>
        <v>3461</v>
      </c>
      <c r="BF7">
        <f t="shared" ca="1" si="6"/>
        <v>1507</v>
      </c>
      <c r="BG7">
        <f t="shared" ca="1" si="7"/>
        <v>509</v>
      </c>
      <c r="BH7">
        <f t="shared" ca="1" si="7"/>
        <v>2223</v>
      </c>
      <c r="BI7">
        <f t="shared" ca="1" si="7"/>
        <v>2418</v>
      </c>
      <c r="BJ7">
        <f t="shared" ca="1" si="7"/>
        <v>1970</v>
      </c>
      <c r="BK7" s="7">
        <f ca="1">AVERAGE(AU7:AV33,AY7:AZ33,BC7:BF33)</f>
        <v>5249.1203703703704</v>
      </c>
      <c r="BL7" s="7">
        <f ca="1">AVERAGE(AW7:AX33,BA7:BB33,BG7:BJ33)</f>
        <v>1720.9722222222222</v>
      </c>
    </row>
    <row r="8" spans="1:64" x14ac:dyDescent="0.2">
      <c r="A8">
        <v>7</v>
      </c>
      <c r="B8" t="s">
        <v>18</v>
      </c>
      <c r="C8">
        <f t="shared" si="8"/>
        <v>1</v>
      </c>
      <c r="D8">
        <v>2</v>
      </c>
      <c r="E8" t="s">
        <v>24</v>
      </c>
      <c r="F8" s="2" t="s">
        <v>38</v>
      </c>
      <c r="G8" s="9" t="s">
        <v>39</v>
      </c>
      <c r="H8" s="3" t="s">
        <v>28</v>
      </c>
      <c r="I8" s="4" t="s">
        <v>45</v>
      </c>
      <c r="J8" t="s">
        <v>20</v>
      </c>
      <c r="K8">
        <f t="shared" ca="1" si="0"/>
        <v>0</v>
      </c>
      <c r="L8">
        <f t="shared" ca="1" si="0"/>
        <v>1</v>
      </c>
      <c r="M8">
        <f t="shared" ca="1" si="0"/>
        <v>0</v>
      </c>
      <c r="N8">
        <f t="shared" ca="1" si="0"/>
        <v>0</v>
      </c>
      <c r="O8">
        <f t="shared" ca="1" si="0"/>
        <v>0</v>
      </c>
      <c r="P8">
        <f t="shared" ca="1" si="0"/>
        <v>0</v>
      </c>
      <c r="Q8">
        <f t="shared" ca="1" si="0"/>
        <v>1</v>
      </c>
      <c r="R8">
        <f t="shared" ca="1" si="0"/>
        <v>1</v>
      </c>
      <c r="S8" t="s">
        <v>17</v>
      </c>
      <c r="T8" t="s">
        <v>17</v>
      </c>
      <c r="U8" t="s">
        <v>17</v>
      </c>
      <c r="V8" t="s">
        <v>17</v>
      </c>
      <c r="W8" t="s">
        <v>17</v>
      </c>
      <c r="X8" t="s">
        <v>17</v>
      </c>
      <c r="Y8" t="s">
        <v>17</v>
      </c>
      <c r="Z8" t="s">
        <v>17</v>
      </c>
      <c r="AA8" t="s">
        <v>17</v>
      </c>
      <c r="AB8" t="s">
        <v>17</v>
      </c>
      <c r="AC8" t="s">
        <v>17</v>
      </c>
      <c r="AD8" t="s">
        <v>17</v>
      </c>
      <c r="AE8" t="s">
        <v>17</v>
      </c>
      <c r="AF8" t="s">
        <v>17</v>
      </c>
      <c r="AG8" t="s">
        <v>17</v>
      </c>
      <c r="AH8" t="s">
        <v>17</v>
      </c>
      <c r="AI8" t="s">
        <v>17</v>
      </c>
      <c r="AJ8" t="s">
        <v>17</v>
      </c>
      <c r="AK8" t="s">
        <v>17</v>
      </c>
      <c r="AL8" t="s">
        <v>17</v>
      </c>
      <c r="AM8" t="s">
        <v>17</v>
      </c>
      <c r="AN8" t="s">
        <v>17</v>
      </c>
      <c r="AO8" t="s">
        <v>17</v>
      </c>
      <c r="AP8" t="s">
        <v>17</v>
      </c>
      <c r="AQ8" s="1">
        <f t="shared" ca="1" si="1"/>
        <v>0.5</v>
      </c>
      <c r="AR8" s="1">
        <f t="shared" ca="1" si="9"/>
        <v>0</v>
      </c>
      <c r="AS8" s="1">
        <f t="shared" ca="1" si="10"/>
        <v>0</v>
      </c>
      <c r="AT8" s="1">
        <f t="shared" ca="1" si="11"/>
        <v>1</v>
      </c>
      <c r="AU8">
        <f t="shared" ca="1" si="2"/>
        <v>6295</v>
      </c>
      <c r="AV8">
        <f t="shared" ca="1" si="2"/>
        <v>2135</v>
      </c>
      <c r="AW8">
        <f t="shared" ca="1" si="3"/>
        <v>600</v>
      </c>
      <c r="AX8">
        <f t="shared" ca="1" si="3"/>
        <v>2897</v>
      </c>
      <c r="AY8">
        <f t="shared" ca="1" si="4"/>
        <v>8244</v>
      </c>
      <c r="AZ8">
        <f t="shared" ca="1" si="4"/>
        <v>4377</v>
      </c>
      <c r="BA8">
        <f t="shared" ca="1" si="5"/>
        <v>2797</v>
      </c>
      <c r="BB8">
        <f t="shared" ca="1" si="5"/>
        <v>906</v>
      </c>
      <c r="BC8">
        <f t="shared" ca="1" si="6"/>
        <v>7899</v>
      </c>
      <c r="BD8">
        <f t="shared" ca="1" si="6"/>
        <v>5274</v>
      </c>
      <c r="BE8">
        <f t="shared" ca="1" si="6"/>
        <v>5605</v>
      </c>
      <c r="BF8">
        <f t="shared" ca="1" si="6"/>
        <v>887</v>
      </c>
      <c r="BG8">
        <f t="shared" ca="1" si="7"/>
        <v>936</v>
      </c>
      <c r="BH8">
        <f t="shared" ca="1" si="7"/>
        <v>639</v>
      </c>
      <c r="BI8">
        <f t="shared" ca="1" si="7"/>
        <v>1319</v>
      </c>
      <c r="BJ8">
        <f t="shared" ca="1" si="7"/>
        <v>844</v>
      </c>
      <c r="BK8" s="7">
        <f ca="1">AVERAGE(AU8:AV33,AY8:AZ33,BC8:BF33)</f>
        <v>5306.5865384615381</v>
      </c>
      <c r="BL8" s="7">
        <f ca="1">AVERAGE(AW8:AX33,BA8:BB33,BG8:BJ33)</f>
        <v>1717.9423076923076</v>
      </c>
    </row>
    <row r="9" spans="1:64" x14ac:dyDescent="0.2">
      <c r="A9">
        <v>8</v>
      </c>
      <c r="B9" t="s">
        <v>19</v>
      </c>
      <c r="C9">
        <f t="shared" si="8"/>
        <v>0</v>
      </c>
      <c r="D9">
        <v>2</v>
      </c>
      <c r="E9" t="s">
        <v>24</v>
      </c>
      <c r="F9" s="2" t="s">
        <v>38</v>
      </c>
      <c r="G9" s="9" t="s">
        <v>39</v>
      </c>
      <c r="H9" s="3" t="s">
        <v>28</v>
      </c>
      <c r="I9" s="4" t="s">
        <v>45</v>
      </c>
      <c r="J9" t="s">
        <v>20</v>
      </c>
      <c r="K9">
        <f t="shared" ca="1" si="0"/>
        <v>0</v>
      </c>
      <c r="L9">
        <f t="shared" ca="1" si="0"/>
        <v>1</v>
      </c>
      <c r="M9">
        <f t="shared" ca="1" si="0"/>
        <v>0</v>
      </c>
      <c r="N9">
        <f t="shared" ca="1" si="0"/>
        <v>0</v>
      </c>
      <c r="O9">
        <f t="shared" ca="1" si="0"/>
        <v>1</v>
      </c>
      <c r="P9">
        <f t="shared" ca="1" si="0"/>
        <v>0</v>
      </c>
      <c r="Q9">
        <f t="shared" ca="1" si="0"/>
        <v>0</v>
      </c>
      <c r="R9">
        <f t="shared" ca="1" si="0"/>
        <v>1</v>
      </c>
      <c r="S9" t="s">
        <v>17</v>
      </c>
      <c r="T9" t="s">
        <v>17</v>
      </c>
      <c r="U9" t="s">
        <v>17</v>
      </c>
      <c r="V9" t="s">
        <v>17</v>
      </c>
      <c r="W9" t="s">
        <v>17</v>
      </c>
      <c r="X9" t="s">
        <v>17</v>
      </c>
      <c r="Y9" t="s">
        <v>17</v>
      </c>
      <c r="Z9" t="s">
        <v>17</v>
      </c>
      <c r="AA9" t="s">
        <v>17</v>
      </c>
      <c r="AB9" t="s">
        <v>17</v>
      </c>
      <c r="AC9" t="s">
        <v>17</v>
      </c>
      <c r="AD9" t="s">
        <v>17</v>
      </c>
      <c r="AE9" t="s">
        <v>17</v>
      </c>
      <c r="AF9" t="s">
        <v>17</v>
      </c>
      <c r="AG9" t="s">
        <v>17</v>
      </c>
      <c r="AH9" t="s">
        <v>17</v>
      </c>
      <c r="AI9" t="s">
        <v>17</v>
      </c>
      <c r="AJ9" t="s">
        <v>17</v>
      </c>
      <c r="AK9" t="s">
        <v>17</v>
      </c>
      <c r="AL9" t="s">
        <v>17</v>
      </c>
      <c r="AM9" t="s">
        <v>17</v>
      </c>
      <c r="AN9" t="s">
        <v>17</v>
      </c>
      <c r="AO9" t="s">
        <v>17</v>
      </c>
      <c r="AP9" t="s">
        <v>17</v>
      </c>
      <c r="AQ9" s="1">
        <f t="shared" ca="1" si="1"/>
        <v>0.5</v>
      </c>
      <c r="AR9" s="1">
        <f t="shared" ca="1" si="9"/>
        <v>0</v>
      </c>
      <c r="AS9" s="1">
        <f t="shared" ca="1" si="10"/>
        <v>0.5</v>
      </c>
      <c r="AT9" s="1">
        <f t="shared" ca="1" si="11"/>
        <v>0.5</v>
      </c>
      <c r="AU9">
        <f t="shared" ca="1" si="2"/>
        <v>3146</v>
      </c>
      <c r="AV9">
        <f t="shared" ca="1" si="2"/>
        <v>929</v>
      </c>
      <c r="AW9">
        <f t="shared" ca="1" si="3"/>
        <v>1013</v>
      </c>
      <c r="AX9">
        <f t="shared" ca="1" si="3"/>
        <v>2821</v>
      </c>
      <c r="AY9">
        <f t="shared" ca="1" si="4"/>
        <v>814</v>
      </c>
      <c r="AZ9">
        <f t="shared" ca="1" si="4"/>
        <v>3239</v>
      </c>
      <c r="BA9">
        <f t="shared" ca="1" si="5"/>
        <v>2489</v>
      </c>
      <c r="BB9">
        <f t="shared" ca="1" si="5"/>
        <v>2856</v>
      </c>
      <c r="BC9">
        <f t="shared" ca="1" si="6"/>
        <v>7285</v>
      </c>
      <c r="BD9">
        <f t="shared" ca="1" si="6"/>
        <v>8891</v>
      </c>
      <c r="BE9">
        <f t="shared" ca="1" si="6"/>
        <v>3339</v>
      </c>
      <c r="BF9">
        <f t="shared" ca="1" si="6"/>
        <v>5593</v>
      </c>
      <c r="BG9">
        <f t="shared" ca="1" si="7"/>
        <v>1123</v>
      </c>
      <c r="BH9">
        <f t="shared" ca="1" si="7"/>
        <v>744</v>
      </c>
      <c r="BI9">
        <f t="shared" ca="1" si="7"/>
        <v>2398</v>
      </c>
      <c r="BJ9">
        <f t="shared" ca="1" si="7"/>
        <v>1196</v>
      </c>
      <c r="BK9" s="7">
        <f ca="1">AVERAGE(AU9:AV33,AY9:AZ33,BC9:BF33)</f>
        <v>5315.27</v>
      </c>
      <c r="BL9" s="7">
        <f ca="1">AVERAGE(AW9:AX33,BA9:BB33,BG9:BJ33)</f>
        <v>1731.97</v>
      </c>
    </row>
    <row r="10" spans="1:64" x14ac:dyDescent="0.2">
      <c r="A10">
        <v>9</v>
      </c>
      <c r="B10" t="s">
        <v>18</v>
      </c>
      <c r="C10">
        <f t="shared" si="8"/>
        <v>1</v>
      </c>
      <c r="D10">
        <v>3</v>
      </c>
      <c r="E10" t="s">
        <v>25</v>
      </c>
      <c r="F10" s="8" t="s">
        <v>41</v>
      </c>
      <c r="G10" s="5" t="s">
        <v>40</v>
      </c>
      <c r="H10" s="3" t="s">
        <v>32</v>
      </c>
      <c r="I10" s="4" t="s">
        <v>45</v>
      </c>
      <c r="J10" t="s">
        <v>20</v>
      </c>
      <c r="K10">
        <f t="shared" ca="1" si="0"/>
        <v>0</v>
      </c>
      <c r="L10">
        <f t="shared" ca="1" si="0"/>
        <v>1</v>
      </c>
      <c r="M10">
        <f t="shared" ca="1" si="0"/>
        <v>1</v>
      </c>
      <c r="N10">
        <f t="shared" ca="1" si="0"/>
        <v>1</v>
      </c>
      <c r="O10">
        <f t="shared" ca="1" si="0"/>
        <v>1</v>
      </c>
      <c r="P10">
        <f t="shared" ca="1" si="0"/>
        <v>1</v>
      </c>
      <c r="Q10">
        <f t="shared" ca="1" si="0"/>
        <v>1</v>
      </c>
      <c r="R10">
        <f t="shared" ca="1" si="0"/>
        <v>0</v>
      </c>
      <c r="S10" t="s">
        <v>17</v>
      </c>
      <c r="T10" t="s">
        <v>17</v>
      </c>
      <c r="U10" t="s">
        <v>17</v>
      </c>
      <c r="V10" t="s">
        <v>17</v>
      </c>
      <c r="W10" t="s">
        <v>17</v>
      </c>
      <c r="X10" t="s">
        <v>17</v>
      </c>
      <c r="Y10" t="s">
        <v>17</v>
      </c>
      <c r="Z10" t="s">
        <v>17</v>
      </c>
      <c r="AA10" t="s">
        <v>17</v>
      </c>
      <c r="AB10" t="s">
        <v>17</v>
      </c>
      <c r="AC10" t="s">
        <v>17</v>
      </c>
      <c r="AD10" t="s">
        <v>17</v>
      </c>
      <c r="AE10" t="s">
        <v>17</v>
      </c>
      <c r="AF10" t="s">
        <v>17</v>
      </c>
      <c r="AG10" t="s">
        <v>17</v>
      </c>
      <c r="AH10" t="s">
        <v>17</v>
      </c>
      <c r="AI10" t="s">
        <v>17</v>
      </c>
      <c r="AJ10" t="s">
        <v>17</v>
      </c>
      <c r="AK10" t="s">
        <v>17</v>
      </c>
      <c r="AL10" t="s">
        <v>17</v>
      </c>
      <c r="AM10" t="s">
        <v>17</v>
      </c>
      <c r="AN10" t="s">
        <v>17</v>
      </c>
      <c r="AO10" t="s">
        <v>17</v>
      </c>
      <c r="AP10" t="s">
        <v>17</v>
      </c>
      <c r="AQ10" s="1">
        <f t="shared" ca="1" si="1"/>
        <v>0.5</v>
      </c>
      <c r="AR10" s="1">
        <f t="shared" ca="1" si="9"/>
        <v>1</v>
      </c>
      <c r="AS10" s="1">
        <f t="shared" ca="1" si="10"/>
        <v>1</v>
      </c>
      <c r="AT10" s="1">
        <f t="shared" ca="1" si="11"/>
        <v>0.5</v>
      </c>
      <c r="AU10">
        <f t="shared" ca="1" si="2"/>
        <v>3687</v>
      </c>
      <c r="AV10">
        <f t="shared" ca="1" si="2"/>
        <v>7165</v>
      </c>
      <c r="AW10">
        <f t="shared" ca="1" si="3"/>
        <v>2216</v>
      </c>
      <c r="AX10">
        <f t="shared" ca="1" si="3"/>
        <v>2511</v>
      </c>
      <c r="AY10">
        <f t="shared" ca="1" si="4"/>
        <v>937</v>
      </c>
      <c r="AZ10">
        <f t="shared" ca="1" si="4"/>
        <v>2082</v>
      </c>
      <c r="BA10">
        <f t="shared" ca="1" si="5"/>
        <v>2055</v>
      </c>
      <c r="BB10">
        <f t="shared" ca="1" si="5"/>
        <v>1959</v>
      </c>
      <c r="BC10">
        <f t="shared" ca="1" si="6"/>
        <v>2454</v>
      </c>
      <c r="BD10">
        <f t="shared" ca="1" si="6"/>
        <v>9737</v>
      </c>
      <c r="BE10">
        <f t="shared" ca="1" si="6"/>
        <v>8447</v>
      </c>
      <c r="BF10">
        <f t="shared" ca="1" si="6"/>
        <v>4058</v>
      </c>
      <c r="BG10">
        <f t="shared" ca="1" si="7"/>
        <v>2295</v>
      </c>
      <c r="BH10">
        <f t="shared" ca="1" si="7"/>
        <v>2031</v>
      </c>
      <c r="BI10">
        <f t="shared" ca="1" si="7"/>
        <v>1970</v>
      </c>
      <c r="BJ10">
        <f t="shared" ca="1" si="7"/>
        <v>2821</v>
      </c>
      <c r="BK10" s="7">
        <f ca="1">AVERAGE(AU10:AV33,AY10:AZ33,BC10:BF33)</f>
        <v>5363.635416666667</v>
      </c>
      <c r="BL10" s="7">
        <f ca="1">AVERAGE(AW10:AX33,BA10:BB33,BG10:BJ33)</f>
        <v>1727.8854166666667</v>
      </c>
    </row>
    <row r="11" spans="1:64" x14ac:dyDescent="0.2">
      <c r="A11">
        <v>10</v>
      </c>
      <c r="B11" t="s">
        <v>19</v>
      </c>
      <c r="C11">
        <f t="shared" si="8"/>
        <v>0</v>
      </c>
      <c r="D11">
        <v>3</v>
      </c>
      <c r="E11" t="s">
        <v>25</v>
      </c>
      <c r="F11" s="8" t="s">
        <v>41</v>
      </c>
      <c r="G11" s="5" t="s">
        <v>40</v>
      </c>
      <c r="H11" s="3" t="s">
        <v>32</v>
      </c>
      <c r="I11" s="4" t="s">
        <v>45</v>
      </c>
      <c r="J11" t="s">
        <v>20</v>
      </c>
      <c r="K11">
        <f t="shared" ca="1" si="0"/>
        <v>0</v>
      </c>
      <c r="L11">
        <f t="shared" ca="1" si="0"/>
        <v>0</v>
      </c>
      <c r="M11">
        <f t="shared" ca="1" si="0"/>
        <v>0</v>
      </c>
      <c r="N11">
        <f t="shared" ca="1" si="0"/>
        <v>1</v>
      </c>
      <c r="O11">
        <f t="shared" ca="1" si="0"/>
        <v>1</v>
      </c>
      <c r="P11">
        <f t="shared" ca="1" si="0"/>
        <v>1</v>
      </c>
      <c r="Q11">
        <f t="shared" ca="1" si="0"/>
        <v>0</v>
      </c>
      <c r="R11">
        <f t="shared" ca="1" si="0"/>
        <v>0</v>
      </c>
      <c r="S11" t="s">
        <v>17</v>
      </c>
      <c r="T11" t="s">
        <v>17</v>
      </c>
      <c r="U11" t="s">
        <v>17</v>
      </c>
      <c r="V11" t="s">
        <v>17</v>
      </c>
      <c r="W11" t="s">
        <v>17</v>
      </c>
      <c r="X11" t="s">
        <v>17</v>
      </c>
      <c r="Y11" t="s">
        <v>17</v>
      </c>
      <c r="Z11" t="s">
        <v>17</v>
      </c>
      <c r="AA11" t="s">
        <v>17</v>
      </c>
      <c r="AB11" t="s">
        <v>17</v>
      </c>
      <c r="AC11" t="s">
        <v>17</v>
      </c>
      <c r="AD11" t="s">
        <v>17</v>
      </c>
      <c r="AE11" t="s">
        <v>17</v>
      </c>
      <c r="AF11" t="s">
        <v>17</v>
      </c>
      <c r="AG11" t="s">
        <v>17</v>
      </c>
      <c r="AH11" t="s">
        <v>17</v>
      </c>
      <c r="AI11" t="s">
        <v>17</v>
      </c>
      <c r="AJ11" t="s">
        <v>17</v>
      </c>
      <c r="AK11" t="s">
        <v>17</v>
      </c>
      <c r="AL11" t="s">
        <v>17</v>
      </c>
      <c r="AM11" t="s">
        <v>17</v>
      </c>
      <c r="AN11" t="s">
        <v>17</v>
      </c>
      <c r="AO11" t="s">
        <v>17</v>
      </c>
      <c r="AP11" t="s">
        <v>17</v>
      </c>
      <c r="AQ11" s="1">
        <f t="shared" ca="1" si="1"/>
        <v>0</v>
      </c>
      <c r="AR11" s="1">
        <f t="shared" ca="1" si="9"/>
        <v>0.5</v>
      </c>
      <c r="AS11" s="1">
        <f t="shared" ca="1" si="10"/>
        <v>1</v>
      </c>
      <c r="AT11" s="1">
        <f t="shared" ca="1" si="11"/>
        <v>0</v>
      </c>
      <c r="AU11">
        <f t="shared" ca="1" si="2"/>
        <v>6760</v>
      </c>
      <c r="AV11">
        <f t="shared" ca="1" si="2"/>
        <v>519</v>
      </c>
      <c r="AW11">
        <f t="shared" ca="1" si="3"/>
        <v>2263</v>
      </c>
      <c r="AX11">
        <f t="shared" ca="1" si="3"/>
        <v>2610</v>
      </c>
      <c r="AY11">
        <f t="shared" ca="1" si="4"/>
        <v>5007</v>
      </c>
      <c r="AZ11">
        <f t="shared" ca="1" si="4"/>
        <v>1694</v>
      </c>
      <c r="BA11">
        <f t="shared" ca="1" si="5"/>
        <v>2984</v>
      </c>
      <c r="BB11">
        <f t="shared" ca="1" si="5"/>
        <v>2222</v>
      </c>
      <c r="BC11">
        <f t="shared" ca="1" si="6"/>
        <v>7633</v>
      </c>
      <c r="BD11">
        <f t="shared" ca="1" si="6"/>
        <v>9676</v>
      </c>
      <c r="BE11">
        <f t="shared" ca="1" si="6"/>
        <v>1410</v>
      </c>
      <c r="BF11">
        <f t="shared" ca="1" si="6"/>
        <v>3674</v>
      </c>
      <c r="BG11">
        <f t="shared" ca="1" si="7"/>
        <v>949</v>
      </c>
      <c r="BH11">
        <f t="shared" ca="1" si="7"/>
        <v>2846</v>
      </c>
      <c r="BI11">
        <f t="shared" ca="1" si="7"/>
        <v>2817</v>
      </c>
      <c r="BJ11">
        <f t="shared" ca="1" si="7"/>
        <v>2644</v>
      </c>
      <c r="BK11" s="7">
        <f ca="1">AVERAGE(AU11:AV33,AY11:AZ33,BC11:BF33)</f>
        <v>5387.233695652174</v>
      </c>
      <c r="BL11" s="7">
        <f ca="1">AVERAGE(AW11:AX33,BA11:BB33,BG11:BJ33)</f>
        <v>1705.9565217391305</v>
      </c>
    </row>
    <row r="12" spans="1:64" x14ac:dyDescent="0.2">
      <c r="A12">
        <v>11</v>
      </c>
      <c r="B12" t="s">
        <v>18</v>
      </c>
      <c r="C12">
        <f t="shared" si="8"/>
        <v>1</v>
      </c>
      <c r="D12">
        <v>3</v>
      </c>
      <c r="E12" t="s">
        <v>25</v>
      </c>
      <c r="F12" s="2" t="s">
        <v>40</v>
      </c>
      <c r="G12" s="9" t="s">
        <v>41</v>
      </c>
      <c r="H12" s="3" t="s">
        <v>32</v>
      </c>
      <c r="I12" s="4" t="s">
        <v>45</v>
      </c>
      <c r="J12" t="s">
        <v>20</v>
      </c>
      <c r="K12">
        <f t="shared" ref="K12:R21" ca="1" si="12">RANDBETWEEN(0,1)</f>
        <v>0</v>
      </c>
      <c r="L12">
        <f t="shared" ca="1" si="12"/>
        <v>1</v>
      </c>
      <c r="M12">
        <f t="shared" ca="1" si="12"/>
        <v>1</v>
      </c>
      <c r="N12">
        <f t="shared" ca="1" si="12"/>
        <v>1</v>
      </c>
      <c r="O12">
        <f t="shared" ca="1" si="12"/>
        <v>1</v>
      </c>
      <c r="P12">
        <f t="shared" ca="1" si="12"/>
        <v>1</v>
      </c>
      <c r="Q12">
        <f t="shared" ca="1" si="12"/>
        <v>1</v>
      </c>
      <c r="R12">
        <f t="shared" ca="1" si="12"/>
        <v>1</v>
      </c>
      <c r="S12" t="s">
        <v>17</v>
      </c>
      <c r="T12" t="s">
        <v>17</v>
      </c>
      <c r="U12" t="s">
        <v>17</v>
      </c>
      <c r="V12" t="s">
        <v>17</v>
      </c>
      <c r="W12" t="s">
        <v>17</v>
      </c>
      <c r="X12" t="s">
        <v>17</v>
      </c>
      <c r="Y12" t="s">
        <v>17</v>
      </c>
      <c r="Z12" t="s">
        <v>17</v>
      </c>
      <c r="AA12" t="s">
        <v>17</v>
      </c>
      <c r="AB12" t="s">
        <v>17</v>
      </c>
      <c r="AC12" t="s">
        <v>17</v>
      </c>
      <c r="AD12" t="s">
        <v>17</v>
      </c>
      <c r="AE12" t="s">
        <v>17</v>
      </c>
      <c r="AF12" t="s">
        <v>17</v>
      </c>
      <c r="AG12" t="s">
        <v>17</v>
      </c>
      <c r="AH12" t="s">
        <v>17</v>
      </c>
      <c r="AI12" t="s">
        <v>17</v>
      </c>
      <c r="AJ12" t="s">
        <v>17</v>
      </c>
      <c r="AK12" t="s">
        <v>17</v>
      </c>
      <c r="AL12" t="s">
        <v>17</v>
      </c>
      <c r="AM12" t="s">
        <v>17</v>
      </c>
      <c r="AN12" t="s">
        <v>17</v>
      </c>
      <c r="AO12" t="s">
        <v>17</v>
      </c>
      <c r="AP12" t="s">
        <v>17</v>
      </c>
      <c r="AQ12" s="1">
        <f t="shared" ca="1" si="1"/>
        <v>0.5</v>
      </c>
      <c r="AR12" s="1">
        <f t="shared" ca="1" si="9"/>
        <v>1</v>
      </c>
      <c r="AS12" s="1">
        <f t="shared" ca="1" si="10"/>
        <v>1</v>
      </c>
      <c r="AT12" s="1">
        <f t="shared" ca="1" si="11"/>
        <v>1</v>
      </c>
      <c r="AU12">
        <f t="shared" ca="1" si="2"/>
        <v>7075</v>
      </c>
      <c r="AV12">
        <f t="shared" ca="1" si="2"/>
        <v>2308</v>
      </c>
      <c r="AW12">
        <f t="shared" ca="1" si="3"/>
        <v>878</v>
      </c>
      <c r="AX12">
        <f t="shared" ca="1" si="3"/>
        <v>552</v>
      </c>
      <c r="AY12">
        <f t="shared" ca="1" si="4"/>
        <v>5804</v>
      </c>
      <c r="AZ12">
        <f t="shared" ca="1" si="4"/>
        <v>5245</v>
      </c>
      <c r="BA12">
        <f t="shared" ca="1" si="5"/>
        <v>966</v>
      </c>
      <c r="BB12">
        <f t="shared" ca="1" si="5"/>
        <v>2915</v>
      </c>
      <c r="BC12">
        <f t="shared" ca="1" si="6"/>
        <v>6130</v>
      </c>
      <c r="BD12">
        <f t="shared" ca="1" si="6"/>
        <v>3144</v>
      </c>
      <c r="BE12">
        <f t="shared" ca="1" si="6"/>
        <v>8462</v>
      </c>
      <c r="BF12">
        <f t="shared" ca="1" si="6"/>
        <v>9157</v>
      </c>
      <c r="BG12">
        <f t="shared" ca="1" si="7"/>
        <v>2889</v>
      </c>
      <c r="BH12">
        <f t="shared" ca="1" si="7"/>
        <v>1298</v>
      </c>
      <c r="BI12">
        <f t="shared" ca="1" si="7"/>
        <v>2311</v>
      </c>
      <c r="BJ12">
        <f t="shared" ca="1" si="7"/>
        <v>1293</v>
      </c>
      <c r="BK12" s="7">
        <f ca="1">AVERAGE(AU12:AV33,AY12:AZ33,BC12:BF33)</f>
        <v>5425.443181818182</v>
      </c>
      <c r="BL12" s="7">
        <f ca="1">AVERAGE(AW12:AX33,BA12:BB33,BG12:BJ33)</f>
        <v>1673.6420454545455</v>
      </c>
    </row>
    <row r="13" spans="1:64" x14ac:dyDescent="0.2">
      <c r="A13">
        <v>12</v>
      </c>
      <c r="B13" t="s">
        <v>19</v>
      </c>
      <c r="C13">
        <f t="shared" si="8"/>
        <v>0</v>
      </c>
      <c r="D13">
        <v>3</v>
      </c>
      <c r="E13" t="s">
        <v>25</v>
      </c>
      <c r="F13" s="2" t="s">
        <v>40</v>
      </c>
      <c r="G13" s="9" t="s">
        <v>41</v>
      </c>
      <c r="H13" s="3" t="s">
        <v>32</v>
      </c>
      <c r="I13" s="4" t="s">
        <v>45</v>
      </c>
      <c r="J13" t="s">
        <v>20</v>
      </c>
      <c r="K13">
        <f t="shared" ca="1" si="12"/>
        <v>1</v>
      </c>
      <c r="L13">
        <f t="shared" ca="1" si="12"/>
        <v>0</v>
      </c>
      <c r="M13">
        <f t="shared" ca="1" si="12"/>
        <v>0</v>
      </c>
      <c r="N13">
        <f t="shared" ca="1" si="12"/>
        <v>0</v>
      </c>
      <c r="O13">
        <f t="shared" ca="1" si="12"/>
        <v>0</v>
      </c>
      <c r="P13">
        <f t="shared" ca="1" si="12"/>
        <v>0</v>
      </c>
      <c r="Q13">
        <f t="shared" ca="1" si="12"/>
        <v>0</v>
      </c>
      <c r="R13">
        <f t="shared" ca="1" si="12"/>
        <v>1</v>
      </c>
      <c r="S13" t="s">
        <v>17</v>
      </c>
      <c r="T13" t="s">
        <v>17</v>
      </c>
      <c r="U13" t="s">
        <v>17</v>
      </c>
      <c r="V13" t="s">
        <v>17</v>
      </c>
      <c r="W13" t="s">
        <v>17</v>
      </c>
      <c r="X13" t="s">
        <v>17</v>
      </c>
      <c r="Y13" t="s">
        <v>17</v>
      </c>
      <c r="Z13" t="s">
        <v>17</v>
      </c>
      <c r="AA13" t="s">
        <v>17</v>
      </c>
      <c r="AB13" t="s">
        <v>17</v>
      </c>
      <c r="AC13" t="s">
        <v>17</v>
      </c>
      <c r="AD13" t="s">
        <v>17</v>
      </c>
      <c r="AE13" t="s">
        <v>17</v>
      </c>
      <c r="AF13" t="s">
        <v>17</v>
      </c>
      <c r="AG13" t="s">
        <v>17</v>
      </c>
      <c r="AH13" t="s">
        <v>17</v>
      </c>
      <c r="AI13" t="s">
        <v>17</v>
      </c>
      <c r="AJ13" t="s">
        <v>17</v>
      </c>
      <c r="AK13" t="s">
        <v>17</v>
      </c>
      <c r="AL13" t="s">
        <v>17</v>
      </c>
      <c r="AM13" t="s">
        <v>17</v>
      </c>
      <c r="AN13" t="s">
        <v>17</v>
      </c>
      <c r="AO13" t="s">
        <v>17</v>
      </c>
      <c r="AP13" t="s">
        <v>17</v>
      </c>
      <c r="AQ13" s="1">
        <f t="shared" ca="1" si="1"/>
        <v>0.5</v>
      </c>
      <c r="AR13" s="1">
        <f t="shared" ca="1" si="9"/>
        <v>0</v>
      </c>
      <c r="AS13" s="1">
        <f t="shared" ca="1" si="10"/>
        <v>0</v>
      </c>
      <c r="AT13" s="1">
        <f t="shared" ca="1" si="11"/>
        <v>0.5</v>
      </c>
      <c r="AU13">
        <f t="shared" ca="1" si="2"/>
        <v>9991</v>
      </c>
      <c r="AV13">
        <f t="shared" ca="1" si="2"/>
        <v>7058</v>
      </c>
      <c r="AW13">
        <f t="shared" ca="1" si="3"/>
        <v>1870</v>
      </c>
      <c r="AX13">
        <f t="shared" ca="1" si="3"/>
        <v>1681</v>
      </c>
      <c r="AY13">
        <f t="shared" ca="1" si="4"/>
        <v>4978</v>
      </c>
      <c r="AZ13">
        <f t="shared" ca="1" si="4"/>
        <v>3696</v>
      </c>
      <c r="BA13">
        <f t="shared" ca="1" si="5"/>
        <v>2919</v>
      </c>
      <c r="BB13">
        <f t="shared" ca="1" si="5"/>
        <v>1541</v>
      </c>
      <c r="BC13">
        <f t="shared" ca="1" si="6"/>
        <v>4598</v>
      </c>
      <c r="BD13">
        <f t="shared" ca="1" si="6"/>
        <v>7787</v>
      </c>
      <c r="BE13">
        <f t="shared" ca="1" si="6"/>
        <v>1505</v>
      </c>
      <c r="BF13">
        <f t="shared" ca="1" si="6"/>
        <v>8715</v>
      </c>
      <c r="BG13">
        <f t="shared" ca="1" si="7"/>
        <v>2538</v>
      </c>
      <c r="BH13">
        <f t="shared" ca="1" si="7"/>
        <v>889</v>
      </c>
      <c r="BI13">
        <f t="shared" ca="1" si="7"/>
        <v>2361</v>
      </c>
      <c r="BJ13">
        <f t="shared" ca="1" si="7"/>
        <v>1164</v>
      </c>
      <c r="BK13" s="7">
        <f ca="1">AVERAGE(AU13:AV33,AY13:AZ33,BC13:BF33)</f>
        <v>5402.1011904761908</v>
      </c>
      <c r="BL13" s="7">
        <f ca="1">AVERAGE(AW13:AX33,BA13:BB33,BG13:BJ33)</f>
        <v>1675.3511904761904</v>
      </c>
    </row>
    <row r="14" spans="1:64" x14ac:dyDescent="0.2">
      <c r="A14">
        <v>13</v>
      </c>
      <c r="B14" t="s">
        <v>18</v>
      </c>
      <c r="C14">
        <f t="shared" si="8"/>
        <v>1</v>
      </c>
      <c r="D14">
        <v>4</v>
      </c>
      <c r="E14" t="s">
        <v>26</v>
      </c>
      <c r="F14" s="8" t="s">
        <v>42</v>
      </c>
      <c r="G14" s="5" t="s">
        <v>43</v>
      </c>
      <c r="H14" s="3" t="s">
        <v>31</v>
      </c>
      <c r="I14" s="4" t="s">
        <v>45</v>
      </c>
      <c r="J14" t="s">
        <v>20</v>
      </c>
      <c r="K14">
        <f t="shared" ca="1" si="12"/>
        <v>0</v>
      </c>
      <c r="L14">
        <f t="shared" ca="1" si="12"/>
        <v>1</v>
      </c>
      <c r="M14">
        <f t="shared" ca="1" si="12"/>
        <v>0</v>
      </c>
      <c r="N14">
        <f t="shared" ca="1" si="12"/>
        <v>1</v>
      </c>
      <c r="O14">
        <f t="shared" ca="1" si="12"/>
        <v>0</v>
      </c>
      <c r="P14">
        <f t="shared" ca="1" si="12"/>
        <v>1</v>
      </c>
      <c r="Q14">
        <f t="shared" ca="1" si="12"/>
        <v>1</v>
      </c>
      <c r="R14">
        <f t="shared" ca="1" si="12"/>
        <v>0</v>
      </c>
      <c r="S14" t="s">
        <v>17</v>
      </c>
      <c r="T14" t="s">
        <v>17</v>
      </c>
      <c r="U14" t="s">
        <v>17</v>
      </c>
      <c r="V14" t="s">
        <v>17</v>
      </c>
      <c r="W14" t="s">
        <v>17</v>
      </c>
      <c r="X14" t="s">
        <v>17</v>
      </c>
      <c r="Y14" t="s">
        <v>17</v>
      </c>
      <c r="Z14" t="s">
        <v>17</v>
      </c>
      <c r="AA14" t="s">
        <v>17</v>
      </c>
      <c r="AB14" t="s">
        <v>17</v>
      </c>
      <c r="AC14" t="s">
        <v>17</v>
      </c>
      <c r="AD14" t="s">
        <v>17</v>
      </c>
      <c r="AE14" t="s">
        <v>17</v>
      </c>
      <c r="AF14" t="s">
        <v>17</v>
      </c>
      <c r="AG14" t="s">
        <v>17</v>
      </c>
      <c r="AH14" t="s">
        <v>17</v>
      </c>
      <c r="AI14" t="s">
        <v>17</v>
      </c>
      <c r="AJ14" t="s">
        <v>17</v>
      </c>
      <c r="AK14" t="s">
        <v>17</v>
      </c>
      <c r="AL14" t="s">
        <v>17</v>
      </c>
      <c r="AM14" t="s">
        <v>17</v>
      </c>
      <c r="AN14" t="s">
        <v>17</v>
      </c>
      <c r="AO14" t="s">
        <v>17</v>
      </c>
      <c r="AP14" t="s">
        <v>17</v>
      </c>
      <c r="AQ14" s="1">
        <f t="shared" ca="1" si="1"/>
        <v>0.5</v>
      </c>
      <c r="AR14" s="1">
        <f t="shared" ca="1" si="9"/>
        <v>0.5</v>
      </c>
      <c r="AS14" s="1">
        <f t="shared" ca="1" si="10"/>
        <v>0.5</v>
      </c>
      <c r="AT14" s="1">
        <f t="shared" ca="1" si="11"/>
        <v>0.5</v>
      </c>
      <c r="AU14">
        <f t="shared" ca="1" si="2"/>
        <v>8003</v>
      </c>
      <c r="AV14">
        <f t="shared" ca="1" si="2"/>
        <v>6523</v>
      </c>
      <c r="AW14">
        <f t="shared" ca="1" si="3"/>
        <v>1774</v>
      </c>
      <c r="AX14">
        <f t="shared" ca="1" si="3"/>
        <v>1596</v>
      </c>
      <c r="AY14">
        <f t="shared" ca="1" si="4"/>
        <v>8196</v>
      </c>
      <c r="AZ14">
        <f t="shared" ca="1" si="4"/>
        <v>4216</v>
      </c>
      <c r="BA14">
        <f t="shared" ca="1" si="5"/>
        <v>1283</v>
      </c>
      <c r="BB14">
        <f t="shared" ca="1" si="5"/>
        <v>528</v>
      </c>
      <c r="BC14">
        <f t="shared" ca="1" si="6"/>
        <v>8378</v>
      </c>
      <c r="BD14">
        <f t="shared" ca="1" si="6"/>
        <v>1240</v>
      </c>
      <c r="BE14">
        <f t="shared" ca="1" si="6"/>
        <v>8186</v>
      </c>
      <c r="BF14">
        <f t="shared" ca="1" si="6"/>
        <v>1479</v>
      </c>
      <c r="BG14">
        <f t="shared" ca="1" si="7"/>
        <v>1464</v>
      </c>
      <c r="BH14">
        <f t="shared" ca="1" si="7"/>
        <v>552</v>
      </c>
      <c r="BI14">
        <f t="shared" ca="1" si="7"/>
        <v>2431</v>
      </c>
      <c r="BJ14">
        <f t="shared" ca="1" si="7"/>
        <v>732</v>
      </c>
      <c r="BK14" s="7">
        <f ca="1">AVERAGE(AU14:AV33,AY14:AZ33,BC14:BF33)</f>
        <v>5370.15625</v>
      </c>
      <c r="BL14" s="7">
        <f ca="1">AVERAGE(AW14:AX33,BA14:BB33,BG14:BJ33)</f>
        <v>1665.6</v>
      </c>
    </row>
    <row r="15" spans="1:64" x14ac:dyDescent="0.2">
      <c r="A15">
        <v>14</v>
      </c>
      <c r="B15" t="s">
        <v>19</v>
      </c>
      <c r="C15">
        <f t="shared" si="8"/>
        <v>0</v>
      </c>
      <c r="D15">
        <v>4</v>
      </c>
      <c r="E15" t="s">
        <v>26</v>
      </c>
      <c r="F15" s="8" t="s">
        <v>42</v>
      </c>
      <c r="G15" s="5" t="s">
        <v>43</v>
      </c>
      <c r="H15" s="3" t="s">
        <v>31</v>
      </c>
      <c r="I15" s="4" t="s">
        <v>45</v>
      </c>
      <c r="J15" t="s">
        <v>20</v>
      </c>
      <c r="K15">
        <f t="shared" ca="1" si="12"/>
        <v>0</v>
      </c>
      <c r="L15">
        <f t="shared" ca="1" si="12"/>
        <v>0</v>
      </c>
      <c r="M15">
        <f t="shared" ca="1" si="12"/>
        <v>0</v>
      </c>
      <c r="N15">
        <f t="shared" ca="1" si="12"/>
        <v>1</v>
      </c>
      <c r="O15">
        <f t="shared" ca="1" si="12"/>
        <v>1</v>
      </c>
      <c r="P15">
        <f t="shared" ca="1" si="12"/>
        <v>1</v>
      </c>
      <c r="Q15">
        <f t="shared" ca="1" si="12"/>
        <v>0</v>
      </c>
      <c r="R15">
        <f t="shared" ca="1" si="12"/>
        <v>0</v>
      </c>
      <c r="S15" t="s">
        <v>17</v>
      </c>
      <c r="T15" t="s">
        <v>17</v>
      </c>
      <c r="U15" t="s">
        <v>17</v>
      </c>
      <c r="V15" t="s">
        <v>17</v>
      </c>
      <c r="W15" t="s">
        <v>17</v>
      </c>
      <c r="X15" t="s">
        <v>17</v>
      </c>
      <c r="Y15" t="s">
        <v>17</v>
      </c>
      <c r="Z15" t="s">
        <v>17</v>
      </c>
      <c r="AA15" t="s">
        <v>17</v>
      </c>
      <c r="AB15" t="s">
        <v>17</v>
      </c>
      <c r="AC15" t="s">
        <v>17</v>
      </c>
      <c r="AD15" t="s">
        <v>17</v>
      </c>
      <c r="AE15" t="s">
        <v>17</v>
      </c>
      <c r="AF15" t="s">
        <v>17</v>
      </c>
      <c r="AG15" t="s">
        <v>17</v>
      </c>
      <c r="AH15" t="s">
        <v>17</v>
      </c>
      <c r="AI15" t="s">
        <v>17</v>
      </c>
      <c r="AJ15" t="s">
        <v>17</v>
      </c>
      <c r="AK15" t="s">
        <v>17</v>
      </c>
      <c r="AL15" t="s">
        <v>17</v>
      </c>
      <c r="AM15" t="s">
        <v>17</v>
      </c>
      <c r="AN15" t="s">
        <v>17</v>
      </c>
      <c r="AO15" t="s">
        <v>17</v>
      </c>
      <c r="AP15" t="s">
        <v>17</v>
      </c>
      <c r="AQ15" s="1">
        <f t="shared" ca="1" si="1"/>
        <v>0</v>
      </c>
      <c r="AR15" s="1">
        <f t="shared" ca="1" si="9"/>
        <v>0.5</v>
      </c>
      <c r="AS15" s="1">
        <f t="shared" ca="1" si="10"/>
        <v>1</v>
      </c>
      <c r="AT15" s="1">
        <f t="shared" ca="1" si="11"/>
        <v>0</v>
      </c>
      <c r="AU15">
        <f t="shared" ca="1" si="2"/>
        <v>7840</v>
      </c>
      <c r="AV15">
        <f t="shared" ca="1" si="2"/>
        <v>1431</v>
      </c>
      <c r="AW15">
        <f t="shared" ca="1" si="3"/>
        <v>2499</v>
      </c>
      <c r="AX15">
        <f t="shared" ca="1" si="3"/>
        <v>2395</v>
      </c>
      <c r="AY15">
        <f t="shared" ca="1" si="4"/>
        <v>4816</v>
      </c>
      <c r="AZ15">
        <f t="shared" ca="1" si="4"/>
        <v>9820</v>
      </c>
      <c r="BA15">
        <f t="shared" ca="1" si="5"/>
        <v>1950</v>
      </c>
      <c r="BB15">
        <f t="shared" ca="1" si="5"/>
        <v>2758</v>
      </c>
      <c r="BC15">
        <f t="shared" ca="1" si="6"/>
        <v>2750</v>
      </c>
      <c r="BD15">
        <f t="shared" ca="1" si="6"/>
        <v>7765</v>
      </c>
      <c r="BE15">
        <f t="shared" ca="1" si="6"/>
        <v>9739</v>
      </c>
      <c r="BF15">
        <f t="shared" ca="1" si="6"/>
        <v>7890</v>
      </c>
      <c r="BG15">
        <f t="shared" ca="1" si="7"/>
        <v>1637</v>
      </c>
      <c r="BH15">
        <f t="shared" ca="1" si="7"/>
        <v>2723</v>
      </c>
      <c r="BI15">
        <f t="shared" ca="1" si="7"/>
        <v>2625</v>
      </c>
      <c r="BJ15">
        <f t="shared" ca="1" si="7"/>
        <v>894</v>
      </c>
      <c r="BK15" s="7">
        <f ca="1">AVERAGE(AU15:AV33,AY15:AZ33,BC15:BF33)</f>
        <v>5348.7105263157891</v>
      </c>
      <c r="BL15" s="7">
        <f ca="1">AVERAGE(AW15:AX33,BA15:BB33,BG15:BJ33)</f>
        <v>1685.1052631578948</v>
      </c>
    </row>
    <row r="16" spans="1:64" x14ac:dyDescent="0.2">
      <c r="A16">
        <v>15</v>
      </c>
      <c r="B16" t="s">
        <v>18</v>
      </c>
      <c r="C16">
        <f t="shared" si="8"/>
        <v>1</v>
      </c>
      <c r="D16">
        <v>4</v>
      </c>
      <c r="E16" t="s">
        <v>26</v>
      </c>
      <c r="F16" s="2" t="s">
        <v>43</v>
      </c>
      <c r="G16" s="9" t="s">
        <v>42</v>
      </c>
      <c r="H16" s="3" t="s">
        <v>31</v>
      </c>
      <c r="I16" s="4" t="s">
        <v>45</v>
      </c>
      <c r="J16" t="s">
        <v>20</v>
      </c>
      <c r="K16">
        <f t="shared" ca="1" si="12"/>
        <v>0</v>
      </c>
      <c r="L16">
        <f t="shared" ca="1" si="12"/>
        <v>0</v>
      </c>
      <c r="M16">
        <f t="shared" ca="1" si="12"/>
        <v>0</v>
      </c>
      <c r="N16">
        <f t="shared" ca="1" si="12"/>
        <v>0</v>
      </c>
      <c r="O16">
        <f t="shared" ca="1" si="12"/>
        <v>1</v>
      </c>
      <c r="P16">
        <f t="shared" ca="1" si="12"/>
        <v>0</v>
      </c>
      <c r="Q16">
        <f t="shared" ca="1" si="12"/>
        <v>1</v>
      </c>
      <c r="R16">
        <f t="shared" ca="1" si="12"/>
        <v>1</v>
      </c>
      <c r="S16" t="s">
        <v>17</v>
      </c>
      <c r="T16" t="s">
        <v>17</v>
      </c>
      <c r="U16" t="s">
        <v>17</v>
      </c>
      <c r="V16" t="s">
        <v>17</v>
      </c>
      <c r="W16" t="s">
        <v>17</v>
      </c>
      <c r="X16" t="s">
        <v>17</v>
      </c>
      <c r="Y16" t="s">
        <v>17</v>
      </c>
      <c r="Z16" t="s">
        <v>17</v>
      </c>
      <c r="AA16" t="s">
        <v>17</v>
      </c>
      <c r="AB16" t="s">
        <v>17</v>
      </c>
      <c r="AC16" t="s">
        <v>17</v>
      </c>
      <c r="AD16" t="s">
        <v>17</v>
      </c>
      <c r="AE16" t="s">
        <v>17</v>
      </c>
      <c r="AF16" t="s">
        <v>17</v>
      </c>
      <c r="AG16" t="s">
        <v>17</v>
      </c>
      <c r="AH16" t="s">
        <v>17</v>
      </c>
      <c r="AI16" t="s">
        <v>17</v>
      </c>
      <c r="AJ16" t="s">
        <v>17</v>
      </c>
      <c r="AK16" t="s">
        <v>17</v>
      </c>
      <c r="AL16" t="s">
        <v>17</v>
      </c>
      <c r="AM16" t="s">
        <v>17</v>
      </c>
      <c r="AN16" t="s">
        <v>17</v>
      </c>
      <c r="AO16" t="s">
        <v>17</v>
      </c>
      <c r="AP16" t="s">
        <v>17</v>
      </c>
      <c r="AQ16" s="1">
        <f t="shared" ca="1" si="1"/>
        <v>0</v>
      </c>
      <c r="AR16" s="1">
        <f t="shared" ca="1" si="9"/>
        <v>0</v>
      </c>
      <c r="AS16" s="1">
        <f t="shared" ca="1" si="10"/>
        <v>0.5</v>
      </c>
      <c r="AT16" s="1">
        <f t="shared" ca="1" si="11"/>
        <v>1</v>
      </c>
      <c r="AU16">
        <f t="shared" ca="1" si="2"/>
        <v>1698</v>
      </c>
      <c r="AV16">
        <f t="shared" ca="1" si="2"/>
        <v>2815</v>
      </c>
      <c r="AW16">
        <f t="shared" ca="1" si="3"/>
        <v>1755</v>
      </c>
      <c r="AX16">
        <f t="shared" ca="1" si="3"/>
        <v>855</v>
      </c>
      <c r="AY16">
        <f t="shared" ca="1" si="4"/>
        <v>2059</v>
      </c>
      <c r="AZ16">
        <f t="shared" ca="1" si="4"/>
        <v>2207</v>
      </c>
      <c r="BA16">
        <f t="shared" ca="1" si="5"/>
        <v>2001</v>
      </c>
      <c r="BB16">
        <f t="shared" ca="1" si="5"/>
        <v>1072</v>
      </c>
      <c r="BC16">
        <f t="shared" ca="1" si="6"/>
        <v>9766</v>
      </c>
      <c r="BD16">
        <f t="shared" ca="1" si="6"/>
        <v>9211</v>
      </c>
      <c r="BE16">
        <f t="shared" ca="1" si="6"/>
        <v>5483</v>
      </c>
      <c r="BF16">
        <f t="shared" ca="1" si="6"/>
        <v>8179</v>
      </c>
      <c r="BG16">
        <f t="shared" ca="1" si="7"/>
        <v>2902</v>
      </c>
      <c r="BH16">
        <f t="shared" ca="1" si="7"/>
        <v>2614</v>
      </c>
      <c r="BI16">
        <f t="shared" ca="1" si="7"/>
        <v>2043</v>
      </c>
      <c r="BJ16">
        <f t="shared" ca="1" si="7"/>
        <v>1653</v>
      </c>
      <c r="BK16" s="7">
        <f ca="1">AVERAGE(AU16:AV33,AY16:AZ33,BC16:BF33)</f>
        <v>5284.395833333333</v>
      </c>
      <c r="BL16" s="7">
        <f ca="1">AVERAGE(AW16:AX33,BA16:BB33,BG16:BJ33)</f>
        <v>1657.3263888888889</v>
      </c>
    </row>
    <row r="17" spans="1:64" x14ac:dyDescent="0.2">
      <c r="A17">
        <v>16</v>
      </c>
      <c r="B17" t="s">
        <v>19</v>
      </c>
      <c r="C17">
        <f t="shared" si="8"/>
        <v>0</v>
      </c>
      <c r="D17">
        <v>4</v>
      </c>
      <c r="E17" t="s">
        <v>26</v>
      </c>
      <c r="F17" s="2" t="s">
        <v>43</v>
      </c>
      <c r="G17" s="9" t="s">
        <v>42</v>
      </c>
      <c r="H17" s="3" t="s">
        <v>31</v>
      </c>
      <c r="I17" s="4" t="s">
        <v>45</v>
      </c>
      <c r="J17" t="s">
        <v>20</v>
      </c>
      <c r="K17">
        <f t="shared" ca="1" si="12"/>
        <v>0</v>
      </c>
      <c r="L17">
        <f t="shared" ca="1" si="12"/>
        <v>1</v>
      </c>
      <c r="M17">
        <f t="shared" ca="1" si="12"/>
        <v>1</v>
      </c>
      <c r="N17">
        <f t="shared" ca="1" si="12"/>
        <v>0</v>
      </c>
      <c r="O17">
        <f t="shared" ca="1" si="12"/>
        <v>0</v>
      </c>
      <c r="P17">
        <f t="shared" ca="1" si="12"/>
        <v>0</v>
      </c>
      <c r="Q17">
        <f t="shared" ca="1" si="12"/>
        <v>1</v>
      </c>
      <c r="R17">
        <f t="shared" ca="1" si="12"/>
        <v>1</v>
      </c>
      <c r="S17" t="s">
        <v>17</v>
      </c>
      <c r="T17" t="s">
        <v>17</v>
      </c>
      <c r="U17" t="s">
        <v>17</v>
      </c>
      <c r="V17" t="s">
        <v>17</v>
      </c>
      <c r="W17" t="s">
        <v>17</v>
      </c>
      <c r="X17" t="s">
        <v>17</v>
      </c>
      <c r="Y17" t="s">
        <v>17</v>
      </c>
      <c r="Z17" t="s">
        <v>17</v>
      </c>
      <c r="AA17" t="s">
        <v>17</v>
      </c>
      <c r="AB17" t="s">
        <v>17</v>
      </c>
      <c r="AC17" t="s">
        <v>17</v>
      </c>
      <c r="AD17" t="s">
        <v>17</v>
      </c>
      <c r="AE17" t="s">
        <v>17</v>
      </c>
      <c r="AF17" t="s">
        <v>17</v>
      </c>
      <c r="AG17" t="s">
        <v>17</v>
      </c>
      <c r="AH17" t="s">
        <v>17</v>
      </c>
      <c r="AI17" t="s">
        <v>17</v>
      </c>
      <c r="AJ17" t="s">
        <v>17</v>
      </c>
      <c r="AK17" t="s">
        <v>17</v>
      </c>
      <c r="AL17" t="s">
        <v>17</v>
      </c>
      <c r="AM17" t="s">
        <v>17</v>
      </c>
      <c r="AN17" t="s">
        <v>17</v>
      </c>
      <c r="AO17" t="s">
        <v>17</v>
      </c>
      <c r="AP17" t="s">
        <v>17</v>
      </c>
      <c r="AQ17" s="1">
        <f t="shared" ca="1" si="1"/>
        <v>0.5</v>
      </c>
      <c r="AR17" s="1">
        <f t="shared" ca="1" si="9"/>
        <v>0.5</v>
      </c>
      <c r="AS17" s="1">
        <f t="shared" ca="1" si="10"/>
        <v>0</v>
      </c>
      <c r="AT17" s="1">
        <f t="shared" ca="1" si="11"/>
        <v>1</v>
      </c>
      <c r="AU17">
        <f t="shared" ca="1" si="2"/>
        <v>5932</v>
      </c>
      <c r="AV17">
        <f t="shared" ca="1" si="2"/>
        <v>2693</v>
      </c>
      <c r="AW17">
        <f t="shared" ca="1" si="3"/>
        <v>502</v>
      </c>
      <c r="AX17">
        <f t="shared" ca="1" si="3"/>
        <v>2722</v>
      </c>
      <c r="AY17">
        <f t="shared" ca="1" si="4"/>
        <v>8726</v>
      </c>
      <c r="AZ17">
        <f t="shared" ca="1" si="4"/>
        <v>9417</v>
      </c>
      <c r="BA17">
        <f t="shared" ca="1" si="5"/>
        <v>2959</v>
      </c>
      <c r="BB17">
        <f t="shared" ca="1" si="5"/>
        <v>1723</v>
      </c>
      <c r="BC17">
        <f t="shared" ca="1" si="6"/>
        <v>899</v>
      </c>
      <c r="BD17">
        <f t="shared" ca="1" si="6"/>
        <v>5436</v>
      </c>
      <c r="BE17">
        <f t="shared" ca="1" si="6"/>
        <v>9180</v>
      </c>
      <c r="BF17">
        <f t="shared" ca="1" si="6"/>
        <v>5176</v>
      </c>
      <c r="BG17">
        <f t="shared" ca="1" si="7"/>
        <v>1826</v>
      </c>
      <c r="BH17">
        <f t="shared" ca="1" si="7"/>
        <v>1670</v>
      </c>
      <c r="BI17">
        <f t="shared" ca="1" si="7"/>
        <v>2578</v>
      </c>
      <c r="BJ17">
        <f t="shared" ca="1" si="7"/>
        <v>1842</v>
      </c>
      <c r="BK17" s="7">
        <f ca="1">AVERAGE(AU17:AV33,AY17:AZ33,BC17:BF33)</f>
        <v>5290.6985294117649</v>
      </c>
      <c r="BL17" s="7">
        <f ca="1">AVERAGE(AW17:AX33,BA17:BB33,BG17:BJ33)</f>
        <v>1645.2941176470588</v>
      </c>
    </row>
    <row r="18" spans="1:64" x14ac:dyDescent="0.2">
      <c r="A18">
        <v>17</v>
      </c>
      <c r="B18" t="s">
        <v>18</v>
      </c>
      <c r="C18">
        <f t="shared" si="8"/>
        <v>1</v>
      </c>
      <c r="D18">
        <v>1</v>
      </c>
      <c r="E18" t="s">
        <v>23</v>
      </c>
      <c r="F18" s="2" t="s">
        <v>37</v>
      </c>
      <c r="G18" s="5" t="s">
        <v>36</v>
      </c>
      <c r="H18" s="3" t="s">
        <v>30</v>
      </c>
      <c r="I18" s="4" t="s">
        <v>45</v>
      </c>
      <c r="J18" t="s">
        <v>21</v>
      </c>
      <c r="K18">
        <f t="shared" ca="1" si="12"/>
        <v>1</v>
      </c>
      <c r="L18">
        <f t="shared" ca="1" si="12"/>
        <v>1</v>
      </c>
      <c r="M18">
        <f t="shared" ca="1" si="12"/>
        <v>1</v>
      </c>
      <c r="N18">
        <f t="shared" ca="1" si="12"/>
        <v>0</v>
      </c>
      <c r="O18">
        <f t="shared" ca="1" si="12"/>
        <v>0</v>
      </c>
      <c r="P18">
        <f t="shared" ca="1" si="12"/>
        <v>0</v>
      </c>
      <c r="Q18">
        <f t="shared" ca="1" si="12"/>
        <v>1</v>
      </c>
      <c r="R18">
        <f t="shared" ca="1" si="12"/>
        <v>0</v>
      </c>
      <c r="S18" t="s">
        <v>17</v>
      </c>
      <c r="T18" t="s">
        <v>17</v>
      </c>
      <c r="U18" t="s">
        <v>17</v>
      </c>
      <c r="V18" t="s">
        <v>17</v>
      </c>
      <c r="W18" t="s">
        <v>17</v>
      </c>
      <c r="X18" t="s">
        <v>17</v>
      </c>
      <c r="Y18" t="s">
        <v>17</v>
      </c>
      <c r="Z18" t="s">
        <v>17</v>
      </c>
      <c r="AA18" t="s">
        <v>17</v>
      </c>
      <c r="AB18" t="s">
        <v>17</v>
      </c>
      <c r="AC18" t="s">
        <v>17</v>
      </c>
      <c r="AD18" t="s">
        <v>17</v>
      </c>
      <c r="AE18" t="s">
        <v>17</v>
      </c>
      <c r="AF18" t="s">
        <v>17</v>
      </c>
      <c r="AG18" t="s">
        <v>17</v>
      </c>
      <c r="AH18" t="s">
        <v>17</v>
      </c>
      <c r="AI18" t="s">
        <v>17</v>
      </c>
      <c r="AJ18" t="s">
        <v>17</v>
      </c>
      <c r="AK18" t="s">
        <v>17</v>
      </c>
      <c r="AL18" t="s">
        <v>17</v>
      </c>
      <c r="AM18" t="s">
        <v>17</v>
      </c>
      <c r="AN18" t="s">
        <v>17</v>
      </c>
      <c r="AO18" t="s">
        <v>17</v>
      </c>
      <c r="AP18" t="s">
        <v>17</v>
      </c>
      <c r="AQ18" s="1">
        <f t="shared" ca="1" si="1"/>
        <v>1</v>
      </c>
      <c r="AR18" s="1">
        <f t="shared" ca="1" si="9"/>
        <v>0.5</v>
      </c>
      <c r="AS18" s="1">
        <f t="shared" ca="1" si="10"/>
        <v>0</v>
      </c>
      <c r="AT18" s="1">
        <f t="shared" ca="1" si="11"/>
        <v>0.5</v>
      </c>
      <c r="AU18">
        <f t="shared" ca="1" si="2"/>
        <v>4101</v>
      </c>
      <c r="AV18">
        <f t="shared" ca="1" si="2"/>
        <v>3244</v>
      </c>
      <c r="AW18">
        <f t="shared" ca="1" si="3"/>
        <v>2990</v>
      </c>
      <c r="AX18">
        <f t="shared" ca="1" si="3"/>
        <v>2503</v>
      </c>
      <c r="AY18">
        <f t="shared" ca="1" si="4"/>
        <v>785</v>
      </c>
      <c r="AZ18">
        <f t="shared" ca="1" si="4"/>
        <v>7571</v>
      </c>
      <c r="BA18">
        <f t="shared" ca="1" si="5"/>
        <v>747</v>
      </c>
      <c r="BB18">
        <f t="shared" ca="1" si="5"/>
        <v>2134</v>
      </c>
      <c r="BC18">
        <f t="shared" ca="1" si="6"/>
        <v>8643</v>
      </c>
      <c r="BD18">
        <f t="shared" ca="1" si="6"/>
        <v>5261</v>
      </c>
      <c r="BE18">
        <f t="shared" ca="1" si="6"/>
        <v>1199</v>
      </c>
      <c r="BF18">
        <f t="shared" ca="1" si="6"/>
        <v>9641</v>
      </c>
      <c r="BG18">
        <f t="shared" ca="1" si="7"/>
        <v>1630</v>
      </c>
      <c r="BH18">
        <f t="shared" ca="1" si="7"/>
        <v>1668</v>
      </c>
      <c r="BI18">
        <f t="shared" ca="1" si="7"/>
        <v>795</v>
      </c>
      <c r="BJ18">
        <f t="shared" ca="1" si="7"/>
        <v>1912</v>
      </c>
      <c r="BK18" s="7">
        <f ca="1">AVERAGE(AU18:AV33,AY18:AZ33,BC18:BF33)</f>
        <v>5250.59375</v>
      </c>
      <c r="BL18" s="7">
        <f ca="1">AVERAGE(AW18:AX33,BA18:BB33,BG18:BJ33)</f>
        <v>1624.515625</v>
      </c>
    </row>
    <row r="19" spans="1:64" x14ac:dyDescent="0.2">
      <c r="A19">
        <v>18</v>
      </c>
      <c r="B19" t="s">
        <v>19</v>
      </c>
      <c r="C19">
        <f t="shared" si="8"/>
        <v>0</v>
      </c>
      <c r="D19">
        <v>1</v>
      </c>
      <c r="E19" t="s">
        <v>23</v>
      </c>
      <c r="F19" s="2" t="s">
        <v>37</v>
      </c>
      <c r="G19" s="5" t="s">
        <v>36</v>
      </c>
      <c r="H19" s="3" t="s">
        <v>30</v>
      </c>
      <c r="I19" s="4" t="s">
        <v>45</v>
      </c>
      <c r="J19" t="s">
        <v>21</v>
      </c>
      <c r="K19">
        <f t="shared" ca="1" si="12"/>
        <v>1</v>
      </c>
      <c r="L19">
        <f t="shared" ca="1" si="12"/>
        <v>0</v>
      </c>
      <c r="M19">
        <f t="shared" ca="1" si="12"/>
        <v>1</v>
      </c>
      <c r="N19">
        <f t="shared" ca="1" si="12"/>
        <v>0</v>
      </c>
      <c r="O19">
        <f t="shared" ca="1" si="12"/>
        <v>1</v>
      </c>
      <c r="P19">
        <f t="shared" ca="1" si="12"/>
        <v>1</v>
      </c>
      <c r="Q19">
        <f t="shared" ca="1" si="12"/>
        <v>1</v>
      </c>
      <c r="R19">
        <f t="shared" ca="1" si="12"/>
        <v>0</v>
      </c>
      <c r="S19" t="s">
        <v>17</v>
      </c>
      <c r="T19" t="s">
        <v>17</v>
      </c>
      <c r="U19" t="s">
        <v>17</v>
      </c>
      <c r="V19" t="s">
        <v>17</v>
      </c>
      <c r="W19" t="s">
        <v>17</v>
      </c>
      <c r="X19" t="s">
        <v>17</v>
      </c>
      <c r="Y19" t="s">
        <v>17</v>
      </c>
      <c r="Z19" t="s">
        <v>17</v>
      </c>
      <c r="AA19" t="s">
        <v>17</v>
      </c>
      <c r="AB19" t="s">
        <v>17</v>
      </c>
      <c r="AC19" t="s">
        <v>17</v>
      </c>
      <c r="AD19" t="s">
        <v>17</v>
      </c>
      <c r="AE19" t="s">
        <v>17</v>
      </c>
      <c r="AF19" t="s">
        <v>17</v>
      </c>
      <c r="AG19" t="s">
        <v>17</v>
      </c>
      <c r="AH19" t="s">
        <v>17</v>
      </c>
      <c r="AI19" t="s">
        <v>17</v>
      </c>
      <c r="AJ19" t="s">
        <v>17</v>
      </c>
      <c r="AK19" t="s">
        <v>17</v>
      </c>
      <c r="AL19" t="s">
        <v>17</v>
      </c>
      <c r="AM19" t="s">
        <v>17</v>
      </c>
      <c r="AN19" t="s">
        <v>17</v>
      </c>
      <c r="AO19" t="s">
        <v>17</v>
      </c>
      <c r="AP19" t="s">
        <v>17</v>
      </c>
      <c r="AQ19" s="1">
        <f t="shared" ca="1" si="1"/>
        <v>0.5</v>
      </c>
      <c r="AR19" s="1">
        <f t="shared" ca="1" si="9"/>
        <v>0.5</v>
      </c>
      <c r="AS19" s="1">
        <f t="shared" ca="1" si="10"/>
        <v>1</v>
      </c>
      <c r="AT19" s="1">
        <f t="shared" ca="1" si="11"/>
        <v>0.5</v>
      </c>
      <c r="AU19">
        <f t="shared" ca="1" si="2"/>
        <v>7218</v>
      </c>
      <c r="AV19">
        <f t="shared" ca="1" si="2"/>
        <v>3945</v>
      </c>
      <c r="AW19">
        <f t="shared" ca="1" si="3"/>
        <v>838</v>
      </c>
      <c r="AX19">
        <f t="shared" ca="1" si="3"/>
        <v>2569</v>
      </c>
      <c r="AY19">
        <f t="shared" ca="1" si="4"/>
        <v>2563</v>
      </c>
      <c r="AZ19">
        <f t="shared" ca="1" si="4"/>
        <v>3154</v>
      </c>
      <c r="BA19">
        <f t="shared" ca="1" si="5"/>
        <v>524</v>
      </c>
      <c r="BB19">
        <f t="shared" ca="1" si="5"/>
        <v>2111</v>
      </c>
      <c r="BC19">
        <f t="shared" ca="1" si="6"/>
        <v>8465</v>
      </c>
      <c r="BD19">
        <f t="shared" ca="1" si="6"/>
        <v>2114</v>
      </c>
      <c r="BE19">
        <f t="shared" ca="1" si="6"/>
        <v>1184</v>
      </c>
      <c r="BF19">
        <f t="shared" ca="1" si="6"/>
        <v>5418</v>
      </c>
      <c r="BG19">
        <f t="shared" ca="1" si="7"/>
        <v>2108</v>
      </c>
      <c r="BH19">
        <f t="shared" ca="1" si="7"/>
        <v>987</v>
      </c>
      <c r="BI19">
        <f t="shared" ca="1" si="7"/>
        <v>2196</v>
      </c>
      <c r="BJ19">
        <f t="shared" ca="1" si="7"/>
        <v>2169</v>
      </c>
      <c r="BK19" s="7">
        <f ca="1">AVERAGE(AU19:AV33,AY19:AZ33,BC19:BF33)</f>
        <v>5263.5916666666662</v>
      </c>
      <c r="BL19" s="7">
        <f ca="1">AVERAGE(AW19:AX33,BA19:BB33,BG19:BJ33)</f>
        <v>1612.9916666666666</v>
      </c>
    </row>
    <row r="20" spans="1:64" x14ac:dyDescent="0.2">
      <c r="A20">
        <v>19</v>
      </c>
      <c r="B20" t="s">
        <v>18</v>
      </c>
      <c r="C20">
        <f t="shared" si="8"/>
        <v>1</v>
      </c>
      <c r="D20">
        <v>1</v>
      </c>
      <c r="E20" t="s">
        <v>23</v>
      </c>
      <c r="F20" s="2" t="s">
        <v>36</v>
      </c>
      <c r="G20" s="5" t="s">
        <v>37</v>
      </c>
      <c r="H20" s="3" t="s">
        <v>30</v>
      </c>
      <c r="I20" s="4" t="s">
        <v>45</v>
      </c>
      <c r="J20" t="s">
        <v>21</v>
      </c>
      <c r="K20">
        <f t="shared" ca="1" si="12"/>
        <v>1</v>
      </c>
      <c r="L20">
        <f t="shared" ca="1" si="12"/>
        <v>1</v>
      </c>
      <c r="M20">
        <f t="shared" ca="1" si="12"/>
        <v>1</v>
      </c>
      <c r="N20">
        <f t="shared" ca="1" si="12"/>
        <v>0</v>
      </c>
      <c r="O20">
        <f t="shared" ca="1" si="12"/>
        <v>0</v>
      </c>
      <c r="P20">
        <f t="shared" ca="1" si="12"/>
        <v>1</v>
      </c>
      <c r="Q20">
        <f t="shared" ca="1" si="12"/>
        <v>1</v>
      </c>
      <c r="R20">
        <f t="shared" ca="1" si="12"/>
        <v>1</v>
      </c>
      <c r="S20" t="s">
        <v>17</v>
      </c>
      <c r="T20" t="s">
        <v>17</v>
      </c>
      <c r="U20" t="s">
        <v>17</v>
      </c>
      <c r="V20" t="s">
        <v>17</v>
      </c>
      <c r="W20" t="s">
        <v>17</v>
      </c>
      <c r="X20" t="s">
        <v>17</v>
      </c>
      <c r="Y20" t="s">
        <v>17</v>
      </c>
      <c r="Z20" t="s">
        <v>17</v>
      </c>
      <c r="AA20" t="s">
        <v>17</v>
      </c>
      <c r="AB20" t="s">
        <v>17</v>
      </c>
      <c r="AC20" t="s">
        <v>17</v>
      </c>
      <c r="AD20" t="s">
        <v>17</v>
      </c>
      <c r="AE20" t="s">
        <v>17</v>
      </c>
      <c r="AF20" t="s">
        <v>17</v>
      </c>
      <c r="AG20" t="s">
        <v>17</v>
      </c>
      <c r="AH20" t="s">
        <v>17</v>
      </c>
      <c r="AI20" t="s">
        <v>17</v>
      </c>
      <c r="AJ20" t="s">
        <v>17</v>
      </c>
      <c r="AK20" t="s">
        <v>17</v>
      </c>
      <c r="AL20" t="s">
        <v>17</v>
      </c>
      <c r="AM20" t="s">
        <v>17</v>
      </c>
      <c r="AN20" t="s">
        <v>17</v>
      </c>
      <c r="AO20" t="s">
        <v>17</v>
      </c>
      <c r="AP20" t="s">
        <v>17</v>
      </c>
      <c r="AQ20" s="1">
        <f t="shared" ca="1" si="1"/>
        <v>1</v>
      </c>
      <c r="AR20" s="1">
        <f t="shared" ca="1" si="9"/>
        <v>0.5</v>
      </c>
      <c r="AS20" s="1">
        <f t="shared" ca="1" si="10"/>
        <v>0.5</v>
      </c>
      <c r="AT20" s="1">
        <f t="shared" ca="1" si="11"/>
        <v>1</v>
      </c>
      <c r="AU20">
        <f t="shared" ca="1" si="2"/>
        <v>4831</v>
      </c>
      <c r="AV20">
        <f t="shared" ca="1" si="2"/>
        <v>5809</v>
      </c>
      <c r="AW20">
        <f t="shared" ca="1" si="3"/>
        <v>3000</v>
      </c>
      <c r="AX20">
        <f t="shared" ca="1" si="3"/>
        <v>1766</v>
      </c>
      <c r="AY20">
        <f t="shared" ca="1" si="4"/>
        <v>4147</v>
      </c>
      <c r="AZ20">
        <f t="shared" ca="1" si="4"/>
        <v>9469</v>
      </c>
      <c r="BA20">
        <f t="shared" ca="1" si="5"/>
        <v>1416</v>
      </c>
      <c r="BB20">
        <f t="shared" ca="1" si="5"/>
        <v>928</v>
      </c>
      <c r="BC20">
        <f t="shared" ca="1" si="6"/>
        <v>4451</v>
      </c>
      <c r="BD20">
        <f t="shared" ca="1" si="6"/>
        <v>7099</v>
      </c>
      <c r="BE20">
        <f t="shared" ca="1" si="6"/>
        <v>2401</v>
      </c>
      <c r="BF20">
        <f t="shared" ca="1" si="6"/>
        <v>777</v>
      </c>
      <c r="BG20">
        <f t="shared" ca="1" si="7"/>
        <v>742</v>
      </c>
      <c r="BH20">
        <f t="shared" ca="1" si="7"/>
        <v>2407</v>
      </c>
      <c r="BI20">
        <f t="shared" ca="1" si="7"/>
        <v>1574</v>
      </c>
      <c r="BJ20">
        <f t="shared" ca="1" si="7"/>
        <v>538</v>
      </c>
      <c r="BK20" s="7">
        <f ca="1">AVERAGE(AU20:AV33,AY20:AZ33,BC20:BF33)</f>
        <v>5335.4464285714284</v>
      </c>
      <c r="BL20" s="7">
        <f ca="1">AVERAGE(AW20:AX33,BA20:BB33,BG20:BJ33)</f>
        <v>1607.6517857142858</v>
      </c>
    </row>
    <row r="21" spans="1:64" x14ac:dyDescent="0.2">
      <c r="A21">
        <v>20</v>
      </c>
      <c r="B21" t="s">
        <v>19</v>
      </c>
      <c r="C21">
        <f t="shared" si="8"/>
        <v>0</v>
      </c>
      <c r="D21">
        <v>1</v>
      </c>
      <c r="E21" t="s">
        <v>23</v>
      </c>
      <c r="F21" s="2" t="s">
        <v>36</v>
      </c>
      <c r="G21" s="5" t="s">
        <v>37</v>
      </c>
      <c r="H21" s="3" t="s">
        <v>30</v>
      </c>
      <c r="I21" s="4" t="s">
        <v>45</v>
      </c>
      <c r="J21" t="s">
        <v>21</v>
      </c>
      <c r="K21">
        <f t="shared" ca="1" si="12"/>
        <v>0</v>
      </c>
      <c r="L21">
        <f t="shared" ca="1" si="12"/>
        <v>1</v>
      </c>
      <c r="M21">
        <f t="shared" ca="1" si="12"/>
        <v>1</v>
      </c>
      <c r="N21">
        <f t="shared" ca="1" si="12"/>
        <v>0</v>
      </c>
      <c r="O21">
        <f t="shared" ca="1" si="12"/>
        <v>1</v>
      </c>
      <c r="P21">
        <f t="shared" ca="1" si="12"/>
        <v>0</v>
      </c>
      <c r="Q21">
        <f t="shared" ca="1" si="12"/>
        <v>1</v>
      </c>
      <c r="R21">
        <f t="shared" ca="1" si="12"/>
        <v>1</v>
      </c>
      <c r="S21" t="s">
        <v>17</v>
      </c>
      <c r="T21" t="s">
        <v>17</v>
      </c>
      <c r="U21" t="s">
        <v>17</v>
      </c>
      <c r="V21" t="s">
        <v>17</v>
      </c>
      <c r="W21" t="s">
        <v>17</v>
      </c>
      <c r="X21" t="s">
        <v>17</v>
      </c>
      <c r="Y21" t="s">
        <v>17</v>
      </c>
      <c r="Z21" t="s">
        <v>17</v>
      </c>
      <c r="AA21" t="s">
        <v>17</v>
      </c>
      <c r="AB21" t="s">
        <v>17</v>
      </c>
      <c r="AC21" t="s">
        <v>17</v>
      </c>
      <c r="AD21" t="s">
        <v>17</v>
      </c>
      <c r="AE21" t="s">
        <v>17</v>
      </c>
      <c r="AF21" t="s">
        <v>17</v>
      </c>
      <c r="AG21" t="s">
        <v>17</v>
      </c>
      <c r="AH21" t="s">
        <v>17</v>
      </c>
      <c r="AI21" t="s">
        <v>17</v>
      </c>
      <c r="AJ21" t="s">
        <v>17</v>
      </c>
      <c r="AK21" t="s">
        <v>17</v>
      </c>
      <c r="AL21" t="s">
        <v>17</v>
      </c>
      <c r="AM21" t="s">
        <v>17</v>
      </c>
      <c r="AN21" t="s">
        <v>17</v>
      </c>
      <c r="AO21" t="s">
        <v>17</v>
      </c>
      <c r="AP21" t="s">
        <v>17</v>
      </c>
      <c r="AQ21" s="1">
        <f t="shared" ca="1" si="1"/>
        <v>0.5</v>
      </c>
      <c r="AR21" s="1">
        <f t="shared" ca="1" si="9"/>
        <v>0.5</v>
      </c>
      <c r="AS21" s="1">
        <f t="shared" ca="1" si="10"/>
        <v>0.5</v>
      </c>
      <c r="AT21" s="1">
        <f t="shared" ca="1" si="11"/>
        <v>1</v>
      </c>
      <c r="AU21">
        <f t="shared" ca="1" si="2"/>
        <v>8107</v>
      </c>
      <c r="AV21">
        <f t="shared" ca="1" si="2"/>
        <v>5960</v>
      </c>
      <c r="AW21">
        <f t="shared" ca="1" si="3"/>
        <v>686</v>
      </c>
      <c r="AX21">
        <f t="shared" ca="1" si="3"/>
        <v>2171</v>
      </c>
      <c r="AY21">
        <f t="shared" ca="1" si="4"/>
        <v>2898</v>
      </c>
      <c r="AZ21">
        <f t="shared" ca="1" si="4"/>
        <v>6615</v>
      </c>
      <c r="BA21">
        <f t="shared" ca="1" si="5"/>
        <v>1990</v>
      </c>
      <c r="BB21">
        <f t="shared" ca="1" si="5"/>
        <v>663</v>
      </c>
      <c r="BC21">
        <f t="shared" ca="1" si="6"/>
        <v>2056</v>
      </c>
      <c r="BD21">
        <f t="shared" ca="1" si="6"/>
        <v>7545</v>
      </c>
      <c r="BE21">
        <f t="shared" ca="1" si="6"/>
        <v>8338</v>
      </c>
      <c r="BF21">
        <f t="shared" ca="1" si="6"/>
        <v>6379</v>
      </c>
      <c r="BG21">
        <f t="shared" ca="1" si="7"/>
        <v>1668</v>
      </c>
      <c r="BH21">
        <f t="shared" ca="1" si="7"/>
        <v>581</v>
      </c>
      <c r="BI21">
        <f t="shared" ca="1" si="7"/>
        <v>1824</v>
      </c>
      <c r="BJ21">
        <f t="shared" ca="1" si="7"/>
        <v>733</v>
      </c>
      <c r="BK21" s="7">
        <f ca="1">AVERAGE(AU21:AV33,AY21:AZ33,BC21:BF33)</f>
        <v>5371.0192307692305</v>
      </c>
      <c r="BL21" s="7">
        <f ca="1">AVERAGE(AW21:AX33,BA21:BB33,BG21:BJ33)</f>
        <v>1612.3653846153845</v>
      </c>
    </row>
    <row r="22" spans="1:64" x14ac:dyDescent="0.2">
      <c r="A22">
        <v>21</v>
      </c>
      <c r="B22" t="s">
        <v>18</v>
      </c>
      <c r="C22">
        <f t="shared" si="8"/>
        <v>1</v>
      </c>
      <c r="D22">
        <v>2</v>
      </c>
      <c r="E22" t="s">
        <v>24</v>
      </c>
      <c r="F22" s="2" t="s">
        <v>39</v>
      </c>
      <c r="G22" s="5" t="s">
        <v>38</v>
      </c>
      <c r="H22" s="3" t="s">
        <v>28</v>
      </c>
      <c r="I22" s="4" t="s">
        <v>45</v>
      </c>
      <c r="J22" t="s">
        <v>21</v>
      </c>
      <c r="K22">
        <f t="shared" ref="K22:R33" ca="1" si="13">RANDBETWEEN(0,1)</f>
        <v>1</v>
      </c>
      <c r="L22">
        <f t="shared" ca="1" si="13"/>
        <v>0</v>
      </c>
      <c r="M22">
        <f t="shared" ca="1" si="13"/>
        <v>0</v>
      </c>
      <c r="N22">
        <f t="shared" ca="1" si="13"/>
        <v>0</v>
      </c>
      <c r="O22">
        <f t="shared" ca="1" si="13"/>
        <v>0</v>
      </c>
      <c r="P22">
        <f t="shared" ca="1" si="13"/>
        <v>1</v>
      </c>
      <c r="Q22">
        <f t="shared" ca="1" si="13"/>
        <v>0</v>
      </c>
      <c r="R22">
        <f t="shared" ca="1" si="13"/>
        <v>1</v>
      </c>
      <c r="S22" t="s">
        <v>17</v>
      </c>
      <c r="T22" t="s">
        <v>17</v>
      </c>
      <c r="U22" t="s">
        <v>17</v>
      </c>
      <c r="V22" t="s">
        <v>17</v>
      </c>
      <c r="W22" t="s">
        <v>17</v>
      </c>
      <c r="X22" t="s">
        <v>17</v>
      </c>
      <c r="Y22" t="s">
        <v>17</v>
      </c>
      <c r="Z22" t="s">
        <v>17</v>
      </c>
      <c r="AA22" t="s">
        <v>17</v>
      </c>
      <c r="AB22" t="s">
        <v>17</v>
      </c>
      <c r="AC22" t="s">
        <v>17</v>
      </c>
      <c r="AD22" t="s">
        <v>17</v>
      </c>
      <c r="AE22" t="s">
        <v>17</v>
      </c>
      <c r="AF22" t="s">
        <v>17</v>
      </c>
      <c r="AG22" t="s">
        <v>17</v>
      </c>
      <c r="AH22" t="s">
        <v>17</v>
      </c>
      <c r="AI22" t="s">
        <v>17</v>
      </c>
      <c r="AJ22" t="s">
        <v>17</v>
      </c>
      <c r="AK22" t="s">
        <v>17</v>
      </c>
      <c r="AL22" t="s">
        <v>17</v>
      </c>
      <c r="AM22" t="s">
        <v>17</v>
      </c>
      <c r="AN22" t="s">
        <v>17</v>
      </c>
      <c r="AO22" t="s">
        <v>17</v>
      </c>
      <c r="AP22" t="s">
        <v>17</v>
      </c>
      <c r="AQ22" s="1">
        <f t="shared" ca="1" si="1"/>
        <v>0.5</v>
      </c>
      <c r="AR22" s="1">
        <f t="shared" ca="1" si="9"/>
        <v>0</v>
      </c>
      <c r="AS22" s="1">
        <f t="shared" ca="1" si="10"/>
        <v>0.5</v>
      </c>
      <c r="AT22" s="1">
        <f t="shared" ca="1" si="11"/>
        <v>0.5</v>
      </c>
      <c r="AU22">
        <f t="shared" ca="1" si="2"/>
        <v>9276</v>
      </c>
      <c r="AV22">
        <f t="shared" ca="1" si="2"/>
        <v>1493</v>
      </c>
      <c r="AW22">
        <f t="shared" ca="1" si="3"/>
        <v>2150</v>
      </c>
      <c r="AX22">
        <f t="shared" ca="1" si="3"/>
        <v>2237</v>
      </c>
      <c r="AY22">
        <f t="shared" ca="1" si="4"/>
        <v>7328</v>
      </c>
      <c r="AZ22">
        <f t="shared" ca="1" si="4"/>
        <v>6201</v>
      </c>
      <c r="BA22">
        <f t="shared" ca="1" si="5"/>
        <v>572</v>
      </c>
      <c r="BB22">
        <f t="shared" ca="1" si="5"/>
        <v>2702</v>
      </c>
      <c r="BC22">
        <f t="shared" ca="1" si="6"/>
        <v>5917</v>
      </c>
      <c r="BD22">
        <f t="shared" ca="1" si="6"/>
        <v>8001</v>
      </c>
      <c r="BE22">
        <f t="shared" ca="1" si="6"/>
        <v>3246</v>
      </c>
      <c r="BF22">
        <f t="shared" ca="1" si="6"/>
        <v>5546</v>
      </c>
      <c r="BG22">
        <f t="shared" ca="1" si="7"/>
        <v>1658</v>
      </c>
      <c r="BH22">
        <f t="shared" ca="1" si="7"/>
        <v>906</v>
      </c>
      <c r="BI22">
        <f t="shared" ca="1" si="7"/>
        <v>2842</v>
      </c>
      <c r="BJ22">
        <f t="shared" ca="1" si="7"/>
        <v>918</v>
      </c>
      <c r="BK22" s="7">
        <f ca="1">AVERAGE(AU22:AV33,AY22:AZ33,BC22:BF33)</f>
        <v>5319.666666666667</v>
      </c>
      <c r="BL22" s="7">
        <f ca="1">AVERAGE(AW22:AX33,BA22:BB33,BG22:BJ33)</f>
        <v>1639.2708333333333</v>
      </c>
    </row>
    <row r="23" spans="1:64" x14ac:dyDescent="0.2">
      <c r="A23">
        <v>22</v>
      </c>
      <c r="B23" t="s">
        <v>19</v>
      </c>
      <c r="C23">
        <f t="shared" si="8"/>
        <v>0</v>
      </c>
      <c r="D23">
        <v>2</v>
      </c>
      <c r="E23" t="s">
        <v>24</v>
      </c>
      <c r="F23" s="2" t="s">
        <v>39</v>
      </c>
      <c r="G23" s="5" t="s">
        <v>38</v>
      </c>
      <c r="H23" s="3" t="s">
        <v>28</v>
      </c>
      <c r="I23" s="4" t="s">
        <v>45</v>
      </c>
      <c r="J23" t="s">
        <v>21</v>
      </c>
      <c r="K23">
        <f t="shared" ca="1" si="13"/>
        <v>1</v>
      </c>
      <c r="L23">
        <f t="shared" ca="1" si="13"/>
        <v>1</v>
      </c>
      <c r="M23">
        <f t="shared" ca="1" si="13"/>
        <v>0</v>
      </c>
      <c r="N23">
        <f t="shared" ca="1" si="13"/>
        <v>0</v>
      </c>
      <c r="O23">
        <f t="shared" ca="1" si="13"/>
        <v>1</v>
      </c>
      <c r="P23">
        <f t="shared" ca="1" si="13"/>
        <v>1</v>
      </c>
      <c r="Q23">
        <f t="shared" ca="1" si="13"/>
        <v>1</v>
      </c>
      <c r="R23">
        <f t="shared" ca="1" si="13"/>
        <v>1</v>
      </c>
      <c r="S23" t="s">
        <v>17</v>
      </c>
      <c r="T23" t="s">
        <v>17</v>
      </c>
      <c r="U23" t="s">
        <v>17</v>
      </c>
      <c r="V23" t="s">
        <v>17</v>
      </c>
      <c r="W23" t="s">
        <v>17</v>
      </c>
      <c r="X23" t="s">
        <v>17</v>
      </c>
      <c r="Y23" t="s">
        <v>17</v>
      </c>
      <c r="Z23" t="s">
        <v>17</v>
      </c>
      <c r="AA23" t="s">
        <v>17</v>
      </c>
      <c r="AB23" t="s">
        <v>17</v>
      </c>
      <c r="AC23" t="s">
        <v>17</v>
      </c>
      <c r="AD23" t="s">
        <v>17</v>
      </c>
      <c r="AE23" t="s">
        <v>17</v>
      </c>
      <c r="AF23" t="s">
        <v>17</v>
      </c>
      <c r="AG23" t="s">
        <v>17</v>
      </c>
      <c r="AH23" t="s">
        <v>17</v>
      </c>
      <c r="AI23" t="s">
        <v>17</v>
      </c>
      <c r="AJ23" t="s">
        <v>17</v>
      </c>
      <c r="AK23" t="s">
        <v>17</v>
      </c>
      <c r="AL23" t="s">
        <v>17</v>
      </c>
      <c r="AM23" t="s">
        <v>17</v>
      </c>
      <c r="AN23" t="s">
        <v>17</v>
      </c>
      <c r="AO23" t="s">
        <v>17</v>
      </c>
      <c r="AP23" t="s">
        <v>17</v>
      </c>
      <c r="AQ23" s="1">
        <f t="shared" ca="1" si="1"/>
        <v>1</v>
      </c>
      <c r="AR23" s="1">
        <f t="shared" ca="1" si="9"/>
        <v>0</v>
      </c>
      <c r="AS23" s="1">
        <f t="shared" ca="1" si="10"/>
        <v>1</v>
      </c>
      <c r="AT23" s="1">
        <f t="shared" ca="1" si="11"/>
        <v>1</v>
      </c>
      <c r="AU23">
        <f t="shared" ca="1" si="2"/>
        <v>4033</v>
      </c>
      <c r="AV23">
        <f t="shared" ca="1" si="2"/>
        <v>6578</v>
      </c>
      <c r="AW23">
        <f t="shared" ca="1" si="3"/>
        <v>2278</v>
      </c>
      <c r="AX23">
        <f t="shared" ca="1" si="3"/>
        <v>1239</v>
      </c>
      <c r="AY23">
        <f t="shared" ca="1" si="4"/>
        <v>9156</v>
      </c>
      <c r="AZ23">
        <f t="shared" ca="1" si="4"/>
        <v>655</v>
      </c>
      <c r="BA23">
        <f t="shared" ca="1" si="5"/>
        <v>1708</v>
      </c>
      <c r="BB23">
        <f t="shared" ca="1" si="5"/>
        <v>1950</v>
      </c>
      <c r="BC23">
        <f t="shared" ca="1" si="6"/>
        <v>7982</v>
      </c>
      <c r="BD23">
        <f t="shared" ca="1" si="6"/>
        <v>9120</v>
      </c>
      <c r="BE23">
        <f t="shared" ca="1" si="6"/>
        <v>3732</v>
      </c>
      <c r="BF23">
        <f t="shared" ca="1" si="6"/>
        <v>6765</v>
      </c>
      <c r="BG23">
        <f t="shared" ca="1" si="7"/>
        <v>2208</v>
      </c>
      <c r="BH23">
        <f t="shared" ca="1" si="7"/>
        <v>1396</v>
      </c>
      <c r="BI23">
        <f t="shared" ca="1" si="7"/>
        <v>1385</v>
      </c>
      <c r="BJ23">
        <f t="shared" ca="1" si="7"/>
        <v>692</v>
      </c>
      <c r="BK23" s="7">
        <f ca="1">AVERAGE(AU23:AV33,AY23:AZ33,BC23:BF33)</f>
        <v>5269.090909090909</v>
      </c>
      <c r="BL23" s="7">
        <f ca="1">AVERAGE(AW23:AX33,BA23:BB33,BG23:BJ33)</f>
        <v>1629.375</v>
      </c>
    </row>
    <row r="24" spans="1:64" x14ac:dyDescent="0.2">
      <c r="A24">
        <v>23</v>
      </c>
      <c r="B24" t="s">
        <v>18</v>
      </c>
      <c r="C24">
        <f t="shared" si="8"/>
        <v>1</v>
      </c>
      <c r="D24">
        <v>2</v>
      </c>
      <c r="E24" t="s">
        <v>24</v>
      </c>
      <c r="F24" s="2" t="s">
        <v>38</v>
      </c>
      <c r="G24" s="5" t="s">
        <v>39</v>
      </c>
      <c r="H24" s="3" t="s">
        <v>28</v>
      </c>
      <c r="I24" s="4" t="s">
        <v>45</v>
      </c>
      <c r="J24" t="s">
        <v>21</v>
      </c>
      <c r="K24">
        <f t="shared" ca="1" si="13"/>
        <v>0</v>
      </c>
      <c r="L24">
        <f t="shared" ca="1" si="13"/>
        <v>0</v>
      </c>
      <c r="M24">
        <f t="shared" ca="1" si="13"/>
        <v>0</v>
      </c>
      <c r="N24">
        <f t="shared" ca="1" si="13"/>
        <v>0</v>
      </c>
      <c r="O24">
        <f t="shared" ca="1" si="13"/>
        <v>1</v>
      </c>
      <c r="P24">
        <f t="shared" ca="1" si="13"/>
        <v>0</v>
      </c>
      <c r="Q24">
        <f t="shared" ca="1" si="13"/>
        <v>1</v>
      </c>
      <c r="R24">
        <f t="shared" ca="1" si="13"/>
        <v>0</v>
      </c>
      <c r="S24" t="s">
        <v>17</v>
      </c>
      <c r="T24" t="s">
        <v>17</v>
      </c>
      <c r="U24" t="s">
        <v>17</v>
      </c>
      <c r="V24" t="s">
        <v>17</v>
      </c>
      <c r="W24" t="s">
        <v>17</v>
      </c>
      <c r="X24" t="s">
        <v>17</v>
      </c>
      <c r="Y24" t="s">
        <v>17</v>
      </c>
      <c r="Z24" t="s">
        <v>17</v>
      </c>
      <c r="AA24" t="s">
        <v>17</v>
      </c>
      <c r="AB24" t="s">
        <v>17</v>
      </c>
      <c r="AC24" t="s">
        <v>17</v>
      </c>
      <c r="AD24" t="s">
        <v>17</v>
      </c>
      <c r="AE24" t="s">
        <v>17</v>
      </c>
      <c r="AF24" t="s">
        <v>17</v>
      </c>
      <c r="AG24" t="s">
        <v>17</v>
      </c>
      <c r="AH24" t="s">
        <v>17</v>
      </c>
      <c r="AI24" t="s">
        <v>17</v>
      </c>
      <c r="AJ24" t="s">
        <v>17</v>
      </c>
      <c r="AK24" t="s">
        <v>17</v>
      </c>
      <c r="AL24" t="s">
        <v>17</v>
      </c>
      <c r="AM24" t="s">
        <v>17</v>
      </c>
      <c r="AN24" t="s">
        <v>17</v>
      </c>
      <c r="AO24" t="s">
        <v>17</v>
      </c>
      <c r="AP24" t="s">
        <v>17</v>
      </c>
      <c r="AQ24" s="1">
        <f t="shared" ca="1" si="1"/>
        <v>0</v>
      </c>
      <c r="AR24" s="1">
        <f t="shared" ca="1" si="9"/>
        <v>0</v>
      </c>
      <c r="AS24" s="1">
        <f t="shared" ca="1" si="10"/>
        <v>0.5</v>
      </c>
      <c r="AT24" s="1">
        <f t="shared" ca="1" si="11"/>
        <v>0.5</v>
      </c>
      <c r="AU24">
        <f t="shared" ca="1" si="2"/>
        <v>8272</v>
      </c>
      <c r="AV24">
        <f t="shared" ca="1" si="2"/>
        <v>9721</v>
      </c>
      <c r="AW24">
        <f t="shared" ca="1" si="3"/>
        <v>1007</v>
      </c>
      <c r="AX24">
        <f t="shared" ca="1" si="3"/>
        <v>2904</v>
      </c>
      <c r="AY24">
        <f t="shared" ca="1" si="4"/>
        <v>9847</v>
      </c>
      <c r="AZ24">
        <f t="shared" ca="1" si="4"/>
        <v>5821</v>
      </c>
      <c r="BA24">
        <f t="shared" ca="1" si="5"/>
        <v>623</v>
      </c>
      <c r="BB24">
        <f t="shared" ca="1" si="5"/>
        <v>2432</v>
      </c>
      <c r="BC24">
        <f t="shared" ca="1" si="6"/>
        <v>5708</v>
      </c>
      <c r="BD24">
        <f t="shared" ca="1" si="6"/>
        <v>8378</v>
      </c>
      <c r="BE24">
        <f t="shared" ca="1" si="6"/>
        <v>1056</v>
      </c>
      <c r="BF24">
        <f t="shared" ca="1" si="6"/>
        <v>2526</v>
      </c>
      <c r="BG24">
        <f t="shared" ca="1" si="7"/>
        <v>1323</v>
      </c>
      <c r="BH24">
        <f t="shared" ca="1" si="7"/>
        <v>2766</v>
      </c>
      <c r="BI24">
        <f t="shared" ca="1" si="7"/>
        <v>2247</v>
      </c>
      <c r="BJ24">
        <f t="shared" ca="1" si="7"/>
        <v>1769</v>
      </c>
      <c r="BK24" s="7">
        <f ca="1">AVERAGE(AU24:AV33,AY24:AZ33,BC24:BF33)</f>
        <v>5195.7375000000002</v>
      </c>
      <c r="BL24" s="7">
        <f ca="1">AVERAGE(AW24:AX33,BA24:BB33,BG24:BJ33)</f>
        <v>1631.6125</v>
      </c>
    </row>
    <row r="25" spans="1:64" x14ac:dyDescent="0.2">
      <c r="A25">
        <v>24</v>
      </c>
      <c r="B25" t="s">
        <v>19</v>
      </c>
      <c r="C25">
        <f t="shared" si="8"/>
        <v>0</v>
      </c>
      <c r="D25">
        <v>2</v>
      </c>
      <c r="E25" t="s">
        <v>24</v>
      </c>
      <c r="F25" s="2" t="s">
        <v>38</v>
      </c>
      <c r="G25" s="5" t="s">
        <v>39</v>
      </c>
      <c r="H25" s="3" t="s">
        <v>28</v>
      </c>
      <c r="I25" s="4" t="s">
        <v>45</v>
      </c>
      <c r="J25" t="s">
        <v>21</v>
      </c>
      <c r="K25">
        <f t="shared" ca="1" si="13"/>
        <v>0</v>
      </c>
      <c r="L25">
        <f t="shared" ca="1" si="13"/>
        <v>0</v>
      </c>
      <c r="M25">
        <f t="shared" ca="1" si="13"/>
        <v>1</v>
      </c>
      <c r="N25">
        <f t="shared" ca="1" si="13"/>
        <v>1</v>
      </c>
      <c r="O25">
        <f t="shared" ca="1" si="13"/>
        <v>0</v>
      </c>
      <c r="P25">
        <f t="shared" ca="1" si="13"/>
        <v>0</v>
      </c>
      <c r="Q25">
        <f t="shared" ca="1" si="13"/>
        <v>1</v>
      </c>
      <c r="R25">
        <f t="shared" ca="1" si="13"/>
        <v>0</v>
      </c>
      <c r="S25" t="s">
        <v>17</v>
      </c>
      <c r="T25" t="s">
        <v>17</v>
      </c>
      <c r="U25" t="s">
        <v>17</v>
      </c>
      <c r="V25" t="s">
        <v>17</v>
      </c>
      <c r="W25" t="s">
        <v>17</v>
      </c>
      <c r="X25" t="s">
        <v>17</v>
      </c>
      <c r="Y25" t="s">
        <v>17</v>
      </c>
      <c r="Z25" t="s">
        <v>17</v>
      </c>
      <c r="AA25" t="s">
        <v>17</v>
      </c>
      <c r="AB25" t="s">
        <v>17</v>
      </c>
      <c r="AC25" t="s">
        <v>17</v>
      </c>
      <c r="AD25" t="s">
        <v>17</v>
      </c>
      <c r="AE25" t="s">
        <v>17</v>
      </c>
      <c r="AF25" t="s">
        <v>17</v>
      </c>
      <c r="AG25" t="s">
        <v>17</v>
      </c>
      <c r="AH25" t="s">
        <v>17</v>
      </c>
      <c r="AI25" t="s">
        <v>17</v>
      </c>
      <c r="AJ25" t="s">
        <v>17</v>
      </c>
      <c r="AK25" t="s">
        <v>17</v>
      </c>
      <c r="AL25" t="s">
        <v>17</v>
      </c>
      <c r="AM25" t="s">
        <v>17</v>
      </c>
      <c r="AN25" t="s">
        <v>17</v>
      </c>
      <c r="AO25" t="s">
        <v>17</v>
      </c>
      <c r="AP25" t="s">
        <v>17</v>
      </c>
      <c r="AQ25" s="1">
        <f t="shared" ca="1" si="1"/>
        <v>0</v>
      </c>
      <c r="AR25" s="1">
        <f t="shared" ca="1" si="9"/>
        <v>1</v>
      </c>
      <c r="AS25" s="1">
        <f t="shared" ca="1" si="10"/>
        <v>0</v>
      </c>
      <c r="AT25" s="1">
        <f t="shared" ca="1" si="11"/>
        <v>0.5</v>
      </c>
      <c r="AU25">
        <f t="shared" ca="1" si="2"/>
        <v>2432</v>
      </c>
      <c r="AV25">
        <f t="shared" ca="1" si="2"/>
        <v>8741</v>
      </c>
      <c r="AW25">
        <f t="shared" ca="1" si="3"/>
        <v>546</v>
      </c>
      <c r="AX25">
        <f t="shared" ca="1" si="3"/>
        <v>1011</v>
      </c>
      <c r="AY25">
        <f t="shared" ca="1" si="4"/>
        <v>2276</v>
      </c>
      <c r="AZ25">
        <f t="shared" ca="1" si="4"/>
        <v>3937</v>
      </c>
      <c r="BA25">
        <f t="shared" ca="1" si="5"/>
        <v>918</v>
      </c>
      <c r="BB25">
        <f t="shared" ca="1" si="5"/>
        <v>1692</v>
      </c>
      <c r="BC25">
        <f t="shared" ca="1" si="6"/>
        <v>3936</v>
      </c>
      <c r="BD25">
        <f t="shared" ca="1" si="6"/>
        <v>9557</v>
      </c>
      <c r="BE25">
        <f t="shared" ca="1" si="6"/>
        <v>1259</v>
      </c>
      <c r="BF25">
        <f t="shared" ca="1" si="6"/>
        <v>8425</v>
      </c>
      <c r="BG25">
        <f t="shared" ca="1" si="7"/>
        <v>2791</v>
      </c>
      <c r="BH25">
        <f t="shared" ca="1" si="7"/>
        <v>2171</v>
      </c>
      <c r="BI25">
        <f t="shared" ca="1" si="7"/>
        <v>1750</v>
      </c>
      <c r="BJ25">
        <f t="shared" ca="1" si="7"/>
        <v>2502</v>
      </c>
      <c r="BK25" s="7">
        <f ca="1">AVERAGE(AU25:AV33,AY25:AZ33,BC25:BF33)</f>
        <v>5060.1388888888887</v>
      </c>
      <c r="BL25" s="7">
        <f ca="1">AVERAGE(AW25:AX33,BA25:BB33,BG25:BJ33)</f>
        <v>1603.5833333333333</v>
      </c>
    </row>
    <row r="26" spans="1:64" x14ac:dyDescent="0.2">
      <c r="A26">
        <v>25</v>
      </c>
      <c r="B26" t="s">
        <v>18</v>
      </c>
      <c r="C26">
        <f t="shared" si="8"/>
        <v>1</v>
      </c>
      <c r="D26">
        <v>3</v>
      </c>
      <c r="E26" t="s">
        <v>25</v>
      </c>
      <c r="F26" s="2" t="s">
        <v>41</v>
      </c>
      <c r="G26" s="5" t="s">
        <v>40</v>
      </c>
      <c r="H26" s="3" t="s">
        <v>32</v>
      </c>
      <c r="I26" s="4" t="s">
        <v>45</v>
      </c>
      <c r="J26" t="s">
        <v>21</v>
      </c>
      <c r="K26">
        <f t="shared" ca="1" si="13"/>
        <v>1</v>
      </c>
      <c r="L26">
        <f t="shared" ca="1" si="13"/>
        <v>1</v>
      </c>
      <c r="M26">
        <f t="shared" ca="1" si="13"/>
        <v>1</v>
      </c>
      <c r="N26">
        <f t="shared" ca="1" si="13"/>
        <v>0</v>
      </c>
      <c r="O26">
        <f t="shared" ca="1" si="13"/>
        <v>0</v>
      </c>
      <c r="P26">
        <f t="shared" ca="1" si="13"/>
        <v>1</v>
      </c>
      <c r="Q26">
        <f t="shared" ca="1" si="13"/>
        <v>1</v>
      </c>
      <c r="R26">
        <f t="shared" ca="1" si="13"/>
        <v>0</v>
      </c>
      <c r="S26" t="s">
        <v>17</v>
      </c>
      <c r="T26" t="s">
        <v>17</v>
      </c>
      <c r="U26" t="s">
        <v>17</v>
      </c>
      <c r="V26" t="s">
        <v>17</v>
      </c>
      <c r="W26" t="s">
        <v>17</v>
      </c>
      <c r="X26" t="s">
        <v>17</v>
      </c>
      <c r="Y26" t="s">
        <v>17</v>
      </c>
      <c r="Z26" t="s">
        <v>17</v>
      </c>
      <c r="AA26" t="s">
        <v>17</v>
      </c>
      <c r="AB26" t="s">
        <v>17</v>
      </c>
      <c r="AC26" t="s">
        <v>17</v>
      </c>
      <c r="AD26" t="s">
        <v>17</v>
      </c>
      <c r="AE26" t="s">
        <v>17</v>
      </c>
      <c r="AF26" t="s">
        <v>17</v>
      </c>
      <c r="AG26" t="s">
        <v>17</v>
      </c>
      <c r="AH26" t="s">
        <v>17</v>
      </c>
      <c r="AI26" t="s">
        <v>17</v>
      </c>
      <c r="AJ26" t="s">
        <v>17</v>
      </c>
      <c r="AK26" t="s">
        <v>17</v>
      </c>
      <c r="AL26" t="s">
        <v>17</v>
      </c>
      <c r="AM26" t="s">
        <v>17</v>
      </c>
      <c r="AN26" t="s">
        <v>17</v>
      </c>
      <c r="AO26" t="s">
        <v>17</v>
      </c>
      <c r="AP26" t="s">
        <v>17</v>
      </c>
      <c r="AQ26" s="1">
        <f t="shared" ca="1" si="1"/>
        <v>1</v>
      </c>
      <c r="AR26" s="1">
        <f t="shared" ca="1" si="9"/>
        <v>0.5</v>
      </c>
      <c r="AS26" s="1">
        <f t="shared" ca="1" si="10"/>
        <v>0.5</v>
      </c>
      <c r="AT26" s="1">
        <f t="shared" ca="1" si="11"/>
        <v>0.5</v>
      </c>
      <c r="AU26">
        <f t="shared" ca="1" si="2"/>
        <v>4983</v>
      </c>
      <c r="AV26">
        <f t="shared" ca="1" si="2"/>
        <v>9488</v>
      </c>
      <c r="AW26">
        <f t="shared" ca="1" si="3"/>
        <v>751</v>
      </c>
      <c r="AX26">
        <f t="shared" ca="1" si="3"/>
        <v>2396</v>
      </c>
      <c r="AY26">
        <f t="shared" ca="1" si="4"/>
        <v>3137</v>
      </c>
      <c r="AZ26">
        <f t="shared" ca="1" si="4"/>
        <v>5575</v>
      </c>
      <c r="BA26">
        <f t="shared" ca="1" si="5"/>
        <v>1694</v>
      </c>
      <c r="BB26">
        <f t="shared" ca="1" si="5"/>
        <v>1124</v>
      </c>
      <c r="BC26">
        <f t="shared" ca="1" si="6"/>
        <v>8683</v>
      </c>
      <c r="BD26">
        <f t="shared" ca="1" si="6"/>
        <v>1855</v>
      </c>
      <c r="BE26">
        <f t="shared" ca="1" si="6"/>
        <v>4164</v>
      </c>
      <c r="BF26">
        <f t="shared" ca="1" si="6"/>
        <v>6104</v>
      </c>
      <c r="BG26">
        <f t="shared" ca="1" si="7"/>
        <v>1358</v>
      </c>
      <c r="BH26">
        <f t="shared" ca="1" si="7"/>
        <v>1269</v>
      </c>
      <c r="BI26">
        <f t="shared" ca="1" si="7"/>
        <v>2906</v>
      </c>
      <c r="BJ26">
        <f t="shared" ca="1" si="7"/>
        <v>2798</v>
      </c>
      <c r="BK26" s="7">
        <f ca="1">AVERAGE(AU26:AV33,AY26:AZ33,BC26:BF33)</f>
        <v>5058.859375</v>
      </c>
      <c r="BL26" s="7">
        <f ca="1">AVERAGE(AW26:AX33,BA26:BB33,BG26:BJ33)</f>
        <v>1594.953125</v>
      </c>
    </row>
    <row r="27" spans="1:64" x14ac:dyDescent="0.2">
      <c r="A27">
        <v>26</v>
      </c>
      <c r="B27" t="s">
        <v>19</v>
      </c>
      <c r="C27">
        <f t="shared" si="8"/>
        <v>0</v>
      </c>
      <c r="D27">
        <v>3</v>
      </c>
      <c r="E27" t="s">
        <v>25</v>
      </c>
      <c r="F27" s="2" t="s">
        <v>41</v>
      </c>
      <c r="G27" s="5" t="s">
        <v>40</v>
      </c>
      <c r="H27" s="3" t="s">
        <v>32</v>
      </c>
      <c r="I27" s="4" t="s">
        <v>45</v>
      </c>
      <c r="J27" t="s">
        <v>21</v>
      </c>
      <c r="K27">
        <f t="shared" ca="1" si="13"/>
        <v>0</v>
      </c>
      <c r="L27">
        <f t="shared" ca="1" si="13"/>
        <v>0</v>
      </c>
      <c r="M27">
        <f t="shared" ca="1" si="13"/>
        <v>0</v>
      </c>
      <c r="N27">
        <f t="shared" ca="1" si="13"/>
        <v>0</v>
      </c>
      <c r="O27">
        <f t="shared" ca="1" si="13"/>
        <v>0</v>
      </c>
      <c r="P27">
        <f t="shared" ca="1" si="13"/>
        <v>1</v>
      </c>
      <c r="Q27">
        <f t="shared" ca="1" si="13"/>
        <v>0</v>
      </c>
      <c r="R27">
        <f t="shared" ca="1" si="13"/>
        <v>0</v>
      </c>
      <c r="S27" t="s">
        <v>17</v>
      </c>
      <c r="T27" t="s">
        <v>17</v>
      </c>
      <c r="U27" t="s">
        <v>17</v>
      </c>
      <c r="V27" t="s">
        <v>17</v>
      </c>
      <c r="W27" t="s">
        <v>17</v>
      </c>
      <c r="X27" t="s">
        <v>17</v>
      </c>
      <c r="Y27" t="s">
        <v>17</v>
      </c>
      <c r="Z27" t="s">
        <v>17</v>
      </c>
      <c r="AA27" t="s">
        <v>17</v>
      </c>
      <c r="AB27" t="s">
        <v>17</v>
      </c>
      <c r="AC27" t="s">
        <v>17</v>
      </c>
      <c r="AD27" t="s">
        <v>17</v>
      </c>
      <c r="AE27" t="s">
        <v>17</v>
      </c>
      <c r="AF27" t="s">
        <v>17</v>
      </c>
      <c r="AG27" t="s">
        <v>17</v>
      </c>
      <c r="AH27" t="s">
        <v>17</v>
      </c>
      <c r="AI27" t="s">
        <v>17</v>
      </c>
      <c r="AJ27" t="s">
        <v>17</v>
      </c>
      <c r="AK27" t="s">
        <v>17</v>
      </c>
      <c r="AL27" t="s">
        <v>17</v>
      </c>
      <c r="AM27" t="s">
        <v>17</v>
      </c>
      <c r="AN27" t="s">
        <v>17</v>
      </c>
      <c r="AO27" t="s">
        <v>17</v>
      </c>
      <c r="AP27" t="s">
        <v>17</v>
      </c>
      <c r="AQ27" s="1">
        <f t="shared" ca="1" si="1"/>
        <v>0</v>
      </c>
      <c r="AR27" s="1">
        <f t="shared" ca="1" si="9"/>
        <v>0</v>
      </c>
      <c r="AS27" s="1">
        <f t="shared" ca="1" si="10"/>
        <v>0.5</v>
      </c>
      <c r="AT27" s="1">
        <f t="shared" ca="1" si="11"/>
        <v>0</v>
      </c>
      <c r="AU27">
        <f t="shared" ca="1" si="2"/>
        <v>1923</v>
      </c>
      <c r="AV27">
        <f t="shared" ca="1" si="2"/>
        <v>2131</v>
      </c>
      <c r="AW27">
        <f t="shared" ca="1" si="3"/>
        <v>874</v>
      </c>
      <c r="AX27">
        <f t="shared" ca="1" si="3"/>
        <v>2210</v>
      </c>
      <c r="AY27">
        <f t="shared" ca="1" si="4"/>
        <v>9516</v>
      </c>
      <c r="AZ27">
        <f t="shared" ca="1" si="4"/>
        <v>6341</v>
      </c>
      <c r="BA27">
        <f t="shared" ca="1" si="5"/>
        <v>1542</v>
      </c>
      <c r="BB27">
        <f t="shared" ca="1" si="5"/>
        <v>725</v>
      </c>
      <c r="BC27">
        <f t="shared" ca="1" si="6"/>
        <v>6548</v>
      </c>
      <c r="BD27">
        <f t="shared" ca="1" si="6"/>
        <v>3837</v>
      </c>
      <c r="BE27">
        <f t="shared" ca="1" si="6"/>
        <v>8509</v>
      </c>
      <c r="BF27">
        <f t="shared" ca="1" si="6"/>
        <v>706</v>
      </c>
      <c r="BG27">
        <f t="shared" ca="1" si="7"/>
        <v>2376</v>
      </c>
      <c r="BH27">
        <f t="shared" ca="1" si="7"/>
        <v>2549</v>
      </c>
      <c r="BI27">
        <f t="shared" ca="1" si="7"/>
        <v>536</v>
      </c>
      <c r="BJ27">
        <f t="shared" ca="1" si="7"/>
        <v>2984</v>
      </c>
      <c r="BK27" s="7">
        <f ca="1">AVERAGE(AU27:AV33,AY27:AZ33,BC27:BF33)</f>
        <v>4996.0357142857147</v>
      </c>
      <c r="BL27" s="7">
        <f ca="1">AVERAGE(AW27:AX33,BA27:BB33,BG27:BJ33)</f>
        <v>1567.5178571428571</v>
      </c>
    </row>
    <row r="28" spans="1:64" x14ac:dyDescent="0.2">
      <c r="A28">
        <v>27</v>
      </c>
      <c r="B28" t="s">
        <v>18</v>
      </c>
      <c r="C28">
        <f t="shared" si="8"/>
        <v>1</v>
      </c>
      <c r="D28">
        <v>3</v>
      </c>
      <c r="E28" t="s">
        <v>25</v>
      </c>
      <c r="F28" s="2" t="s">
        <v>40</v>
      </c>
      <c r="G28" s="5" t="s">
        <v>41</v>
      </c>
      <c r="H28" s="3" t="s">
        <v>32</v>
      </c>
      <c r="I28" s="4" t="s">
        <v>45</v>
      </c>
      <c r="J28" t="s">
        <v>21</v>
      </c>
      <c r="K28">
        <f t="shared" ca="1" si="13"/>
        <v>0</v>
      </c>
      <c r="L28">
        <f t="shared" ca="1" si="13"/>
        <v>1</v>
      </c>
      <c r="M28">
        <f t="shared" ca="1" si="13"/>
        <v>0</v>
      </c>
      <c r="N28">
        <f t="shared" ca="1" si="13"/>
        <v>0</v>
      </c>
      <c r="O28">
        <f t="shared" ca="1" si="13"/>
        <v>1</v>
      </c>
      <c r="P28">
        <f t="shared" ca="1" si="13"/>
        <v>0</v>
      </c>
      <c r="Q28">
        <f t="shared" ca="1" si="13"/>
        <v>1</v>
      </c>
      <c r="R28">
        <f t="shared" ca="1" si="13"/>
        <v>1</v>
      </c>
      <c r="S28" t="s">
        <v>17</v>
      </c>
      <c r="T28" t="s">
        <v>17</v>
      </c>
      <c r="U28" t="s">
        <v>17</v>
      </c>
      <c r="V28" t="s">
        <v>17</v>
      </c>
      <c r="W28" t="s">
        <v>17</v>
      </c>
      <c r="X28" t="s">
        <v>17</v>
      </c>
      <c r="Y28" t="s">
        <v>17</v>
      </c>
      <c r="Z28" t="s">
        <v>17</v>
      </c>
      <c r="AA28" t="s">
        <v>17</v>
      </c>
      <c r="AB28" t="s">
        <v>17</v>
      </c>
      <c r="AC28" t="s">
        <v>17</v>
      </c>
      <c r="AD28" t="s">
        <v>17</v>
      </c>
      <c r="AE28" t="s">
        <v>17</v>
      </c>
      <c r="AF28" t="s">
        <v>17</v>
      </c>
      <c r="AG28" t="s">
        <v>17</v>
      </c>
      <c r="AH28" t="s">
        <v>17</v>
      </c>
      <c r="AI28" t="s">
        <v>17</v>
      </c>
      <c r="AJ28" t="s">
        <v>17</v>
      </c>
      <c r="AK28" t="s">
        <v>17</v>
      </c>
      <c r="AL28" t="s">
        <v>17</v>
      </c>
      <c r="AM28" t="s">
        <v>17</v>
      </c>
      <c r="AN28" t="s">
        <v>17</v>
      </c>
      <c r="AO28" t="s">
        <v>17</v>
      </c>
      <c r="AP28" t="s">
        <v>17</v>
      </c>
      <c r="AQ28" s="1">
        <f t="shared" ca="1" si="1"/>
        <v>0.5</v>
      </c>
      <c r="AR28" s="1">
        <f t="shared" ca="1" si="9"/>
        <v>0</v>
      </c>
      <c r="AS28" s="1">
        <f t="shared" ca="1" si="10"/>
        <v>0.5</v>
      </c>
      <c r="AT28" s="1">
        <f t="shared" ca="1" si="11"/>
        <v>1</v>
      </c>
      <c r="AU28">
        <f t="shared" ca="1" si="2"/>
        <v>7193</v>
      </c>
      <c r="AV28">
        <f t="shared" ca="1" si="2"/>
        <v>562</v>
      </c>
      <c r="AW28">
        <f t="shared" ca="1" si="3"/>
        <v>2774</v>
      </c>
      <c r="AX28">
        <f t="shared" ca="1" si="3"/>
        <v>1998</v>
      </c>
      <c r="AY28">
        <f t="shared" ca="1" si="4"/>
        <v>4894</v>
      </c>
      <c r="AZ28">
        <f t="shared" ca="1" si="4"/>
        <v>7331</v>
      </c>
      <c r="BA28">
        <f t="shared" ca="1" si="5"/>
        <v>1260</v>
      </c>
      <c r="BB28">
        <f t="shared" ca="1" si="5"/>
        <v>931</v>
      </c>
      <c r="BC28">
        <f t="shared" ca="1" si="6"/>
        <v>9922</v>
      </c>
      <c r="BD28">
        <f t="shared" ca="1" si="6"/>
        <v>1484</v>
      </c>
      <c r="BE28">
        <f t="shared" ca="1" si="6"/>
        <v>9254</v>
      </c>
      <c r="BF28">
        <f t="shared" ca="1" si="6"/>
        <v>3815</v>
      </c>
      <c r="BG28">
        <f t="shared" ca="1" si="7"/>
        <v>1342</v>
      </c>
      <c r="BH28">
        <f t="shared" ca="1" si="7"/>
        <v>1068</v>
      </c>
      <c r="BI28">
        <f t="shared" ca="1" si="7"/>
        <v>2041</v>
      </c>
      <c r="BJ28">
        <f t="shared" ca="1" si="7"/>
        <v>2398</v>
      </c>
      <c r="BK28" s="7">
        <f ca="1">AVERAGE(AU28:AV33,AY28:AZ33,BC28:BF33)</f>
        <v>5005.5625</v>
      </c>
      <c r="BL28" s="7">
        <f ca="1">AVERAGE(AW28:AX33,BA28:BB33,BG28:BJ33)</f>
        <v>1541.3541666666667</v>
      </c>
    </row>
    <row r="29" spans="1:64" x14ac:dyDescent="0.2">
      <c r="A29">
        <v>28</v>
      </c>
      <c r="B29" t="s">
        <v>19</v>
      </c>
      <c r="C29">
        <f t="shared" si="8"/>
        <v>0</v>
      </c>
      <c r="D29">
        <v>3</v>
      </c>
      <c r="E29" t="s">
        <v>25</v>
      </c>
      <c r="F29" s="2" t="s">
        <v>40</v>
      </c>
      <c r="G29" s="5" t="s">
        <v>41</v>
      </c>
      <c r="H29" s="3" t="s">
        <v>32</v>
      </c>
      <c r="I29" s="4" t="s">
        <v>45</v>
      </c>
      <c r="J29" t="s">
        <v>21</v>
      </c>
      <c r="K29">
        <f t="shared" ca="1" si="13"/>
        <v>1</v>
      </c>
      <c r="L29">
        <f t="shared" ca="1" si="13"/>
        <v>1</v>
      </c>
      <c r="M29">
        <f t="shared" ca="1" si="13"/>
        <v>1</v>
      </c>
      <c r="N29">
        <f t="shared" ca="1" si="13"/>
        <v>0</v>
      </c>
      <c r="O29">
        <f t="shared" ca="1" si="13"/>
        <v>0</v>
      </c>
      <c r="P29">
        <f t="shared" ca="1" si="13"/>
        <v>0</v>
      </c>
      <c r="Q29">
        <f t="shared" ca="1" si="13"/>
        <v>1</v>
      </c>
      <c r="R29">
        <f t="shared" ca="1" si="13"/>
        <v>0</v>
      </c>
      <c r="S29" t="s">
        <v>17</v>
      </c>
      <c r="T29" t="s">
        <v>17</v>
      </c>
      <c r="U29" t="s">
        <v>17</v>
      </c>
      <c r="V29" t="s">
        <v>17</v>
      </c>
      <c r="W29" t="s">
        <v>17</v>
      </c>
      <c r="X29" t="s">
        <v>17</v>
      </c>
      <c r="Y29" t="s">
        <v>17</v>
      </c>
      <c r="Z29" t="s">
        <v>17</v>
      </c>
      <c r="AA29" t="s">
        <v>17</v>
      </c>
      <c r="AB29" t="s">
        <v>17</v>
      </c>
      <c r="AC29" t="s">
        <v>17</v>
      </c>
      <c r="AD29" t="s">
        <v>17</v>
      </c>
      <c r="AE29" t="s">
        <v>17</v>
      </c>
      <c r="AF29" t="s">
        <v>17</v>
      </c>
      <c r="AG29" t="s">
        <v>17</v>
      </c>
      <c r="AH29" t="s">
        <v>17</v>
      </c>
      <c r="AI29" t="s">
        <v>17</v>
      </c>
      <c r="AJ29" t="s">
        <v>17</v>
      </c>
      <c r="AK29" t="s">
        <v>17</v>
      </c>
      <c r="AL29" t="s">
        <v>17</v>
      </c>
      <c r="AM29" t="s">
        <v>17</v>
      </c>
      <c r="AN29" t="s">
        <v>17</v>
      </c>
      <c r="AO29" t="s">
        <v>17</v>
      </c>
      <c r="AP29" t="s">
        <v>17</v>
      </c>
      <c r="AQ29" s="1">
        <f t="shared" ca="1" si="1"/>
        <v>1</v>
      </c>
      <c r="AR29" s="1">
        <f t="shared" ca="1" si="9"/>
        <v>0.5</v>
      </c>
      <c r="AS29" s="1">
        <f t="shared" ca="1" si="10"/>
        <v>0</v>
      </c>
      <c r="AT29" s="1">
        <f t="shared" ca="1" si="11"/>
        <v>0.5</v>
      </c>
      <c r="AU29">
        <f t="shared" ca="1" si="2"/>
        <v>914</v>
      </c>
      <c r="AV29">
        <f t="shared" ca="1" si="2"/>
        <v>1493</v>
      </c>
      <c r="AW29">
        <f t="shared" ca="1" si="3"/>
        <v>958</v>
      </c>
      <c r="AX29">
        <f t="shared" ca="1" si="3"/>
        <v>1510</v>
      </c>
      <c r="AY29">
        <f t="shared" ca="1" si="4"/>
        <v>585</v>
      </c>
      <c r="AZ29">
        <f t="shared" ca="1" si="4"/>
        <v>8797</v>
      </c>
      <c r="BA29">
        <f t="shared" ca="1" si="5"/>
        <v>2167</v>
      </c>
      <c r="BB29">
        <f t="shared" ca="1" si="5"/>
        <v>2386</v>
      </c>
      <c r="BC29">
        <f t="shared" ca="1" si="6"/>
        <v>5094</v>
      </c>
      <c r="BD29">
        <f t="shared" ca="1" si="6"/>
        <v>2494</v>
      </c>
      <c r="BE29">
        <f t="shared" ca="1" si="6"/>
        <v>7828</v>
      </c>
      <c r="BF29">
        <f t="shared" ca="1" si="6"/>
        <v>9416</v>
      </c>
      <c r="BG29">
        <f t="shared" ca="1" si="7"/>
        <v>1615</v>
      </c>
      <c r="BH29">
        <f t="shared" ca="1" si="7"/>
        <v>2080</v>
      </c>
      <c r="BI29">
        <f t="shared" ca="1" si="7"/>
        <v>1696</v>
      </c>
      <c r="BJ29">
        <f t="shared" ca="1" si="7"/>
        <v>2056</v>
      </c>
      <c r="BK29" s="7">
        <f ca="1">AVERAGE(AU29:AV33,AY29:AZ33,BC29:BF33)</f>
        <v>4895.3</v>
      </c>
      <c r="BL29" s="7">
        <f ca="1">AVERAGE(AW29:AX33,BA29:BB33,BG29:BJ33)</f>
        <v>1504.325</v>
      </c>
    </row>
    <row r="30" spans="1:64" x14ac:dyDescent="0.2">
      <c r="A30">
        <v>29</v>
      </c>
      <c r="B30" t="s">
        <v>18</v>
      </c>
      <c r="C30">
        <f t="shared" si="8"/>
        <v>1</v>
      </c>
      <c r="D30">
        <v>4</v>
      </c>
      <c r="E30" t="s">
        <v>26</v>
      </c>
      <c r="F30" s="2" t="s">
        <v>42</v>
      </c>
      <c r="G30" s="5" t="s">
        <v>43</v>
      </c>
      <c r="H30" s="3" t="s">
        <v>31</v>
      </c>
      <c r="I30" s="4" t="s">
        <v>45</v>
      </c>
      <c r="J30" t="s">
        <v>21</v>
      </c>
      <c r="K30">
        <f t="shared" ca="1" si="13"/>
        <v>0</v>
      </c>
      <c r="L30">
        <f t="shared" ca="1" si="13"/>
        <v>1</v>
      </c>
      <c r="M30">
        <f t="shared" ca="1" si="13"/>
        <v>0</v>
      </c>
      <c r="N30">
        <f t="shared" ca="1" si="13"/>
        <v>0</v>
      </c>
      <c r="O30">
        <f t="shared" ca="1" si="13"/>
        <v>1</v>
      </c>
      <c r="P30">
        <f t="shared" ca="1" si="13"/>
        <v>0</v>
      </c>
      <c r="Q30">
        <f t="shared" ca="1" si="13"/>
        <v>1</v>
      </c>
      <c r="R30">
        <f t="shared" ca="1" si="13"/>
        <v>0</v>
      </c>
      <c r="S30" t="s">
        <v>17</v>
      </c>
      <c r="T30" t="s">
        <v>17</v>
      </c>
      <c r="U30" t="s">
        <v>17</v>
      </c>
      <c r="V30" t="s">
        <v>17</v>
      </c>
      <c r="W30" t="s">
        <v>17</v>
      </c>
      <c r="X30" t="s">
        <v>17</v>
      </c>
      <c r="Y30" t="s">
        <v>17</v>
      </c>
      <c r="Z30" t="s">
        <v>17</v>
      </c>
      <c r="AA30" t="s">
        <v>17</v>
      </c>
      <c r="AB30" t="s">
        <v>17</v>
      </c>
      <c r="AC30" t="s">
        <v>17</v>
      </c>
      <c r="AD30" t="s">
        <v>17</v>
      </c>
      <c r="AE30" t="s">
        <v>17</v>
      </c>
      <c r="AF30" t="s">
        <v>17</v>
      </c>
      <c r="AG30" t="s">
        <v>17</v>
      </c>
      <c r="AH30" t="s">
        <v>17</v>
      </c>
      <c r="AI30" t="s">
        <v>17</v>
      </c>
      <c r="AJ30" t="s">
        <v>17</v>
      </c>
      <c r="AK30" t="s">
        <v>17</v>
      </c>
      <c r="AL30" t="s">
        <v>17</v>
      </c>
      <c r="AM30" t="s">
        <v>17</v>
      </c>
      <c r="AN30" t="s">
        <v>17</v>
      </c>
      <c r="AO30" t="s">
        <v>17</v>
      </c>
      <c r="AP30" t="s">
        <v>17</v>
      </c>
      <c r="AQ30" s="1">
        <f t="shared" ca="1" si="1"/>
        <v>0.5</v>
      </c>
      <c r="AR30" s="1">
        <f t="shared" ca="1" si="9"/>
        <v>0</v>
      </c>
      <c r="AS30" s="1">
        <f t="shared" ca="1" si="10"/>
        <v>0.5</v>
      </c>
      <c r="AT30" s="1">
        <f t="shared" ca="1" si="11"/>
        <v>0.5</v>
      </c>
      <c r="AU30">
        <f t="shared" ca="1" si="2"/>
        <v>6358</v>
      </c>
      <c r="AV30">
        <f t="shared" ca="1" si="2"/>
        <v>1474</v>
      </c>
      <c r="AW30">
        <f t="shared" ca="1" si="3"/>
        <v>1377</v>
      </c>
      <c r="AX30">
        <f t="shared" ca="1" si="3"/>
        <v>2092</v>
      </c>
      <c r="AY30">
        <f t="shared" ca="1" si="4"/>
        <v>8228</v>
      </c>
      <c r="AZ30">
        <f t="shared" ca="1" si="4"/>
        <v>2628</v>
      </c>
      <c r="BA30">
        <f t="shared" ca="1" si="5"/>
        <v>665</v>
      </c>
      <c r="BB30">
        <f t="shared" ca="1" si="5"/>
        <v>2637</v>
      </c>
      <c r="BC30">
        <f t="shared" ca="1" si="6"/>
        <v>3765</v>
      </c>
      <c r="BD30">
        <f t="shared" ca="1" si="6"/>
        <v>8235</v>
      </c>
      <c r="BE30">
        <f t="shared" ca="1" si="6"/>
        <v>4728</v>
      </c>
      <c r="BF30">
        <f t="shared" ca="1" si="6"/>
        <v>2567</v>
      </c>
      <c r="BG30">
        <f t="shared" ca="1" si="7"/>
        <v>1161</v>
      </c>
      <c r="BH30">
        <f t="shared" ca="1" si="7"/>
        <v>1883</v>
      </c>
      <c r="BI30">
        <f t="shared" ca="1" si="7"/>
        <v>1217</v>
      </c>
      <c r="BJ30">
        <f t="shared" ca="1" si="7"/>
        <v>1202</v>
      </c>
      <c r="BK30" s="7">
        <f ca="1">AVERAGE(AU30:AV33,AY30:AZ33,BC30:BF33)</f>
        <v>4974.71875</v>
      </c>
      <c r="BL30" s="7">
        <f ca="1">AVERAGE(AW30:AX33,BA30:BB33,BG30:BJ33)</f>
        <v>1428.28125</v>
      </c>
    </row>
    <row r="31" spans="1:64" x14ac:dyDescent="0.2">
      <c r="A31">
        <v>30</v>
      </c>
      <c r="B31" t="s">
        <v>19</v>
      </c>
      <c r="C31">
        <f t="shared" si="8"/>
        <v>0</v>
      </c>
      <c r="D31">
        <v>4</v>
      </c>
      <c r="E31" t="s">
        <v>26</v>
      </c>
      <c r="F31" s="2" t="s">
        <v>42</v>
      </c>
      <c r="G31" s="5" t="s">
        <v>43</v>
      </c>
      <c r="H31" s="3" t="s">
        <v>31</v>
      </c>
      <c r="I31" s="4" t="s">
        <v>45</v>
      </c>
      <c r="J31" t="s">
        <v>21</v>
      </c>
      <c r="K31">
        <f t="shared" ca="1" si="13"/>
        <v>1</v>
      </c>
      <c r="L31">
        <f t="shared" ca="1" si="13"/>
        <v>0</v>
      </c>
      <c r="M31">
        <f t="shared" ca="1" si="13"/>
        <v>0</v>
      </c>
      <c r="N31">
        <f t="shared" ca="1" si="13"/>
        <v>0</v>
      </c>
      <c r="O31">
        <f t="shared" ca="1" si="13"/>
        <v>1</v>
      </c>
      <c r="P31">
        <f t="shared" ca="1" si="13"/>
        <v>1</v>
      </c>
      <c r="Q31">
        <f t="shared" ca="1" si="13"/>
        <v>1</v>
      </c>
      <c r="R31">
        <f t="shared" ca="1" si="13"/>
        <v>0</v>
      </c>
      <c r="S31" t="s">
        <v>17</v>
      </c>
      <c r="T31" t="s">
        <v>17</v>
      </c>
      <c r="U31" t="s">
        <v>17</v>
      </c>
      <c r="V31" t="s">
        <v>17</v>
      </c>
      <c r="W31" t="s">
        <v>17</v>
      </c>
      <c r="X31" t="s">
        <v>17</v>
      </c>
      <c r="Y31" t="s">
        <v>17</v>
      </c>
      <c r="Z31" t="s">
        <v>17</v>
      </c>
      <c r="AA31" t="s">
        <v>17</v>
      </c>
      <c r="AB31" t="s">
        <v>17</v>
      </c>
      <c r="AC31" t="s">
        <v>17</v>
      </c>
      <c r="AD31" t="s">
        <v>17</v>
      </c>
      <c r="AE31" t="s">
        <v>17</v>
      </c>
      <c r="AF31" t="s">
        <v>17</v>
      </c>
      <c r="AG31" t="s">
        <v>17</v>
      </c>
      <c r="AH31" t="s">
        <v>17</v>
      </c>
      <c r="AI31" t="s">
        <v>17</v>
      </c>
      <c r="AJ31" t="s">
        <v>17</v>
      </c>
      <c r="AK31" t="s">
        <v>17</v>
      </c>
      <c r="AL31" t="s">
        <v>17</v>
      </c>
      <c r="AM31" t="s">
        <v>17</v>
      </c>
      <c r="AN31" t="s">
        <v>17</v>
      </c>
      <c r="AO31" t="s">
        <v>17</v>
      </c>
      <c r="AP31" t="s">
        <v>17</v>
      </c>
      <c r="AQ31" s="1">
        <f t="shared" ca="1" si="1"/>
        <v>0.5</v>
      </c>
      <c r="AR31" s="1">
        <f t="shared" ca="1" si="9"/>
        <v>0</v>
      </c>
      <c r="AS31" s="1">
        <f t="shared" ca="1" si="10"/>
        <v>1</v>
      </c>
      <c r="AT31" s="1">
        <f t="shared" ca="1" si="11"/>
        <v>0.5</v>
      </c>
      <c r="AU31">
        <f t="shared" ca="1" si="2"/>
        <v>3328</v>
      </c>
      <c r="AV31">
        <f t="shared" ca="1" si="2"/>
        <v>7913</v>
      </c>
      <c r="AW31">
        <f t="shared" ca="1" si="3"/>
        <v>1091</v>
      </c>
      <c r="AX31">
        <f t="shared" ca="1" si="3"/>
        <v>1552</v>
      </c>
      <c r="AY31">
        <f t="shared" ca="1" si="4"/>
        <v>9878</v>
      </c>
      <c r="AZ31">
        <f t="shared" ca="1" si="4"/>
        <v>6056</v>
      </c>
      <c r="BA31">
        <f t="shared" ca="1" si="5"/>
        <v>1693</v>
      </c>
      <c r="BB31">
        <f t="shared" ca="1" si="5"/>
        <v>949</v>
      </c>
      <c r="BC31">
        <f t="shared" ca="1" si="6"/>
        <v>1830</v>
      </c>
      <c r="BD31">
        <f t="shared" ca="1" si="6"/>
        <v>1690</v>
      </c>
      <c r="BE31">
        <f t="shared" ca="1" si="6"/>
        <v>5685</v>
      </c>
      <c r="BF31">
        <f t="shared" ca="1" si="6"/>
        <v>6425</v>
      </c>
      <c r="BG31">
        <f t="shared" ca="1" si="7"/>
        <v>1639</v>
      </c>
      <c r="BH31">
        <f t="shared" ca="1" si="7"/>
        <v>2502</v>
      </c>
      <c r="BI31">
        <f t="shared" ca="1" si="7"/>
        <v>2579</v>
      </c>
      <c r="BJ31">
        <f t="shared" ca="1" si="7"/>
        <v>1965</v>
      </c>
      <c r="BK31" s="7">
        <f ca="1">AVERAGE(AU31:AV33,AY31:AZ33,BC31:BF33)</f>
        <v>5050.333333333333</v>
      </c>
      <c r="BL31" s="7">
        <f ca="1">AVERAGE(AW31:AX33,BA31:BB33,BG31:BJ33)</f>
        <v>1394.625</v>
      </c>
    </row>
    <row r="32" spans="1:64" x14ac:dyDescent="0.2">
      <c r="A32">
        <v>31</v>
      </c>
      <c r="B32" t="s">
        <v>18</v>
      </c>
      <c r="C32">
        <f t="shared" si="8"/>
        <v>1</v>
      </c>
      <c r="D32">
        <v>4</v>
      </c>
      <c r="E32" t="s">
        <v>26</v>
      </c>
      <c r="F32" s="2" t="s">
        <v>43</v>
      </c>
      <c r="G32" s="5" t="s">
        <v>42</v>
      </c>
      <c r="H32" s="3" t="s">
        <v>31</v>
      </c>
      <c r="I32" s="4" t="s">
        <v>45</v>
      </c>
      <c r="J32" t="s">
        <v>21</v>
      </c>
      <c r="K32">
        <f t="shared" ca="1" si="13"/>
        <v>0</v>
      </c>
      <c r="L32">
        <f t="shared" ca="1" si="13"/>
        <v>0</v>
      </c>
      <c r="M32">
        <f t="shared" ca="1" si="13"/>
        <v>0</v>
      </c>
      <c r="N32">
        <f t="shared" ca="1" si="13"/>
        <v>0</v>
      </c>
      <c r="O32">
        <f t="shared" ca="1" si="13"/>
        <v>0</v>
      </c>
      <c r="P32">
        <f t="shared" ca="1" si="13"/>
        <v>1</v>
      </c>
      <c r="Q32">
        <f t="shared" ca="1" si="13"/>
        <v>1</v>
      </c>
      <c r="R32">
        <f t="shared" ca="1" si="13"/>
        <v>1</v>
      </c>
      <c r="S32" t="s">
        <v>17</v>
      </c>
      <c r="T32" t="s">
        <v>17</v>
      </c>
      <c r="U32" t="s">
        <v>17</v>
      </c>
      <c r="V32" t="s">
        <v>17</v>
      </c>
      <c r="W32" t="s">
        <v>17</v>
      </c>
      <c r="X32" t="s">
        <v>17</v>
      </c>
      <c r="Y32" t="s">
        <v>17</v>
      </c>
      <c r="Z32" t="s">
        <v>17</v>
      </c>
      <c r="AA32" t="s">
        <v>17</v>
      </c>
      <c r="AB32" t="s">
        <v>17</v>
      </c>
      <c r="AC32" t="s">
        <v>17</v>
      </c>
      <c r="AD32" t="s">
        <v>17</v>
      </c>
      <c r="AE32" t="s">
        <v>17</v>
      </c>
      <c r="AF32" t="s">
        <v>17</v>
      </c>
      <c r="AG32" t="s">
        <v>17</v>
      </c>
      <c r="AH32" t="s">
        <v>17</v>
      </c>
      <c r="AI32" t="s">
        <v>17</v>
      </c>
      <c r="AJ32" t="s">
        <v>17</v>
      </c>
      <c r="AK32" t="s">
        <v>17</v>
      </c>
      <c r="AL32" t="s">
        <v>17</v>
      </c>
      <c r="AM32" t="s">
        <v>17</v>
      </c>
      <c r="AN32" t="s">
        <v>17</v>
      </c>
      <c r="AO32" t="s">
        <v>17</v>
      </c>
      <c r="AP32" t="s">
        <v>17</v>
      </c>
      <c r="AQ32" s="1">
        <f t="shared" ca="1" si="1"/>
        <v>0</v>
      </c>
      <c r="AR32" s="1">
        <f t="shared" ca="1" si="9"/>
        <v>0</v>
      </c>
      <c r="AS32" s="1">
        <f t="shared" ca="1" si="10"/>
        <v>0.5</v>
      </c>
      <c r="AT32" s="1">
        <f t="shared" ca="1" si="11"/>
        <v>1</v>
      </c>
      <c r="AU32">
        <f t="shared" ca="1" si="2"/>
        <v>4976</v>
      </c>
      <c r="AV32">
        <f t="shared" ca="1" si="2"/>
        <v>4583</v>
      </c>
      <c r="AW32">
        <f t="shared" ca="1" si="3"/>
        <v>751</v>
      </c>
      <c r="AX32">
        <f t="shared" ca="1" si="3"/>
        <v>949</v>
      </c>
      <c r="AY32">
        <f t="shared" ca="1" si="4"/>
        <v>2557</v>
      </c>
      <c r="AZ32">
        <f t="shared" ca="1" si="4"/>
        <v>8074</v>
      </c>
      <c r="BA32">
        <f t="shared" ca="1" si="5"/>
        <v>988</v>
      </c>
      <c r="BB32">
        <f t="shared" ca="1" si="5"/>
        <v>1236</v>
      </c>
      <c r="BC32">
        <f t="shared" ca="1" si="6"/>
        <v>4467</v>
      </c>
      <c r="BD32">
        <f t="shared" ca="1" si="6"/>
        <v>9888</v>
      </c>
      <c r="BE32">
        <f t="shared" ca="1" si="6"/>
        <v>514</v>
      </c>
      <c r="BF32">
        <f t="shared" ca="1" si="6"/>
        <v>6854</v>
      </c>
      <c r="BG32">
        <f t="shared" ca="1" si="7"/>
        <v>1059</v>
      </c>
      <c r="BH32">
        <f t="shared" ca="1" si="7"/>
        <v>1438</v>
      </c>
      <c r="BI32">
        <f t="shared" ca="1" si="7"/>
        <v>1034</v>
      </c>
      <c r="BJ32">
        <f t="shared" ca="1" si="7"/>
        <v>1835</v>
      </c>
      <c r="BK32" s="7">
        <f ca="1">AVERAGE(AU32:AV33,AY32:AZ33,BC32:BF33)</f>
        <v>4900.1875</v>
      </c>
      <c r="BL32" s="7">
        <f ca="1">AVERAGE(AW32:AX33,BA32:BB33,BG32:BJ33)</f>
        <v>1218.8125</v>
      </c>
    </row>
    <row r="33" spans="1:64" x14ac:dyDescent="0.2">
      <c r="A33">
        <v>32</v>
      </c>
      <c r="B33" t="s">
        <v>19</v>
      </c>
      <c r="C33">
        <f t="shared" si="8"/>
        <v>0</v>
      </c>
      <c r="D33">
        <v>4</v>
      </c>
      <c r="E33" t="s">
        <v>26</v>
      </c>
      <c r="F33" s="2" t="s">
        <v>43</v>
      </c>
      <c r="G33" s="5" t="s">
        <v>42</v>
      </c>
      <c r="H33" s="3" t="s">
        <v>31</v>
      </c>
      <c r="I33" s="4" t="s">
        <v>45</v>
      </c>
      <c r="J33" t="s">
        <v>21</v>
      </c>
      <c r="K33">
        <f t="shared" ca="1" si="13"/>
        <v>1</v>
      </c>
      <c r="L33">
        <f t="shared" ca="1" si="13"/>
        <v>1</v>
      </c>
      <c r="M33">
        <f t="shared" ca="1" si="13"/>
        <v>0</v>
      </c>
      <c r="N33">
        <f t="shared" ca="1" si="13"/>
        <v>0</v>
      </c>
      <c r="O33">
        <f t="shared" ca="1" si="13"/>
        <v>0</v>
      </c>
      <c r="P33">
        <f t="shared" ca="1" si="13"/>
        <v>0</v>
      </c>
      <c r="Q33">
        <f t="shared" ca="1" si="13"/>
        <v>1</v>
      </c>
      <c r="R33">
        <f t="shared" ca="1" si="13"/>
        <v>0</v>
      </c>
      <c r="S33" t="s">
        <v>17</v>
      </c>
      <c r="T33" t="s">
        <v>17</v>
      </c>
      <c r="U33" t="s">
        <v>17</v>
      </c>
      <c r="V33" t="s">
        <v>17</v>
      </c>
      <c r="W33" t="s">
        <v>17</v>
      </c>
      <c r="X33" t="s">
        <v>17</v>
      </c>
      <c r="Y33" t="s">
        <v>17</v>
      </c>
      <c r="Z33" t="s">
        <v>17</v>
      </c>
      <c r="AA33" t="s">
        <v>17</v>
      </c>
      <c r="AB33" t="s">
        <v>17</v>
      </c>
      <c r="AC33" t="s">
        <v>17</v>
      </c>
      <c r="AD33" t="s">
        <v>17</v>
      </c>
      <c r="AE33" t="s">
        <v>17</v>
      </c>
      <c r="AF33" t="s">
        <v>17</v>
      </c>
      <c r="AG33" t="s">
        <v>17</v>
      </c>
      <c r="AH33" t="s">
        <v>17</v>
      </c>
      <c r="AI33" t="s">
        <v>17</v>
      </c>
      <c r="AJ33" t="s">
        <v>17</v>
      </c>
      <c r="AK33" t="s">
        <v>17</v>
      </c>
      <c r="AL33" t="s">
        <v>17</v>
      </c>
      <c r="AM33" t="s">
        <v>17</v>
      </c>
      <c r="AN33" t="s">
        <v>17</v>
      </c>
      <c r="AO33" t="s">
        <v>17</v>
      </c>
      <c r="AP33" t="s">
        <v>17</v>
      </c>
      <c r="AQ33" s="1">
        <f t="shared" ca="1" si="1"/>
        <v>1</v>
      </c>
      <c r="AR33" s="1">
        <f t="shared" ca="1" si="9"/>
        <v>0</v>
      </c>
      <c r="AS33" s="1">
        <f t="shared" ca="1" si="10"/>
        <v>0</v>
      </c>
      <c r="AT33" s="1">
        <f t="shared" ca="1" si="11"/>
        <v>0.5</v>
      </c>
      <c r="AU33">
        <f t="shared" ca="1" si="2"/>
        <v>4437</v>
      </c>
      <c r="AV33">
        <f t="shared" ca="1" si="2"/>
        <v>4377</v>
      </c>
      <c r="AW33">
        <f t="shared" ca="1" si="3"/>
        <v>690</v>
      </c>
      <c r="AX33">
        <f t="shared" ca="1" si="3"/>
        <v>2250</v>
      </c>
      <c r="AY33">
        <f t="shared" ca="1" si="4"/>
        <v>8604</v>
      </c>
      <c r="AZ33">
        <f t="shared" ca="1" si="4"/>
        <v>3592</v>
      </c>
      <c r="BA33">
        <f t="shared" ca="1" si="5"/>
        <v>1871</v>
      </c>
      <c r="BB33">
        <f t="shared" ca="1" si="5"/>
        <v>1313</v>
      </c>
      <c r="BC33">
        <f t="shared" ca="1" si="6"/>
        <v>5947</v>
      </c>
      <c r="BD33">
        <f t="shared" ca="1" si="6"/>
        <v>1775</v>
      </c>
      <c r="BE33">
        <f t="shared" ca="1" si="6"/>
        <v>3308</v>
      </c>
      <c r="BF33">
        <f t="shared" ca="1" si="6"/>
        <v>4450</v>
      </c>
      <c r="BG33">
        <f t="shared" ca="1" si="7"/>
        <v>1151</v>
      </c>
      <c r="BH33">
        <f t="shared" ca="1" si="7"/>
        <v>758</v>
      </c>
      <c r="BI33">
        <f t="shared" ca="1" si="7"/>
        <v>812</v>
      </c>
      <c r="BJ33">
        <f t="shared" ca="1" si="7"/>
        <v>1366</v>
      </c>
      <c r="BK33" s="7">
        <f ca="1">AVERAGE(AU33:AV33,AY33:AZ33,BC33:BF33)</f>
        <v>4561.25</v>
      </c>
      <c r="BL33" s="7">
        <f ca="1">AVERAGE(AW33:AX33,BA33:BB33,BG33:BJ33)</f>
        <v>1276.375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33"/>
  <sheetViews>
    <sheetView zoomScale="110" zoomScaleNormal="110" workbookViewId="0">
      <selection activeCell="T3" sqref="T3"/>
    </sheetView>
  </sheetViews>
  <sheetFormatPr baseColWidth="10" defaultColWidth="8.83203125" defaultRowHeight="15" x14ac:dyDescent="0.2"/>
  <cols>
    <col min="1" max="1" width="6.83203125" bestFit="1" customWidth="1"/>
    <col min="2" max="2" width="4.5" bestFit="1" customWidth="1"/>
    <col min="3" max="3" width="7.5" bestFit="1" customWidth="1"/>
    <col min="4" max="5" width="7.5" customWidth="1"/>
    <col min="6" max="6" width="18.5" bestFit="1" customWidth="1"/>
    <col min="7" max="7" width="18.5" customWidth="1"/>
    <col min="8" max="8" width="19.33203125" bestFit="1" customWidth="1"/>
    <col min="9" max="9" width="18.33203125" bestFit="1" customWidth="1"/>
    <col min="10" max="10" width="13.6640625" bestFit="1" customWidth="1"/>
    <col min="11" max="11" width="10.5" bestFit="1" customWidth="1"/>
    <col min="12" max="12" width="11.1640625" bestFit="1" customWidth="1"/>
    <col min="13" max="13" width="10.83203125" bestFit="1" customWidth="1"/>
    <col min="14" max="14" width="25" style="2" customWidth="1"/>
    <col min="15" max="15" width="25" style="5" customWidth="1"/>
    <col min="16" max="16" width="30.1640625" style="3" customWidth="1"/>
    <col min="17" max="17" width="30.1640625" style="4" customWidth="1"/>
    <col min="20" max="21" width="26.5" bestFit="1" customWidth="1"/>
    <col min="22" max="23" width="27.1640625" bestFit="1" customWidth="1"/>
    <col min="24" max="25" width="30.1640625" bestFit="1" customWidth="1"/>
    <col min="26" max="27" width="30.6640625" bestFit="1" customWidth="1"/>
    <col min="28" max="29" width="26.5" bestFit="1" customWidth="1"/>
    <col min="30" max="31" width="27.1640625" bestFit="1" customWidth="1"/>
    <col min="32" max="33" width="30.1640625" bestFit="1" customWidth="1"/>
    <col min="34" max="35" width="30.6640625" bestFit="1" customWidth="1"/>
    <col min="36" max="37" width="26.5" bestFit="1" customWidth="1"/>
    <col min="38" max="39" width="27.1640625" bestFit="1" customWidth="1"/>
    <col min="40" max="41" width="30.1640625" bestFit="1" customWidth="1"/>
    <col min="42" max="43" width="30.6640625" bestFit="1" customWidth="1"/>
    <col min="44" max="59" width="0" hidden="1" customWidth="1"/>
    <col min="60" max="60" width="31.33203125" bestFit="1" customWidth="1"/>
    <col min="61" max="61" width="31.83203125" bestFit="1" customWidth="1"/>
    <col min="62" max="62" width="34.83203125" bestFit="1" customWidth="1"/>
    <col min="63" max="63" width="35.5" bestFit="1" customWidth="1"/>
    <col min="64" max="66" width="0" hidden="1" customWidth="1"/>
    <col min="67" max="67" width="18" hidden="1" customWidth="1"/>
    <col min="68" max="68" width="13.6640625" hidden="1" customWidth="1"/>
    <col min="69" max="69" width="14.5" hidden="1" customWidth="1"/>
    <col min="70" max="81" width="0" hidden="1" customWidth="1"/>
  </cols>
  <sheetData>
    <row r="1" spans="1:81" x14ac:dyDescent="0.2">
      <c r="A1" t="s">
        <v>0</v>
      </c>
      <c r="B1" t="s">
        <v>118</v>
      </c>
      <c r="C1" t="s">
        <v>181</v>
      </c>
      <c r="D1" t="s">
        <v>182</v>
      </c>
      <c r="E1" t="s">
        <v>128</v>
      </c>
      <c r="F1" t="s">
        <v>173</v>
      </c>
      <c r="G1" t="s">
        <v>174</v>
      </c>
      <c r="H1" t="s">
        <v>175</v>
      </c>
      <c r="I1" t="s">
        <v>129</v>
      </c>
      <c r="J1" t="s">
        <v>44</v>
      </c>
      <c r="K1" t="s">
        <v>85</v>
      </c>
      <c r="L1" t="s">
        <v>46</v>
      </c>
      <c r="M1" t="s">
        <v>22</v>
      </c>
      <c r="N1" s="2" t="s">
        <v>34</v>
      </c>
      <c r="O1" s="5" t="s">
        <v>35</v>
      </c>
      <c r="P1" s="3" t="s">
        <v>29</v>
      </c>
      <c r="Q1" s="4" t="s">
        <v>33</v>
      </c>
      <c r="R1" t="s">
        <v>27</v>
      </c>
      <c r="S1" t="s">
        <v>148</v>
      </c>
      <c r="T1" s="2" t="s">
        <v>157</v>
      </c>
      <c r="U1" s="2" t="s">
        <v>158</v>
      </c>
      <c r="V1" s="6" t="s">
        <v>159</v>
      </c>
      <c r="W1" s="6" t="s">
        <v>160</v>
      </c>
      <c r="X1" s="3" t="s">
        <v>161</v>
      </c>
      <c r="Y1" s="3" t="s">
        <v>162</v>
      </c>
      <c r="Z1" s="10" t="s">
        <v>163</v>
      </c>
      <c r="AA1" s="10" t="s">
        <v>164</v>
      </c>
      <c r="AB1" s="2" t="s">
        <v>165</v>
      </c>
      <c r="AC1" s="2" t="s">
        <v>166</v>
      </c>
      <c r="AD1" s="6" t="s">
        <v>167</v>
      </c>
      <c r="AE1" s="6" t="s">
        <v>168</v>
      </c>
      <c r="AF1" s="3" t="s">
        <v>169</v>
      </c>
      <c r="AG1" s="3" t="s">
        <v>170</v>
      </c>
      <c r="AH1" s="10" t="s">
        <v>171</v>
      </c>
      <c r="AI1" s="10" t="s">
        <v>172</v>
      </c>
      <c r="AJ1" s="2" t="s">
        <v>149</v>
      </c>
      <c r="AK1" s="2" t="s">
        <v>150</v>
      </c>
      <c r="AL1" s="6" t="s">
        <v>151</v>
      </c>
      <c r="AM1" s="6" t="s">
        <v>152</v>
      </c>
      <c r="AN1" s="3" t="s">
        <v>153</v>
      </c>
      <c r="AO1" s="3" t="s">
        <v>154</v>
      </c>
      <c r="AP1" s="10" t="s">
        <v>155</v>
      </c>
      <c r="AQ1" s="10" t="s">
        <v>156</v>
      </c>
      <c r="AR1" t="s">
        <v>1</v>
      </c>
      <c r="AS1" t="s">
        <v>2</v>
      </c>
      <c r="AT1" t="s">
        <v>3</v>
      </c>
      <c r="AU1" t="s">
        <v>4</v>
      </c>
      <c r="AV1" t="s">
        <v>5</v>
      </c>
      <c r="AW1" t="s">
        <v>6</v>
      </c>
      <c r="AX1" t="s">
        <v>7</v>
      </c>
      <c r="AY1" t="s">
        <v>8</v>
      </c>
      <c r="AZ1" t="s">
        <v>9</v>
      </c>
      <c r="BA1" t="s">
        <v>10</v>
      </c>
      <c r="BB1" t="s">
        <v>11</v>
      </c>
      <c r="BC1" t="s">
        <v>12</v>
      </c>
      <c r="BD1" t="s">
        <v>13</v>
      </c>
      <c r="BE1" t="s">
        <v>14</v>
      </c>
      <c r="BF1" t="s">
        <v>15</v>
      </c>
      <c r="BG1" t="s">
        <v>16</v>
      </c>
      <c r="BH1" s="2" t="s">
        <v>176</v>
      </c>
      <c r="BI1" s="6" t="s">
        <v>177</v>
      </c>
      <c r="BJ1" s="3" t="s">
        <v>178</v>
      </c>
      <c r="BK1" s="10" t="s">
        <v>179</v>
      </c>
      <c r="BL1" s="2" t="s">
        <v>65</v>
      </c>
      <c r="BM1" s="2" t="s">
        <v>66</v>
      </c>
      <c r="BN1" s="6" t="s">
        <v>67</v>
      </c>
      <c r="BO1" s="6" t="s">
        <v>68</v>
      </c>
      <c r="BP1" s="3" t="s">
        <v>69</v>
      </c>
      <c r="BQ1" s="3" t="s">
        <v>70</v>
      </c>
      <c r="BR1" s="3" t="s">
        <v>71</v>
      </c>
      <c r="BS1" s="3" t="s">
        <v>72</v>
      </c>
      <c r="BT1" s="4" t="s">
        <v>73</v>
      </c>
      <c r="BU1" s="4" t="s">
        <v>74</v>
      </c>
      <c r="BV1" s="4" t="s">
        <v>75</v>
      </c>
      <c r="BW1" s="4" t="s">
        <v>76</v>
      </c>
      <c r="BX1" s="10" t="s">
        <v>77</v>
      </c>
      <c r="BY1" s="10" t="s">
        <v>78</v>
      </c>
      <c r="BZ1" s="10" t="s">
        <v>79</v>
      </c>
      <c r="CA1" s="10" t="s">
        <v>80</v>
      </c>
      <c r="CB1" s="2" t="s">
        <v>81</v>
      </c>
      <c r="CC1" s="6" t="s">
        <v>82</v>
      </c>
    </row>
    <row r="2" spans="1:81" x14ac:dyDescent="0.2">
      <c r="A2">
        <v>1</v>
      </c>
      <c r="B2">
        <f ca="1">RANDBETWEEN(18,25)</f>
        <v>20</v>
      </c>
      <c r="C2">
        <f ca="1">RANDBETWEEN(1,4)</f>
        <v>1</v>
      </c>
      <c r="D2">
        <f ca="1">RANDBETWEEN(1,4)</f>
        <v>3</v>
      </c>
      <c r="E2" t="s">
        <v>180</v>
      </c>
      <c r="F2">
        <f ca="1">RANDBETWEEN(0,1)</f>
        <v>1</v>
      </c>
      <c r="G2">
        <f ca="1">RANDBETWEEN(0,1)</f>
        <v>0</v>
      </c>
      <c r="H2">
        <f ca="1">RANDBETWEEN(0,1)</f>
        <v>0</v>
      </c>
      <c r="I2" s="14">
        <f ca="1">ROUND(RAND(),0)</f>
        <v>1</v>
      </c>
      <c r="J2" t="s">
        <v>18</v>
      </c>
      <c r="K2">
        <f>IF(J2 = "Concentration", 1, 0)</f>
        <v>1</v>
      </c>
      <c r="L2">
        <v>1</v>
      </c>
      <c r="M2" s="15" t="s">
        <v>23</v>
      </c>
      <c r="N2" s="12" t="s">
        <v>28</v>
      </c>
      <c r="O2" s="13" t="s">
        <v>28</v>
      </c>
      <c r="P2" s="16" t="s">
        <v>30</v>
      </c>
      <c r="Q2" s="4" t="s">
        <v>86</v>
      </c>
      <c r="R2" t="s">
        <v>20</v>
      </c>
      <c r="S2">
        <v>0</v>
      </c>
      <c r="T2">
        <f ca="1">RANDBETWEEN(0,1)</f>
        <v>0</v>
      </c>
      <c r="U2">
        <f t="shared" ref="T2:AA17" ca="1" si="0">RANDBETWEEN(0,1)</f>
        <v>1</v>
      </c>
      <c r="V2">
        <f t="shared" ca="1" si="0"/>
        <v>0</v>
      </c>
      <c r="W2">
        <f t="shared" ca="1" si="0"/>
        <v>1</v>
      </c>
      <c r="X2">
        <f t="shared" ca="1" si="0"/>
        <v>1</v>
      </c>
      <c r="Y2">
        <f t="shared" ca="1" si="0"/>
        <v>1</v>
      </c>
      <c r="Z2">
        <f t="shared" ca="1" si="0"/>
        <v>0</v>
      </c>
      <c r="AA2">
        <f t="shared" ca="1" si="0"/>
        <v>1</v>
      </c>
      <c r="AB2">
        <f t="shared" ref="AB2:AQ17" ca="1" si="1">RANDBETWEEN(0,1)</f>
        <v>1</v>
      </c>
      <c r="AC2">
        <f t="shared" ca="1" si="1"/>
        <v>0</v>
      </c>
      <c r="AD2">
        <f t="shared" ca="1" si="1"/>
        <v>1</v>
      </c>
      <c r="AE2">
        <f t="shared" ca="1" si="1"/>
        <v>1</v>
      </c>
      <c r="AF2">
        <f t="shared" ca="1" si="1"/>
        <v>0</v>
      </c>
      <c r="AG2">
        <f t="shared" ca="1" si="1"/>
        <v>0</v>
      </c>
      <c r="AH2">
        <f t="shared" ca="1" si="1"/>
        <v>1</v>
      </c>
      <c r="AI2">
        <f t="shared" ca="1" si="1"/>
        <v>1</v>
      </c>
      <c r="AJ2">
        <f ca="1">RANDBETWEEN(0,1)</f>
        <v>0</v>
      </c>
      <c r="AK2">
        <f t="shared" ref="AK2:AQ2" ca="1" si="2">RANDBETWEEN(0,1)</f>
        <v>0</v>
      </c>
      <c r="AL2">
        <f t="shared" ca="1" si="2"/>
        <v>0</v>
      </c>
      <c r="AM2">
        <f t="shared" ca="1" si="2"/>
        <v>0</v>
      </c>
      <c r="AN2">
        <f t="shared" ca="1" si="2"/>
        <v>1</v>
      </c>
      <c r="AO2">
        <f ca="1">RANDBETWEEN(0,1)</f>
        <v>1</v>
      </c>
      <c r="AP2">
        <f ca="1">RANDBETWEEN(0,1)</f>
        <v>0</v>
      </c>
      <c r="AQ2">
        <f t="shared" ca="1" si="2"/>
        <v>0</v>
      </c>
      <c r="AR2" t="s">
        <v>17</v>
      </c>
      <c r="AS2" t="s">
        <v>17</v>
      </c>
      <c r="AT2" t="s">
        <v>17</v>
      </c>
      <c r="AU2" t="s">
        <v>17</v>
      </c>
      <c r="AV2" t="s">
        <v>17</v>
      </c>
      <c r="AW2" t="s">
        <v>17</v>
      </c>
      <c r="AX2" t="s">
        <v>17</v>
      </c>
      <c r="AY2" t="s">
        <v>17</v>
      </c>
      <c r="AZ2" t="s">
        <v>17</v>
      </c>
      <c r="BA2" t="s">
        <v>17</v>
      </c>
      <c r="BB2" t="s">
        <v>17</v>
      </c>
      <c r="BC2" t="s">
        <v>17</v>
      </c>
      <c r="BD2" t="s">
        <v>17</v>
      </c>
      <c r="BE2" t="s">
        <v>17</v>
      </c>
      <c r="BF2" t="s">
        <v>17</v>
      </c>
      <c r="BG2" t="s">
        <v>17</v>
      </c>
      <c r="BH2" s="1">
        <f ca="1">AVERAGE(AJ2:AK2)</f>
        <v>0</v>
      </c>
      <c r="BI2" s="1">
        <f ca="1">AVERAGE(AL2:AM2)</f>
        <v>0</v>
      </c>
      <c r="BJ2" s="1">
        <f ca="1">AVERAGE(AN2:AO2)</f>
        <v>1</v>
      </c>
      <c r="BK2" s="1">
        <f ca="1">AVERAGE(AP2:AQ2)</f>
        <v>0</v>
      </c>
      <c r="BL2">
        <f t="shared" ref="BL2:BM33" ca="1" si="3">RANDBETWEEN(500, 10000)</f>
        <v>1190</v>
      </c>
      <c r="BM2">
        <f t="shared" ca="1" si="3"/>
        <v>6764</v>
      </c>
      <c r="BN2">
        <f t="shared" ref="BN2:BO33" ca="1" si="4">RANDBETWEEN(500, 3000)</f>
        <v>923</v>
      </c>
      <c r="BO2">
        <f t="shared" ca="1" si="4"/>
        <v>1994</v>
      </c>
      <c r="BP2">
        <f t="shared" ref="BP2:BQ33" ca="1" si="5">RANDBETWEEN(500, 10000)</f>
        <v>4689</v>
      </c>
      <c r="BQ2">
        <f t="shared" ca="1" si="5"/>
        <v>2051</v>
      </c>
      <c r="BR2">
        <f t="shared" ref="BR2:BS33" ca="1" si="6">RANDBETWEEN(500, 3000)</f>
        <v>2354</v>
      </c>
      <c r="BS2">
        <f t="shared" ca="1" si="6"/>
        <v>1225</v>
      </c>
      <c r="BT2">
        <f t="shared" ref="BT2:BW33" ca="1" si="7">RANDBETWEEN(500, 10000)</f>
        <v>7915</v>
      </c>
      <c r="BU2">
        <f t="shared" ca="1" si="7"/>
        <v>9212</v>
      </c>
      <c r="BV2">
        <f t="shared" ca="1" si="7"/>
        <v>8905</v>
      </c>
      <c r="BW2">
        <f t="shared" ca="1" si="7"/>
        <v>6678</v>
      </c>
      <c r="BX2">
        <f t="shared" ref="BX2:CA33" ca="1" si="8">RANDBETWEEN(500, 3000)</f>
        <v>2538</v>
      </c>
      <c r="BY2">
        <f t="shared" ca="1" si="8"/>
        <v>2088</v>
      </c>
      <c r="BZ2">
        <f t="shared" ca="1" si="8"/>
        <v>765</v>
      </c>
      <c r="CA2">
        <f t="shared" ca="1" si="8"/>
        <v>1267</v>
      </c>
      <c r="CB2" s="7">
        <f ca="1">AVERAGE(BL2:BM33,BP2:BQ33,BT2:BW33)</f>
        <v>5264.609375</v>
      </c>
      <c r="CC2" s="7">
        <f ca="1">AVERAGE(BN2:BO33,BR2:BS33,BX2:CA33)</f>
        <v>1831.828125</v>
      </c>
    </row>
    <row r="3" spans="1:81" x14ac:dyDescent="0.2">
      <c r="A3">
        <v>2</v>
      </c>
      <c r="B3">
        <f t="shared" ref="B3:B33" ca="1" si="9">RANDBETWEEN(18,25)</f>
        <v>21</v>
      </c>
      <c r="C3">
        <f t="shared" ref="C3:D33" ca="1" si="10">RANDBETWEEN(1,4)</f>
        <v>1</v>
      </c>
      <c r="D3">
        <f t="shared" ca="1" si="10"/>
        <v>4</v>
      </c>
      <c r="E3" t="s">
        <v>180</v>
      </c>
      <c r="F3">
        <f t="shared" ref="F3:H33" ca="1" si="11">RANDBETWEEN(0,1)</f>
        <v>1</v>
      </c>
      <c r="G3">
        <f t="shared" ca="1" si="11"/>
        <v>0</v>
      </c>
      <c r="H3">
        <f t="shared" ca="1" si="11"/>
        <v>0</v>
      </c>
      <c r="I3" s="14">
        <f t="shared" ref="I3:I33" ca="1" si="12">ROUND(RAND(),0)</f>
        <v>1</v>
      </c>
      <c r="J3" t="s">
        <v>19</v>
      </c>
      <c r="K3">
        <f t="shared" ref="K3:K33" si="13">IF(J3 = "Concentration", 1, 0)</f>
        <v>0</v>
      </c>
      <c r="L3">
        <v>1</v>
      </c>
      <c r="M3" s="15" t="s">
        <v>23</v>
      </c>
      <c r="N3" s="12" t="s">
        <v>28</v>
      </c>
      <c r="O3" s="13" t="s">
        <v>28</v>
      </c>
      <c r="P3" s="16" t="s">
        <v>30</v>
      </c>
      <c r="Q3" s="4" t="s">
        <v>86</v>
      </c>
      <c r="R3" t="s">
        <v>20</v>
      </c>
      <c r="S3">
        <v>0</v>
      </c>
      <c r="T3">
        <f t="shared" ca="1" si="0"/>
        <v>0</v>
      </c>
      <c r="U3">
        <f t="shared" ca="1" si="0"/>
        <v>0</v>
      </c>
      <c r="V3">
        <f t="shared" ca="1" si="0"/>
        <v>0</v>
      </c>
      <c r="W3">
        <f t="shared" ca="1" si="0"/>
        <v>1</v>
      </c>
      <c r="X3">
        <f t="shared" ca="1" si="0"/>
        <v>1</v>
      </c>
      <c r="Y3">
        <f t="shared" ca="1" si="0"/>
        <v>0</v>
      </c>
      <c r="Z3">
        <f t="shared" ca="1" si="0"/>
        <v>1</v>
      </c>
      <c r="AA3">
        <f t="shared" ca="1" si="0"/>
        <v>0</v>
      </c>
      <c r="AB3">
        <f t="shared" ca="1" si="1"/>
        <v>1</v>
      </c>
      <c r="AC3">
        <f t="shared" ca="1" si="1"/>
        <v>0</v>
      </c>
      <c r="AD3">
        <f t="shared" ca="1" si="1"/>
        <v>1</v>
      </c>
      <c r="AE3">
        <f t="shared" ca="1" si="1"/>
        <v>1</v>
      </c>
      <c r="AF3">
        <f t="shared" ca="1" si="1"/>
        <v>1</v>
      </c>
      <c r="AG3">
        <f t="shared" ca="1" si="1"/>
        <v>1</v>
      </c>
      <c r="AH3">
        <f t="shared" ca="1" si="1"/>
        <v>0</v>
      </c>
      <c r="AI3">
        <f t="shared" ca="1" si="1"/>
        <v>1</v>
      </c>
      <c r="AJ3">
        <f t="shared" ca="1" si="1"/>
        <v>0</v>
      </c>
      <c r="AK3">
        <f t="shared" ca="1" si="1"/>
        <v>0</v>
      </c>
      <c r="AL3">
        <f t="shared" ca="1" si="1"/>
        <v>1</v>
      </c>
      <c r="AM3">
        <f t="shared" ca="1" si="1"/>
        <v>0</v>
      </c>
      <c r="AN3">
        <f t="shared" ca="1" si="1"/>
        <v>1</v>
      </c>
      <c r="AO3">
        <f t="shared" ca="1" si="1"/>
        <v>0</v>
      </c>
      <c r="AP3">
        <f t="shared" ca="1" si="1"/>
        <v>1</v>
      </c>
      <c r="AQ3">
        <f t="shared" ca="1" si="1"/>
        <v>1</v>
      </c>
      <c r="AR3" t="s">
        <v>17</v>
      </c>
      <c r="AS3" t="s">
        <v>17</v>
      </c>
      <c r="AT3" t="s">
        <v>17</v>
      </c>
      <c r="AU3" t="s">
        <v>17</v>
      </c>
      <c r="AV3" t="s">
        <v>17</v>
      </c>
      <c r="AW3" t="s">
        <v>17</v>
      </c>
      <c r="AX3" t="s">
        <v>17</v>
      </c>
      <c r="AY3" t="s">
        <v>17</v>
      </c>
      <c r="AZ3" t="s">
        <v>17</v>
      </c>
      <c r="BA3" t="s">
        <v>17</v>
      </c>
      <c r="BB3" t="s">
        <v>17</v>
      </c>
      <c r="BC3" t="s">
        <v>17</v>
      </c>
      <c r="BD3" t="s">
        <v>17</v>
      </c>
      <c r="BE3" t="s">
        <v>17</v>
      </c>
      <c r="BF3" t="s">
        <v>17</v>
      </c>
      <c r="BG3" t="s">
        <v>17</v>
      </c>
      <c r="BH3" s="1">
        <f t="shared" ref="BH2:BH33" ca="1" si="14">AVERAGE(AJ3:AK3)</f>
        <v>0</v>
      </c>
      <c r="BI3" s="1">
        <f t="shared" ref="BI3:BI33" ca="1" si="15">AVERAGE(AL3:AM3)</f>
        <v>0.5</v>
      </c>
      <c r="BJ3" s="1">
        <f t="shared" ref="BJ3:BJ33" ca="1" si="16">AVERAGE(AN3:AO3)</f>
        <v>0.5</v>
      </c>
      <c r="BK3" s="1">
        <f t="shared" ref="BK3:BK33" ca="1" si="17">AVERAGE(AP3:AQ3)</f>
        <v>1</v>
      </c>
      <c r="BL3">
        <f t="shared" ca="1" si="3"/>
        <v>5100</v>
      </c>
      <c r="BM3">
        <f t="shared" ca="1" si="3"/>
        <v>2570</v>
      </c>
      <c r="BN3">
        <f t="shared" ca="1" si="4"/>
        <v>685</v>
      </c>
      <c r="BO3">
        <f t="shared" ca="1" si="4"/>
        <v>2486</v>
      </c>
      <c r="BP3">
        <f t="shared" ca="1" si="5"/>
        <v>2409</v>
      </c>
      <c r="BQ3">
        <f t="shared" ca="1" si="5"/>
        <v>8641</v>
      </c>
      <c r="BR3">
        <f t="shared" ca="1" si="6"/>
        <v>2924</v>
      </c>
      <c r="BS3">
        <f t="shared" ca="1" si="6"/>
        <v>1253</v>
      </c>
      <c r="BT3">
        <f t="shared" ca="1" si="7"/>
        <v>2197</v>
      </c>
      <c r="BU3">
        <f t="shared" ca="1" si="7"/>
        <v>3361</v>
      </c>
      <c r="BV3">
        <f t="shared" ca="1" si="7"/>
        <v>9762</v>
      </c>
      <c r="BW3">
        <f t="shared" ca="1" si="7"/>
        <v>5653</v>
      </c>
      <c r="BX3">
        <f t="shared" ca="1" si="8"/>
        <v>1041</v>
      </c>
      <c r="BY3">
        <f t="shared" ca="1" si="8"/>
        <v>1615</v>
      </c>
      <c r="BZ3">
        <f t="shared" ca="1" si="8"/>
        <v>2985</v>
      </c>
      <c r="CA3">
        <f t="shared" ca="1" si="8"/>
        <v>2745</v>
      </c>
      <c r="CB3" s="7">
        <f ca="1">AVERAGE(BL3:BM33,BP3:BQ33,BT3:BW33)</f>
        <v>5243.2903225806449</v>
      </c>
      <c r="CC3" s="7">
        <f ca="1">AVERAGE(BN3:BO33,BR3:BS33,BX3:CA33)</f>
        <v>1837.8790322580646</v>
      </c>
    </row>
    <row r="4" spans="1:81" x14ac:dyDescent="0.2">
      <c r="A4">
        <v>3</v>
      </c>
      <c r="B4">
        <f t="shared" ca="1" si="9"/>
        <v>24</v>
      </c>
      <c r="C4">
        <f t="shared" ca="1" si="10"/>
        <v>4</v>
      </c>
      <c r="D4">
        <f t="shared" ca="1" si="10"/>
        <v>2</v>
      </c>
      <c r="E4" t="s">
        <v>180</v>
      </c>
      <c r="F4">
        <f t="shared" ca="1" si="11"/>
        <v>0</v>
      </c>
      <c r="G4">
        <f t="shared" ca="1" si="11"/>
        <v>1</v>
      </c>
      <c r="H4">
        <f t="shared" ca="1" si="11"/>
        <v>1</v>
      </c>
      <c r="I4" s="14">
        <f t="shared" ca="1" si="12"/>
        <v>1</v>
      </c>
      <c r="J4" t="s">
        <v>18</v>
      </c>
      <c r="K4">
        <f t="shared" si="13"/>
        <v>1</v>
      </c>
      <c r="L4">
        <v>1</v>
      </c>
      <c r="M4" s="15" t="s">
        <v>23</v>
      </c>
      <c r="N4" s="12" t="s">
        <v>28</v>
      </c>
      <c r="O4" s="13" t="s">
        <v>28</v>
      </c>
      <c r="P4" s="16" t="s">
        <v>30</v>
      </c>
      <c r="Q4" s="4" t="s">
        <v>86</v>
      </c>
      <c r="R4" t="s">
        <v>20</v>
      </c>
      <c r="S4">
        <v>0</v>
      </c>
      <c r="T4">
        <f t="shared" ca="1" si="0"/>
        <v>0</v>
      </c>
      <c r="U4">
        <f t="shared" ca="1" si="0"/>
        <v>0</v>
      </c>
      <c r="V4">
        <f t="shared" ca="1" si="0"/>
        <v>1</v>
      </c>
      <c r="W4">
        <f t="shared" ca="1" si="0"/>
        <v>0</v>
      </c>
      <c r="X4">
        <f t="shared" ca="1" si="0"/>
        <v>0</v>
      </c>
      <c r="Y4">
        <f t="shared" ca="1" si="0"/>
        <v>1</v>
      </c>
      <c r="Z4">
        <f t="shared" ca="1" si="0"/>
        <v>0</v>
      </c>
      <c r="AA4">
        <f t="shared" ca="1" si="0"/>
        <v>0</v>
      </c>
      <c r="AB4">
        <f t="shared" ca="1" si="1"/>
        <v>0</v>
      </c>
      <c r="AC4">
        <f t="shared" ca="1" si="1"/>
        <v>0</v>
      </c>
      <c r="AD4">
        <f t="shared" ca="1" si="1"/>
        <v>1</v>
      </c>
      <c r="AE4">
        <f t="shared" ca="1" si="1"/>
        <v>0</v>
      </c>
      <c r="AF4">
        <f t="shared" ca="1" si="1"/>
        <v>1</v>
      </c>
      <c r="AG4">
        <f t="shared" ca="1" si="1"/>
        <v>0</v>
      </c>
      <c r="AH4">
        <f t="shared" ca="1" si="1"/>
        <v>0</v>
      </c>
      <c r="AI4">
        <f t="shared" ca="1" si="1"/>
        <v>0</v>
      </c>
      <c r="AJ4">
        <f t="shared" ca="1" si="1"/>
        <v>0</v>
      </c>
      <c r="AK4">
        <f t="shared" ca="1" si="1"/>
        <v>0</v>
      </c>
      <c r="AL4">
        <f t="shared" ca="1" si="1"/>
        <v>0</v>
      </c>
      <c r="AM4">
        <f t="shared" ca="1" si="1"/>
        <v>1</v>
      </c>
      <c r="AN4">
        <f t="shared" ca="1" si="1"/>
        <v>0</v>
      </c>
      <c r="AO4">
        <f t="shared" ca="1" si="1"/>
        <v>0</v>
      </c>
      <c r="AP4">
        <f t="shared" ca="1" si="1"/>
        <v>0</v>
      </c>
      <c r="AQ4">
        <f t="shared" ca="1" si="1"/>
        <v>1</v>
      </c>
      <c r="AR4" t="s">
        <v>17</v>
      </c>
      <c r="AS4" t="s">
        <v>17</v>
      </c>
      <c r="AT4" t="s">
        <v>17</v>
      </c>
      <c r="AU4" t="s">
        <v>17</v>
      </c>
      <c r="AV4" t="s">
        <v>17</v>
      </c>
      <c r="AW4" t="s">
        <v>17</v>
      </c>
      <c r="AX4" t="s">
        <v>17</v>
      </c>
      <c r="AY4" t="s">
        <v>17</v>
      </c>
      <c r="AZ4" t="s">
        <v>17</v>
      </c>
      <c r="BA4" t="s">
        <v>17</v>
      </c>
      <c r="BB4" t="s">
        <v>17</v>
      </c>
      <c r="BC4" t="s">
        <v>17</v>
      </c>
      <c r="BD4" t="s">
        <v>17</v>
      </c>
      <c r="BE4" t="s">
        <v>17</v>
      </c>
      <c r="BF4" t="s">
        <v>17</v>
      </c>
      <c r="BG4" t="s">
        <v>17</v>
      </c>
      <c r="BH4" s="1">
        <f t="shared" ca="1" si="14"/>
        <v>0</v>
      </c>
      <c r="BI4" s="1">
        <f t="shared" ca="1" si="15"/>
        <v>0.5</v>
      </c>
      <c r="BJ4" s="1">
        <f t="shared" ca="1" si="16"/>
        <v>0</v>
      </c>
      <c r="BK4" s="1">
        <f t="shared" ca="1" si="17"/>
        <v>0.5</v>
      </c>
      <c r="BL4">
        <f t="shared" ca="1" si="3"/>
        <v>1986</v>
      </c>
      <c r="BM4">
        <f t="shared" ca="1" si="3"/>
        <v>2250</v>
      </c>
      <c r="BN4">
        <f t="shared" ca="1" si="4"/>
        <v>546</v>
      </c>
      <c r="BO4">
        <f t="shared" ca="1" si="4"/>
        <v>2574</v>
      </c>
      <c r="BP4">
        <f t="shared" ca="1" si="5"/>
        <v>4269</v>
      </c>
      <c r="BQ4">
        <f t="shared" ca="1" si="5"/>
        <v>8922</v>
      </c>
      <c r="BR4">
        <f t="shared" ca="1" si="6"/>
        <v>2260</v>
      </c>
      <c r="BS4">
        <f t="shared" ca="1" si="6"/>
        <v>1993</v>
      </c>
      <c r="BT4">
        <f t="shared" ca="1" si="7"/>
        <v>6171</v>
      </c>
      <c r="BU4">
        <f t="shared" ca="1" si="7"/>
        <v>5297</v>
      </c>
      <c r="BV4">
        <f t="shared" ca="1" si="7"/>
        <v>882</v>
      </c>
      <c r="BW4">
        <f t="shared" ca="1" si="7"/>
        <v>1383</v>
      </c>
      <c r="BX4">
        <f t="shared" ca="1" si="8"/>
        <v>2724</v>
      </c>
      <c r="BY4">
        <f t="shared" ca="1" si="8"/>
        <v>688</v>
      </c>
      <c r="BZ4">
        <f t="shared" ca="1" si="8"/>
        <v>1876</v>
      </c>
      <c r="CA4">
        <f t="shared" ca="1" si="8"/>
        <v>1314</v>
      </c>
      <c r="CB4" s="7">
        <f ca="1">AVERAGE(BL4:BM33,BP4:BQ33,BT4:BW33)</f>
        <v>5252.6791666666668</v>
      </c>
      <c r="CC4" s="7">
        <f ca="1">AVERAGE(BN4:BO33,BR4:BS33,BX4:CA33)</f>
        <v>1833.5833333333333</v>
      </c>
    </row>
    <row r="5" spans="1:81" x14ac:dyDescent="0.2">
      <c r="A5">
        <v>4</v>
      </c>
      <c r="B5">
        <f t="shared" ca="1" si="9"/>
        <v>18</v>
      </c>
      <c r="C5">
        <f t="shared" ca="1" si="10"/>
        <v>3</v>
      </c>
      <c r="D5">
        <f t="shared" ca="1" si="10"/>
        <v>2</v>
      </c>
      <c r="E5" t="s">
        <v>180</v>
      </c>
      <c r="F5">
        <f t="shared" ca="1" si="11"/>
        <v>1</v>
      </c>
      <c r="G5">
        <f t="shared" ca="1" si="11"/>
        <v>0</v>
      </c>
      <c r="H5">
        <f t="shared" ca="1" si="11"/>
        <v>1</v>
      </c>
      <c r="I5" s="14">
        <f t="shared" ca="1" si="12"/>
        <v>1</v>
      </c>
      <c r="J5" t="s">
        <v>19</v>
      </c>
      <c r="K5">
        <f t="shared" si="13"/>
        <v>0</v>
      </c>
      <c r="L5">
        <v>1</v>
      </c>
      <c r="M5" s="15" t="s">
        <v>23</v>
      </c>
      <c r="N5" s="12" t="s">
        <v>28</v>
      </c>
      <c r="O5" s="13" t="s">
        <v>28</v>
      </c>
      <c r="P5" s="16" t="s">
        <v>30</v>
      </c>
      <c r="Q5" s="4" t="s">
        <v>86</v>
      </c>
      <c r="R5" t="s">
        <v>20</v>
      </c>
      <c r="S5">
        <v>0</v>
      </c>
      <c r="T5">
        <f t="shared" ca="1" si="0"/>
        <v>1</v>
      </c>
      <c r="U5">
        <f t="shared" ca="1" si="0"/>
        <v>1</v>
      </c>
      <c r="V5">
        <f t="shared" ca="1" si="0"/>
        <v>1</v>
      </c>
      <c r="W5">
        <f t="shared" ca="1" si="0"/>
        <v>1</v>
      </c>
      <c r="X5">
        <f t="shared" ca="1" si="0"/>
        <v>0</v>
      </c>
      <c r="Y5">
        <f t="shared" ca="1" si="0"/>
        <v>0</v>
      </c>
      <c r="Z5">
        <f t="shared" ca="1" si="0"/>
        <v>1</v>
      </c>
      <c r="AA5">
        <f t="shared" ca="1" si="0"/>
        <v>1</v>
      </c>
      <c r="AB5">
        <f t="shared" ca="1" si="1"/>
        <v>0</v>
      </c>
      <c r="AC5">
        <f t="shared" ca="1" si="1"/>
        <v>0</v>
      </c>
      <c r="AD5">
        <f t="shared" ca="1" si="1"/>
        <v>1</v>
      </c>
      <c r="AE5">
        <f t="shared" ca="1" si="1"/>
        <v>0</v>
      </c>
      <c r="AF5">
        <f t="shared" ca="1" si="1"/>
        <v>0</v>
      </c>
      <c r="AG5">
        <f t="shared" ca="1" si="1"/>
        <v>0</v>
      </c>
      <c r="AH5">
        <f t="shared" ca="1" si="1"/>
        <v>1</v>
      </c>
      <c r="AI5">
        <f t="shared" ca="1" si="1"/>
        <v>0</v>
      </c>
      <c r="AJ5">
        <f t="shared" ca="1" si="1"/>
        <v>1</v>
      </c>
      <c r="AK5">
        <f t="shared" ca="1" si="1"/>
        <v>0</v>
      </c>
      <c r="AL5">
        <f t="shared" ca="1" si="1"/>
        <v>1</v>
      </c>
      <c r="AM5">
        <f t="shared" ca="1" si="1"/>
        <v>1</v>
      </c>
      <c r="AN5">
        <f t="shared" ca="1" si="1"/>
        <v>0</v>
      </c>
      <c r="AO5">
        <f t="shared" ca="1" si="1"/>
        <v>1</v>
      </c>
      <c r="AP5">
        <f t="shared" ca="1" si="1"/>
        <v>0</v>
      </c>
      <c r="AQ5">
        <f t="shared" ca="1" si="1"/>
        <v>1</v>
      </c>
      <c r="AR5" t="s">
        <v>17</v>
      </c>
      <c r="AS5" t="s">
        <v>17</v>
      </c>
      <c r="AT5" t="s">
        <v>17</v>
      </c>
      <c r="AU5" t="s">
        <v>17</v>
      </c>
      <c r="AV5" t="s">
        <v>17</v>
      </c>
      <c r="AW5" t="s">
        <v>17</v>
      </c>
      <c r="AX5" t="s">
        <v>17</v>
      </c>
      <c r="AY5" t="s">
        <v>17</v>
      </c>
      <c r="AZ5" t="s">
        <v>17</v>
      </c>
      <c r="BA5" t="s">
        <v>17</v>
      </c>
      <c r="BB5" t="s">
        <v>17</v>
      </c>
      <c r="BC5" t="s">
        <v>17</v>
      </c>
      <c r="BD5" t="s">
        <v>17</v>
      </c>
      <c r="BE5" t="s">
        <v>17</v>
      </c>
      <c r="BF5" t="s">
        <v>17</v>
      </c>
      <c r="BG5" t="s">
        <v>17</v>
      </c>
      <c r="BH5" s="1">
        <f t="shared" ca="1" si="14"/>
        <v>0.5</v>
      </c>
      <c r="BI5" s="1">
        <f t="shared" ca="1" si="15"/>
        <v>1</v>
      </c>
      <c r="BJ5" s="1">
        <f t="shared" ca="1" si="16"/>
        <v>0.5</v>
      </c>
      <c r="BK5" s="1">
        <f t="shared" ca="1" si="17"/>
        <v>0.5</v>
      </c>
      <c r="BL5">
        <f t="shared" ca="1" si="3"/>
        <v>9732</v>
      </c>
      <c r="BM5">
        <f t="shared" ca="1" si="3"/>
        <v>3363</v>
      </c>
      <c r="BN5">
        <f t="shared" ca="1" si="4"/>
        <v>1899</v>
      </c>
      <c r="BO5">
        <f t="shared" ca="1" si="4"/>
        <v>1574</v>
      </c>
      <c r="BP5">
        <f t="shared" ca="1" si="5"/>
        <v>8759</v>
      </c>
      <c r="BQ5">
        <f t="shared" ca="1" si="5"/>
        <v>9108</v>
      </c>
      <c r="BR5">
        <f t="shared" ca="1" si="6"/>
        <v>2199</v>
      </c>
      <c r="BS5">
        <f t="shared" ca="1" si="6"/>
        <v>2844</v>
      </c>
      <c r="BT5">
        <f t="shared" ca="1" si="7"/>
        <v>3620</v>
      </c>
      <c r="BU5">
        <f t="shared" ca="1" si="7"/>
        <v>2635</v>
      </c>
      <c r="BV5">
        <f t="shared" ca="1" si="7"/>
        <v>3245</v>
      </c>
      <c r="BW5">
        <f t="shared" ca="1" si="7"/>
        <v>2481</v>
      </c>
      <c r="BX5">
        <f t="shared" ca="1" si="8"/>
        <v>2932</v>
      </c>
      <c r="BY5">
        <f t="shared" ca="1" si="8"/>
        <v>1011</v>
      </c>
      <c r="BZ5">
        <f t="shared" ca="1" si="8"/>
        <v>2536</v>
      </c>
      <c r="CA5">
        <f t="shared" ca="1" si="8"/>
        <v>700</v>
      </c>
      <c r="CB5" s="7">
        <f ca="1">AVERAGE(BL5:BM33,BP5:BQ33,BT5:BW33)</f>
        <v>5299.4956896551721</v>
      </c>
      <c r="CC5" s="7">
        <f ca="1">AVERAGE(BN5:BO33,BR5:BS33,BX5:CA33)</f>
        <v>1836.5732758620691</v>
      </c>
    </row>
    <row r="6" spans="1:81" x14ac:dyDescent="0.2">
      <c r="A6">
        <v>5</v>
      </c>
      <c r="B6">
        <f t="shared" ca="1" si="9"/>
        <v>19</v>
      </c>
      <c r="C6">
        <f t="shared" ca="1" si="10"/>
        <v>2</v>
      </c>
      <c r="D6">
        <f t="shared" ca="1" si="10"/>
        <v>1</v>
      </c>
      <c r="E6" t="s">
        <v>180</v>
      </c>
      <c r="F6">
        <f t="shared" ca="1" si="11"/>
        <v>1</v>
      </c>
      <c r="G6">
        <f t="shared" ca="1" si="11"/>
        <v>0</v>
      </c>
      <c r="H6">
        <f t="shared" ca="1" si="11"/>
        <v>1</v>
      </c>
      <c r="I6" s="14">
        <f t="shared" ca="1" si="12"/>
        <v>1</v>
      </c>
      <c r="J6" t="s">
        <v>18</v>
      </c>
      <c r="K6">
        <f t="shared" si="13"/>
        <v>1</v>
      </c>
      <c r="L6">
        <v>2</v>
      </c>
      <c r="M6" s="15" t="s">
        <v>24</v>
      </c>
      <c r="N6" s="12" t="s">
        <v>30</v>
      </c>
      <c r="O6" s="13" t="s">
        <v>30</v>
      </c>
      <c r="P6" s="16" t="s">
        <v>28</v>
      </c>
      <c r="Q6" s="4" t="s">
        <v>86</v>
      </c>
      <c r="R6" t="s">
        <v>20</v>
      </c>
      <c r="S6">
        <v>0</v>
      </c>
      <c r="T6">
        <f t="shared" ca="1" si="0"/>
        <v>1</v>
      </c>
      <c r="U6">
        <f t="shared" ca="1" si="0"/>
        <v>1</v>
      </c>
      <c r="V6">
        <f t="shared" ca="1" si="0"/>
        <v>1</v>
      </c>
      <c r="W6">
        <f t="shared" ca="1" si="0"/>
        <v>1</v>
      </c>
      <c r="X6">
        <f t="shared" ca="1" si="0"/>
        <v>1</v>
      </c>
      <c r="Y6">
        <f t="shared" ca="1" si="0"/>
        <v>0</v>
      </c>
      <c r="Z6">
        <f t="shared" ca="1" si="0"/>
        <v>1</v>
      </c>
      <c r="AA6">
        <f t="shared" ca="1" si="0"/>
        <v>1</v>
      </c>
      <c r="AB6">
        <f t="shared" ca="1" si="1"/>
        <v>0</v>
      </c>
      <c r="AC6">
        <f t="shared" ca="1" si="1"/>
        <v>0</v>
      </c>
      <c r="AD6">
        <f t="shared" ca="1" si="1"/>
        <v>0</v>
      </c>
      <c r="AE6">
        <f t="shared" ca="1" si="1"/>
        <v>1</v>
      </c>
      <c r="AF6">
        <f t="shared" ca="1" si="1"/>
        <v>1</v>
      </c>
      <c r="AG6">
        <f t="shared" ca="1" si="1"/>
        <v>0</v>
      </c>
      <c r="AH6">
        <f t="shared" ca="1" si="1"/>
        <v>1</v>
      </c>
      <c r="AI6">
        <f t="shared" ca="1" si="1"/>
        <v>0</v>
      </c>
      <c r="AJ6">
        <f t="shared" ca="1" si="1"/>
        <v>0</v>
      </c>
      <c r="AK6">
        <f t="shared" ca="1" si="1"/>
        <v>0</v>
      </c>
      <c r="AL6">
        <f t="shared" ca="1" si="1"/>
        <v>1</v>
      </c>
      <c r="AM6">
        <f t="shared" ca="1" si="1"/>
        <v>1</v>
      </c>
      <c r="AN6">
        <f t="shared" ca="1" si="1"/>
        <v>0</v>
      </c>
      <c r="AO6">
        <f t="shared" ca="1" si="1"/>
        <v>0</v>
      </c>
      <c r="AP6">
        <f t="shared" ca="1" si="1"/>
        <v>1</v>
      </c>
      <c r="AQ6">
        <f t="shared" ca="1" si="1"/>
        <v>1</v>
      </c>
      <c r="AR6" t="s">
        <v>17</v>
      </c>
      <c r="AS6" t="s">
        <v>17</v>
      </c>
      <c r="AT6" t="s">
        <v>17</v>
      </c>
      <c r="AU6" t="s">
        <v>17</v>
      </c>
      <c r="AV6" t="s">
        <v>17</v>
      </c>
      <c r="AW6" t="s">
        <v>17</v>
      </c>
      <c r="AX6" t="s">
        <v>17</v>
      </c>
      <c r="AY6" t="s">
        <v>17</v>
      </c>
      <c r="AZ6" t="s">
        <v>17</v>
      </c>
      <c r="BA6" t="s">
        <v>17</v>
      </c>
      <c r="BB6" t="s">
        <v>17</v>
      </c>
      <c r="BC6" t="s">
        <v>17</v>
      </c>
      <c r="BD6" t="s">
        <v>17</v>
      </c>
      <c r="BE6" t="s">
        <v>17</v>
      </c>
      <c r="BF6" t="s">
        <v>17</v>
      </c>
      <c r="BG6" t="s">
        <v>17</v>
      </c>
      <c r="BH6" s="1">
        <f t="shared" ca="1" si="14"/>
        <v>0</v>
      </c>
      <c r="BI6" s="1">
        <f t="shared" ca="1" si="15"/>
        <v>1</v>
      </c>
      <c r="BJ6" s="1">
        <f t="shared" ca="1" si="16"/>
        <v>0</v>
      </c>
      <c r="BK6" s="1">
        <f t="shared" ca="1" si="17"/>
        <v>1</v>
      </c>
      <c r="BL6">
        <f t="shared" ca="1" si="3"/>
        <v>2440</v>
      </c>
      <c r="BM6">
        <f t="shared" ca="1" si="3"/>
        <v>996</v>
      </c>
      <c r="BN6">
        <f t="shared" ca="1" si="4"/>
        <v>899</v>
      </c>
      <c r="BO6">
        <f t="shared" ca="1" si="4"/>
        <v>2751</v>
      </c>
      <c r="BP6">
        <f t="shared" ca="1" si="5"/>
        <v>4787</v>
      </c>
      <c r="BQ6">
        <f t="shared" ca="1" si="5"/>
        <v>3271</v>
      </c>
      <c r="BR6">
        <f t="shared" ca="1" si="6"/>
        <v>2157</v>
      </c>
      <c r="BS6">
        <f t="shared" ca="1" si="6"/>
        <v>2028</v>
      </c>
      <c r="BT6">
        <f t="shared" ca="1" si="7"/>
        <v>6271</v>
      </c>
      <c r="BU6">
        <f t="shared" ca="1" si="7"/>
        <v>9247</v>
      </c>
      <c r="BV6">
        <f t="shared" ca="1" si="7"/>
        <v>6694</v>
      </c>
      <c r="BW6">
        <f t="shared" ca="1" si="7"/>
        <v>8079</v>
      </c>
      <c r="BX6">
        <f t="shared" ca="1" si="8"/>
        <v>2020</v>
      </c>
      <c r="BY6">
        <f t="shared" ca="1" si="8"/>
        <v>2136</v>
      </c>
      <c r="BZ6">
        <f t="shared" ca="1" si="8"/>
        <v>2609</v>
      </c>
      <c r="CA6">
        <f t="shared" ca="1" si="8"/>
        <v>1926</v>
      </c>
      <c r="CB6" s="7">
        <f ca="1">AVERAGE(BL6:BM33,BP6:BQ33,BT6:BW33)</f>
        <v>5297.0535714285716</v>
      </c>
      <c r="CC6" s="7">
        <f ca="1">AVERAGE(BN6:BO33,BR6:BS33,BX6:CA33)</f>
        <v>1832.0982142857142</v>
      </c>
    </row>
    <row r="7" spans="1:81" x14ac:dyDescent="0.2">
      <c r="A7">
        <v>6</v>
      </c>
      <c r="B7">
        <f t="shared" ca="1" si="9"/>
        <v>19</v>
      </c>
      <c r="C7">
        <f t="shared" ca="1" si="10"/>
        <v>1</v>
      </c>
      <c r="D7">
        <f t="shared" ca="1" si="10"/>
        <v>3</v>
      </c>
      <c r="E7" t="s">
        <v>180</v>
      </c>
      <c r="F7">
        <f t="shared" ca="1" si="11"/>
        <v>0</v>
      </c>
      <c r="G7">
        <f t="shared" ca="1" si="11"/>
        <v>1</v>
      </c>
      <c r="H7">
        <f t="shared" ca="1" si="11"/>
        <v>0</v>
      </c>
      <c r="I7" s="14">
        <f t="shared" ca="1" si="12"/>
        <v>1</v>
      </c>
      <c r="J7" t="s">
        <v>19</v>
      </c>
      <c r="K7">
        <f t="shared" si="13"/>
        <v>0</v>
      </c>
      <c r="L7">
        <v>2</v>
      </c>
      <c r="M7" s="15" t="s">
        <v>24</v>
      </c>
      <c r="N7" s="12" t="s">
        <v>30</v>
      </c>
      <c r="O7" s="13" t="s">
        <v>30</v>
      </c>
      <c r="P7" s="16" t="s">
        <v>28</v>
      </c>
      <c r="Q7" s="4" t="s">
        <v>86</v>
      </c>
      <c r="R7" t="s">
        <v>20</v>
      </c>
      <c r="S7">
        <v>0</v>
      </c>
      <c r="T7">
        <f t="shared" ca="1" si="0"/>
        <v>1</v>
      </c>
      <c r="U7">
        <f t="shared" ca="1" si="0"/>
        <v>0</v>
      </c>
      <c r="V7">
        <f t="shared" ca="1" si="0"/>
        <v>1</v>
      </c>
      <c r="W7">
        <f t="shared" ca="1" si="0"/>
        <v>1</v>
      </c>
      <c r="X7">
        <f t="shared" ca="1" si="0"/>
        <v>1</v>
      </c>
      <c r="Y7">
        <f t="shared" ca="1" si="0"/>
        <v>0</v>
      </c>
      <c r="Z7">
        <f t="shared" ca="1" si="0"/>
        <v>0</v>
      </c>
      <c r="AA7">
        <f t="shared" ca="1" si="0"/>
        <v>1</v>
      </c>
      <c r="AB7">
        <f t="shared" ca="1" si="1"/>
        <v>0</v>
      </c>
      <c r="AC7">
        <f t="shared" ca="1" si="1"/>
        <v>1</v>
      </c>
      <c r="AD7">
        <f t="shared" ca="1" si="1"/>
        <v>1</v>
      </c>
      <c r="AE7">
        <f t="shared" ca="1" si="1"/>
        <v>0</v>
      </c>
      <c r="AF7">
        <f t="shared" ca="1" si="1"/>
        <v>0</v>
      </c>
      <c r="AG7">
        <f t="shared" ca="1" si="1"/>
        <v>1</v>
      </c>
      <c r="AH7">
        <f t="shared" ca="1" si="1"/>
        <v>1</v>
      </c>
      <c r="AI7">
        <f t="shared" ca="1" si="1"/>
        <v>0</v>
      </c>
      <c r="AJ7">
        <f t="shared" ca="1" si="1"/>
        <v>1</v>
      </c>
      <c r="AK7">
        <f t="shared" ca="1" si="1"/>
        <v>1</v>
      </c>
      <c r="AL7">
        <f t="shared" ca="1" si="1"/>
        <v>1</v>
      </c>
      <c r="AM7">
        <f t="shared" ca="1" si="1"/>
        <v>0</v>
      </c>
      <c r="AN7">
        <f t="shared" ca="1" si="1"/>
        <v>0</v>
      </c>
      <c r="AO7">
        <f t="shared" ca="1" si="1"/>
        <v>0</v>
      </c>
      <c r="AP7">
        <f t="shared" ca="1" si="1"/>
        <v>1</v>
      </c>
      <c r="AQ7">
        <f t="shared" ca="1" si="1"/>
        <v>1</v>
      </c>
      <c r="AR7" t="s">
        <v>17</v>
      </c>
      <c r="AS7" t="s">
        <v>17</v>
      </c>
      <c r="AT7" t="s">
        <v>17</v>
      </c>
      <c r="AU7" t="s">
        <v>17</v>
      </c>
      <c r="AV7" t="s">
        <v>17</v>
      </c>
      <c r="AW7" t="s">
        <v>17</v>
      </c>
      <c r="AX7" t="s">
        <v>17</v>
      </c>
      <c r="AY7" t="s">
        <v>17</v>
      </c>
      <c r="AZ7" t="s">
        <v>17</v>
      </c>
      <c r="BA7" t="s">
        <v>17</v>
      </c>
      <c r="BB7" t="s">
        <v>17</v>
      </c>
      <c r="BC7" t="s">
        <v>17</v>
      </c>
      <c r="BD7" t="s">
        <v>17</v>
      </c>
      <c r="BE7" t="s">
        <v>17</v>
      </c>
      <c r="BF7" t="s">
        <v>17</v>
      </c>
      <c r="BG7" t="s">
        <v>17</v>
      </c>
      <c r="BH7" s="1">
        <f t="shared" ca="1" si="14"/>
        <v>1</v>
      </c>
      <c r="BI7" s="1">
        <f t="shared" ca="1" si="15"/>
        <v>0.5</v>
      </c>
      <c r="BJ7" s="1">
        <f t="shared" ca="1" si="16"/>
        <v>0</v>
      </c>
      <c r="BK7" s="1">
        <f t="shared" ca="1" si="17"/>
        <v>1</v>
      </c>
      <c r="BL7">
        <f t="shared" ca="1" si="3"/>
        <v>7631</v>
      </c>
      <c r="BM7">
        <f t="shared" ca="1" si="3"/>
        <v>6338</v>
      </c>
      <c r="BN7">
        <f t="shared" ca="1" si="4"/>
        <v>1879</v>
      </c>
      <c r="BO7">
        <f t="shared" ca="1" si="4"/>
        <v>2595</v>
      </c>
      <c r="BP7">
        <f t="shared" ca="1" si="5"/>
        <v>6669</v>
      </c>
      <c r="BQ7">
        <f t="shared" ca="1" si="5"/>
        <v>2951</v>
      </c>
      <c r="BR7">
        <f t="shared" ca="1" si="6"/>
        <v>2035</v>
      </c>
      <c r="BS7">
        <f t="shared" ca="1" si="6"/>
        <v>2880</v>
      </c>
      <c r="BT7">
        <f t="shared" ca="1" si="7"/>
        <v>7054</v>
      </c>
      <c r="BU7">
        <f t="shared" ca="1" si="7"/>
        <v>4239</v>
      </c>
      <c r="BV7">
        <f t="shared" ca="1" si="7"/>
        <v>9318</v>
      </c>
      <c r="BW7">
        <f t="shared" ca="1" si="7"/>
        <v>6111</v>
      </c>
      <c r="BX7">
        <f t="shared" ca="1" si="8"/>
        <v>2188</v>
      </c>
      <c r="BY7">
        <f t="shared" ca="1" si="8"/>
        <v>1554</v>
      </c>
      <c r="BZ7">
        <f t="shared" ca="1" si="8"/>
        <v>509</v>
      </c>
      <c r="CA7">
        <f t="shared" ca="1" si="8"/>
        <v>787</v>
      </c>
      <c r="CB7" s="7">
        <f ca="1">AVERAGE(BL7:BM33,BP7:BQ33,BT7:BW33)</f>
        <v>5299.791666666667</v>
      </c>
      <c r="CC7" s="7">
        <f ca="1">AVERAGE(BN7:BO33,BR7:BS33,BX7:CA33)</f>
        <v>1823.4444444444443</v>
      </c>
    </row>
    <row r="8" spans="1:81" x14ac:dyDescent="0.2">
      <c r="A8">
        <v>7</v>
      </c>
      <c r="B8">
        <f t="shared" ca="1" si="9"/>
        <v>18</v>
      </c>
      <c r="C8">
        <f t="shared" ca="1" si="10"/>
        <v>3</v>
      </c>
      <c r="D8">
        <f t="shared" ca="1" si="10"/>
        <v>4</v>
      </c>
      <c r="E8" t="s">
        <v>180</v>
      </c>
      <c r="F8">
        <f t="shared" ca="1" si="11"/>
        <v>1</v>
      </c>
      <c r="G8">
        <f t="shared" ca="1" si="11"/>
        <v>0</v>
      </c>
      <c r="H8">
        <f t="shared" ca="1" si="11"/>
        <v>0</v>
      </c>
      <c r="I8" s="14">
        <f t="shared" ca="1" si="12"/>
        <v>1</v>
      </c>
      <c r="J8" t="s">
        <v>18</v>
      </c>
      <c r="K8">
        <f t="shared" si="13"/>
        <v>1</v>
      </c>
      <c r="L8">
        <v>2</v>
      </c>
      <c r="M8" s="15" t="s">
        <v>24</v>
      </c>
      <c r="N8" s="12" t="s">
        <v>30</v>
      </c>
      <c r="O8" s="13" t="s">
        <v>30</v>
      </c>
      <c r="P8" s="16" t="s">
        <v>28</v>
      </c>
      <c r="Q8" s="4" t="s">
        <v>86</v>
      </c>
      <c r="R8" t="s">
        <v>20</v>
      </c>
      <c r="S8">
        <v>0</v>
      </c>
      <c r="T8">
        <f t="shared" ca="1" si="0"/>
        <v>0</v>
      </c>
      <c r="U8">
        <f t="shared" ca="1" si="0"/>
        <v>1</v>
      </c>
      <c r="V8">
        <f t="shared" ca="1" si="0"/>
        <v>0</v>
      </c>
      <c r="W8">
        <f t="shared" ca="1" si="0"/>
        <v>1</v>
      </c>
      <c r="X8">
        <f t="shared" ca="1" si="0"/>
        <v>1</v>
      </c>
      <c r="Y8">
        <f t="shared" ca="1" si="0"/>
        <v>0</v>
      </c>
      <c r="Z8">
        <f t="shared" ca="1" si="0"/>
        <v>1</v>
      </c>
      <c r="AA8">
        <f t="shared" ca="1" si="0"/>
        <v>0</v>
      </c>
      <c r="AB8">
        <f t="shared" ca="1" si="1"/>
        <v>0</v>
      </c>
      <c r="AC8">
        <f t="shared" ca="1" si="1"/>
        <v>1</v>
      </c>
      <c r="AD8">
        <f t="shared" ca="1" si="1"/>
        <v>1</v>
      </c>
      <c r="AE8">
        <f t="shared" ca="1" si="1"/>
        <v>1</v>
      </c>
      <c r="AF8">
        <f t="shared" ca="1" si="1"/>
        <v>1</v>
      </c>
      <c r="AG8">
        <f t="shared" ca="1" si="1"/>
        <v>0</v>
      </c>
      <c r="AH8">
        <f t="shared" ca="1" si="1"/>
        <v>0</v>
      </c>
      <c r="AI8">
        <f t="shared" ca="1" si="1"/>
        <v>0</v>
      </c>
      <c r="AJ8">
        <f t="shared" ca="1" si="1"/>
        <v>0</v>
      </c>
      <c r="AK8">
        <f t="shared" ca="1" si="1"/>
        <v>0</v>
      </c>
      <c r="AL8">
        <f t="shared" ca="1" si="1"/>
        <v>0</v>
      </c>
      <c r="AM8">
        <f t="shared" ca="1" si="1"/>
        <v>0</v>
      </c>
      <c r="AN8">
        <f t="shared" ca="1" si="1"/>
        <v>0</v>
      </c>
      <c r="AO8">
        <f t="shared" ca="1" si="1"/>
        <v>1</v>
      </c>
      <c r="AP8">
        <f t="shared" ca="1" si="1"/>
        <v>0</v>
      </c>
      <c r="AQ8">
        <f t="shared" ca="1" si="1"/>
        <v>0</v>
      </c>
      <c r="AR8" t="s">
        <v>17</v>
      </c>
      <c r="AS8" t="s">
        <v>17</v>
      </c>
      <c r="AT8" t="s">
        <v>17</v>
      </c>
      <c r="AU8" t="s">
        <v>17</v>
      </c>
      <c r="AV8" t="s">
        <v>17</v>
      </c>
      <c r="AW8" t="s">
        <v>17</v>
      </c>
      <c r="AX8" t="s">
        <v>17</v>
      </c>
      <c r="AY8" t="s">
        <v>17</v>
      </c>
      <c r="AZ8" t="s">
        <v>17</v>
      </c>
      <c r="BA8" t="s">
        <v>17</v>
      </c>
      <c r="BB8" t="s">
        <v>17</v>
      </c>
      <c r="BC8" t="s">
        <v>17</v>
      </c>
      <c r="BD8" t="s">
        <v>17</v>
      </c>
      <c r="BE8" t="s">
        <v>17</v>
      </c>
      <c r="BF8" t="s">
        <v>17</v>
      </c>
      <c r="BG8" t="s">
        <v>17</v>
      </c>
      <c r="BH8" s="1">
        <f t="shared" ca="1" si="14"/>
        <v>0</v>
      </c>
      <c r="BI8" s="1">
        <f t="shared" ca="1" si="15"/>
        <v>0</v>
      </c>
      <c r="BJ8" s="1">
        <f t="shared" ca="1" si="16"/>
        <v>0.5</v>
      </c>
      <c r="BK8" s="1">
        <f t="shared" ca="1" si="17"/>
        <v>0</v>
      </c>
      <c r="BL8">
        <f t="shared" ca="1" si="3"/>
        <v>9426</v>
      </c>
      <c r="BM8">
        <f t="shared" ca="1" si="3"/>
        <v>774</v>
      </c>
      <c r="BN8">
        <f t="shared" ca="1" si="4"/>
        <v>1498</v>
      </c>
      <c r="BO8">
        <f t="shared" ca="1" si="4"/>
        <v>2625</v>
      </c>
      <c r="BP8">
        <f t="shared" ca="1" si="5"/>
        <v>1342</v>
      </c>
      <c r="BQ8">
        <f t="shared" ca="1" si="5"/>
        <v>9941</v>
      </c>
      <c r="BR8">
        <f t="shared" ca="1" si="6"/>
        <v>2099</v>
      </c>
      <c r="BS8">
        <f t="shared" ca="1" si="6"/>
        <v>1623</v>
      </c>
      <c r="BT8">
        <f t="shared" ca="1" si="7"/>
        <v>6018</v>
      </c>
      <c r="BU8">
        <f t="shared" ca="1" si="7"/>
        <v>3501</v>
      </c>
      <c r="BV8">
        <f t="shared" ca="1" si="7"/>
        <v>1654</v>
      </c>
      <c r="BW8">
        <f t="shared" ca="1" si="7"/>
        <v>1748</v>
      </c>
      <c r="BX8">
        <f t="shared" ca="1" si="8"/>
        <v>2039</v>
      </c>
      <c r="BY8">
        <f t="shared" ca="1" si="8"/>
        <v>1825</v>
      </c>
      <c r="BZ8">
        <f t="shared" ca="1" si="8"/>
        <v>2121</v>
      </c>
      <c r="CA8">
        <f t="shared" ca="1" si="8"/>
        <v>502</v>
      </c>
      <c r="CB8" s="7">
        <f ca="1">AVERAGE(BL8:BM33,BP8:BQ33,BT8:BW33)</f>
        <v>5261.75</v>
      </c>
      <c r="CC8" s="7">
        <f ca="1">AVERAGE(BN8:BO33,BR8:BS33,BX8:CA33)</f>
        <v>1824.2163461538462</v>
      </c>
    </row>
    <row r="9" spans="1:81" x14ac:dyDescent="0.2">
      <c r="A9">
        <v>8</v>
      </c>
      <c r="B9">
        <f t="shared" ca="1" si="9"/>
        <v>24</v>
      </c>
      <c r="C9">
        <f t="shared" ca="1" si="10"/>
        <v>1</v>
      </c>
      <c r="D9">
        <f t="shared" ca="1" si="10"/>
        <v>4</v>
      </c>
      <c r="E9" t="s">
        <v>180</v>
      </c>
      <c r="F9">
        <f t="shared" ca="1" si="11"/>
        <v>1</v>
      </c>
      <c r="G9">
        <f t="shared" ca="1" si="11"/>
        <v>0</v>
      </c>
      <c r="H9">
        <f t="shared" ca="1" si="11"/>
        <v>1</v>
      </c>
      <c r="I9" s="14">
        <f t="shared" ca="1" si="12"/>
        <v>1</v>
      </c>
      <c r="J9" t="s">
        <v>19</v>
      </c>
      <c r="K9">
        <f t="shared" si="13"/>
        <v>0</v>
      </c>
      <c r="L9">
        <v>2</v>
      </c>
      <c r="M9" s="15" t="s">
        <v>24</v>
      </c>
      <c r="N9" s="12" t="s">
        <v>30</v>
      </c>
      <c r="O9" s="13" t="s">
        <v>30</v>
      </c>
      <c r="P9" s="16" t="s">
        <v>28</v>
      </c>
      <c r="Q9" s="4" t="s">
        <v>86</v>
      </c>
      <c r="R9" t="s">
        <v>20</v>
      </c>
      <c r="S9">
        <v>0</v>
      </c>
      <c r="T9">
        <f t="shared" ca="1" si="0"/>
        <v>1</v>
      </c>
      <c r="U9">
        <f t="shared" ca="1" si="0"/>
        <v>1</v>
      </c>
      <c r="V9">
        <f t="shared" ca="1" si="0"/>
        <v>1</v>
      </c>
      <c r="W9">
        <f t="shared" ca="1" si="0"/>
        <v>1</v>
      </c>
      <c r="X9">
        <f t="shared" ca="1" si="0"/>
        <v>1</v>
      </c>
      <c r="Y9">
        <f t="shared" ca="1" si="0"/>
        <v>1</v>
      </c>
      <c r="Z9">
        <f t="shared" ca="1" si="0"/>
        <v>0</v>
      </c>
      <c r="AA9">
        <f t="shared" ca="1" si="0"/>
        <v>1</v>
      </c>
      <c r="AB9">
        <f t="shared" ca="1" si="1"/>
        <v>0</v>
      </c>
      <c r="AC9">
        <f t="shared" ca="1" si="1"/>
        <v>0</v>
      </c>
      <c r="AD9">
        <f t="shared" ca="1" si="1"/>
        <v>0</v>
      </c>
      <c r="AE9">
        <f t="shared" ca="1" si="1"/>
        <v>0</v>
      </c>
      <c r="AF9">
        <f t="shared" ca="1" si="1"/>
        <v>1</v>
      </c>
      <c r="AG9">
        <f t="shared" ca="1" si="1"/>
        <v>1</v>
      </c>
      <c r="AH9">
        <f t="shared" ca="1" si="1"/>
        <v>0</v>
      </c>
      <c r="AI9">
        <f t="shared" ca="1" si="1"/>
        <v>1</v>
      </c>
      <c r="AJ9">
        <f t="shared" ca="1" si="1"/>
        <v>1</v>
      </c>
      <c r="AK9">
        <f t="shared" ca="1" si="1"/>
        <v>0</v>
      </c>
      <c r="AL9">
        <f t="shared" ca="1" si="1"/>
        <v>0</v>
      </c>
      <c r="AM9">
        <f t="shared" ca="1" si="1"/>
        <v>0</v>
      </c>
      <c r="AN9">
        <f t="shared" ca="1" si="1"/>
        <v>0</v>
      </c>
      <c r="AO9">
        <f t="shared" ca="1" si="1"/>
        <v>0</v>
      </c>
      <c r="AP9">
        <f t="shared" ca="1" si="1"/>
        <v>0</v>
      </c>
      <c r="AQ9">
        <f t="shared" ca="1" si="1"/>
        <v>0</v>
      </c>
      <c r="AR9" t="s">
        <v>17</v>
      </c>
      <c r="AS9" t="s">
        <v>17</v>
      </c>
      <c r="AT9" t="s">
        <v>17</v>
      </c>
      <c r="AU9" t="s">
        <v>17</v>
      </c>
      <c r="AV9" t="s">
        <v>17</v>
      </c>
      <c r="AW9" t="s">
        <v>17</v>
      </c>
      <c r="AX9" t="s">
        <v>17</v>
      </c>
      <c r="AY9" t="s">
        <v>17</v>
      </c>
      <c r="AZ9" t="s">
        <v>17</v>
      </c>
      <c r="BA9" t="s">
        <v>17</v>
      </c>
      <c r="BB9" t="s">
        <v>17</v>
      </c>
      <c r="BC9" t="s">
        <v>17</v>
      </c>
      <c r="BD9" t="s">
        <v>17</v>
      </c>
      <c r="BE9" t="s">
        <v>17</v>
      </c>
      <c r="BF9" t="s">
        <v>17</v>
      </c>
      <c r="BG9" t="s">
        <v>17</v>
      </c>
      <c r="BH9" s="1">
        <f t="shared" ca="1" si="14"/>
        <v>0.5</v>
      </c>
      <c r="BI9" s="1">
        <f t="shared" ca="1" si="15"/>
        <v>0</v>
      </c>
      <c r="BJ9" s="1">
        <f t="shared" ca="1" si="16"/>
        <v>0</v>
      </c>
      <c r="BK9" s="1">
        <f t="shared" ca="1" si="17"/>
        <v>0</v>
      </c>
      <c r="BL9">
        <f t="shared" ca="1" si="3"/>
        <v>2171</v>
      </c>
      <c r="BM9">
        <f t="shared" ca="1" si="3"/>
        <v>1661</v>
      </c>
      <c r="BN9">
        <f t="shared" ca="1" si="4"/>
        <v>2854</v>
      </c>
      <c r="BO9">
        <f t="shared" ca="1" si="4"/>
        <v>2093</v>
      </c>
      <c r="BP9">
        <f t="shared" ca="1" si="5"/>
        <v>6635</v>
      </c>
      <c r="BQ9">
        <f t="shared" ca="1" si="5"/>
        <v>8852</v>
      </c>
      <c r="BR9">
        <f t="shared" ca="1" si="6"/>
        <v>2988</v>
      </c>
      <c r="BS9">
        <f t="shared" ca="1" si="6"/>
        <v>595</v>
      </c>
      <c r="BT9">
        <f t="shared" ca="1" si="7"/>
        <v>7535</v>
      </c>
      <c r="BU9">
        <f t="shared" ca="1" si="7"/>
        <v>9352</v>
      </c>
      <c r="BV9">
        <f t="shared" ca="1" si="7"/>
        <v>2748</v>
      </c>
      <c r="BW9">
        <f t="shared" ca="1" si="7"/>
        <v>4818</v>
      </c>
      <c r="BX9">
        <f t="shared" ca="1" si="8"/>
        <v>1906</v>
      </c>
      <c r="BY9">
        <f t="shared" ca="1" si="8"/>
        <v>2961</v>
      </c>
      <c r="BZ9">
        <f t="shared" ca="1" si="8"/>
        <v>2698</v>
      </c>
      <c r="CA9">
        <f t="shared" ca="1" si="8"/>
        <v>2439</v>
      </c>
      <c r="CB9" s="7">
        <f ca="1">AVERAGE(BL9:BM33,BP9:BQ33,BT9:BW33)</f>
        <v>5300.2</v>
      </c>
      <c r="CC9" s="7">
        <f ca="1">AVERAGE(BN9:BO33,BR9:BS33,BX9:CA33)</f>
        <v>1825.5250000000001</v>
      </c>
    </row>
    <row r="10" spans="1:81" x14ac:dyDescent="0.2">
      <c r="A10">
        <v>9</v>
      </c>
      <c r="B10">
        <f t="shared" ca="1" si="9"/>
        <v>24</v>
      </c>
      <c r="C10">
        <f t="shared" ca="1" si="10"/>
        <v>1</v>
      </c>
      <c r="D10">
        <f t="shared" ca="1" si="10"/>
        <v>1</v>
      </c>
      <c r="E10" t="s">
        <v>180</v>
      </c>
      <c r="F10">
        <f t="shared" ca="1" si="11"/>
        <v>1</v>
      </c>
      <c r="G10">
        <f t="shared" ca="1" si="11"/>
        <v>0</v>
      </c>
      <c r="H10">
        <f t="shared" ca="1" si="11"/>
        <v>0</v>
      </c>
      <c r="I10" s="14">
        <f t="shared" ca="1" si="12"/>
        <v>0</v>
      </c>
      <c r="J10" t="s">
        <v>18</v>
      </c>
      <c r="K10">
        <f t="shared" si="13"/>
        <v>1</v>
      </c>
      <c r="L10">
        <v>3</v>
      </c>
      <c r="M10" s="15" t="s">
        <v>25</v>
      </c>
      <c r="N10" s="12" t="s">
        <v>31</v>
      </c>
      <c r="O10" s="13" t="s">
        <v>31</v>
      </c>
      <c r="P10" s="16" t="s">
        <v>32</v>
      </c>
      <c r="Q10" s="4" t="s">
        <v>86</v>
      </c>
      <c r="R10" t="s">
        <v>20</v>
      </c>
      <c r="S10">
        <v>0</v>
      </c>
      <c r="T10">
        <f t="shared" ca="1" si="0"/>
        <v>0</v>
      </c>
      <c r="U10">
        <f t="shared" ca="1" si="0"/>
        <v>1</v>
      </c>
      <c r="V10">
        <f t="shared" ca="1" si="0"/>
        <v>1</v>
      </c>
      <c r="W10">
        <f t="shared" ca="1" si="0"/>
        <v>1</v>
      </c>
      <c r="X10">
        <f t="shared" ca="1" si="0"/>
        <v>0</v>
      </c>
      <c r="Y10">
        <f t="shared" ca="1" si="0"/>
        <v>0</v>
      </c>
      <c r="Z10">
        <f t="shared" ca="1" si="0"/>
        <v>1</v>
      </c>
      <c r="AA10">
        <f t="shared" ca="1" si="0"/>
        <v>0</v>
      </c>
      <c r="AB10">
        <f t="shared" ca="1" si="1"/>
        <v>0</v>
      </c>
      <c r="AC10">
        <f t="shared" ca="1" si="1"/>
        <v>1</v>
      </c>
      <c r="AD10">
        <f t="shared" ca="1" si="1"/>
        <v>1</v>
      </c>
      <c r="AE10">
        <f t="shared" ca="1" si="1"/>
        <v>1</v>
      </c>
      <c r="AF10">
        <f t="shared" ca="1" si="1"/>
        <v>1</v>
      </c>
      <c r="AG10">
        <f t="shared" ca="1" si="1"/>
        <v>0</v>
      </c>
      <c r="AH10">
        <f t="shared" ca="1" si="1"/>
        <v>0</v>
      </c>
      <c r="AI10">
        <f t="shared" ca="1" si="1"/>
        <v>1</v>
      </c>
      <c r="AJ10">
        <f t="shared" ca="1" si="1"/>
        <v>0</v>
      </c>
      <c r="AK10">
        <f t="shared" ca="1" si="1"/>
        <v>1</v>
      </c>
      <c r="AL10">
        <f t="shared" ca="1" si="1"/>
        <v>0</v>
      </c>
      <c r="AM10">
        <f t="shared" ca="1" si="1"/>
        <v>0</v>
      </c>
      <c r="AN10">
        <f t="shared" ca="1" si="1"/>
        <v>0</v>
      </c>
      <c r="AO10">
        <f t="shared" ca="1" si="1"/>
        <v>1</v>
      </c>
      <c r="AP10">
        <f t="shared" ca="1" si="1"/>
        <v>0</v>
      </c>
      <c r="AQ10">
        <f t="shared" ca="1" si="1"/>
        <v>1</v>
      </c>
      <c r="AR10" t="s">
        <v>17</v>
      </c>
      <c r="AS10" t="s">
        <v>17</v>
      </c>
      <c r="AT10" t="s">
        <v>17</v>
      </c>
      <c r="AU10" t="s">
        <v>17</v>
      </c>
      <c r="AV10" t="s">
        <v>17</v>
      </c>
      <c r="AW10" t="s">
        <v>17</v>
      </c>
      <c r="AX10" t="s">
        <v>17</v>
      </c>
      <c r="AY10" t="s">
        <v>17</v>
      </c>
      <c r="AZ10" t="s">
        <v>17</v>
      </c>
      <c r="BA10" t="s">
        <v>17</v>
      </c>
      <c r="BB10" t="s">
        <v>17</v>
      </c>
      <c r="BC10" t="s">
        <v>17</v>
      </c>
      <c r="BD10" t="s">
        <v>17</v>
      </c>
      <c r="BE10" t="s">
        <v>17</v>
      </c>
      <c r="BF10" t="s">
        <v>17</v>
      </c>
      <c r="BG10" t="s">
        <v>17</v>
      </c>
      <c r="BH10" s="1">
        <f t="shared" ca="1" si="14"/>
        <v>0.5</v>
      </c>
      <c r="BI10" s="1">
        <f t="shared" ca="1" si="15"/>
        <v>0</v>
      </c>
      <c r="BJ10" s="1">
        <f t="shared" ca="1" si="16"/>
        <v>0.5</v>
      </c>
      <c r="BK10" s="1">
        <f t="shared" ca="1" si="17"/>
        <v>0.5</v>
      </c>
      <c r="BL10">
        <f t="shared" ca="1" si="3"/>
        <v>2580</v>
      </c>
      <c r="BM10">
        <f t="shared" ca="1" si="3"/>
        <v>8966</v>
      </c>
      <c r="BN10">
        <f t="shared" ca="1" si="4"/>
        <v>1182</v>
      </c>
      <c r="BO10">
        <f t="shared" ca="1" si="4"/>
        <v>2860</v>
      </c>
      <c r="BP10">
        <f t="shared" ca="1" si="5"/>
        <v>5852</v>
      </c>
      <c r="BQ10">
        <f t="shared" ca="1" si="5"/>
        <v>783</v>
      </c>
      <c r="BR10">
        <f t="shared" ca="1" si="6"/>
        <v>1844</v>
      </c>
      <c r="BS10">
        <f t="shared" ca="1" si="6"/>
        <v>906</v>
      </c>
      <c r="BT10">
        <f t="shared" ca="1" si="7"/>
        <v>3916</v>
      </c>
      <c r="BU10">
        <f t="shared" ca="1" si="7"/>
        <v>2776</v>
      </c>
      <c r="BV10">
        <f t="shared" ca="1" si="7"/>
        <v>3091</v>
      </c>
      <c r="BW10">
        <f t="shared" ca="1" si="7"/>
        <v>6688</v>
      </c>
      <c r="BX10">
        <f t="shared" ca="1" si="8"/>
        <v>2982</v>
      </c>
      <c r="BY10">
        <f t="shared" ca="1" si="8"/>
        <v>1762</v>
      </c>
      <c r="BZ10">
        <f t="shared" ca="1" si="8"/>
        <v>2974</v>
      </c>
      <c r="CA10">
        <f t="shared" ca="1" si="8"/>
        <v>2037</v>
      </c>
      <c r="CB10" s="7">
        <f ca="1">AVERAGE(BL10:BM33,BP10:BQ33,BT10:BW33)</f>
        <v>5293.0625</v>
      </c>
      <c r="CC10" s="7">
        <f ca="1">AVERAGE(BN10:BO33,BR10:BS33,BX10:CA33)</f>
        <v>1805.0572916666667</v>
      </c>
    </row>
    <row r="11" spans="1:81" x14ac:dyDescent="0.2">
      <c r="A11">
        <v>10</v>
      </c>
      <c r="B11">
        <f t="shared" ca="1" si="9"/>
        <v>23</v>
      </c>
      <c r="C11">
        <f t="shared" ca="1" si="10"/>
        <v>1</v>
      </c>
      <c r="D11">
        <f t="shared" ca="1" si="10"/>
        <v>1</v>
      </c>
      <c r="E11" t="s">
        <v>180</v>
      </c>
      <c r="F11">
        <f t="shared" ca="1" si="11"/>
        <v>1</v>
      </c>
      <c r="G11">
        <f t="shared" ca="1" si="11"/>
        <v>1</v>
      </c>
      <c r="H11">
        <f t="shared" ca="1" si="11"/>
        <v>0</v>
      </c>
      <c r="I11" s="14">
        <f t="shared" ca="1" si="12"/>
        <v>0</v>
      </c>
      <c r="J11" t="s">
        <v>19</v>
      </c>
      <c r="K11">
        <f t="shared" si="13"/>
        <v>0</v>
      </c>
      <c r="L11">
        <v>3</v>
      </c>
      <c r="M11" s="15" t="s">
        <v>25</v>
      </c>
      <c r="N11" s="12" t="s">
        <v>31</v>
      </c>
      <c r="O11" s="13" t="s">
        <v>31</v>
      </c>
      <c r="P11" s="16" t="s">
        <v>32</v>
      </c>
      <c r="Q11" s="4" t="s">
        <v>86</v>
      </c>
      <c r="R11" t="s">
        <v>20</v>
      </c>
      <c r="S11">
        <v>0</v>
      </c>
      <c r="T11">
        <f t="shared" ca="1" si="0"/>
        <v>0</v>
      </c>
      <c r="U11">
        <f t="shared" ca="1" si="0"/>
        <v>0</v>
      </c>
      <c r="V11">
        <f t="shared" ca="1" si="0"/>
        <v>0</v>
      </c>
      <c r="W11">
        <f t="shared" ca="1" si="0"/>
        <v>1</v>
      </c>
      <c r="X11">
        <f t="shared" ca="1" si="0"/>
        <v>0</v>
      </c>
      <c r="Y11">
        <f t="shared" ca="1" si="0"/>
        <v>0</v>
      </c>
      <c r="Z11">
        <f t="shared" ca="1" si="0"/>
        <v>0</v>
      </c>
      <c r="AA11">
        <f t="shared" ca="1" si="0"/>
        <v>0</v>
      </c>
      <c r="AB11">
        <f t="shared" ca="1" si="1"/>
        <v>0</v>
      </c>
      <c r="AC11">
        <f t="shared" ca="1" si="1"/>
        <v>1</v>
      </c>
      <c r="AD11">
        <f t="shared" ca="1" si="1"/>
        <v>0</v>
      </c>
      <c r="AE11">
        <f t="shared" ca="1" si="1"/>
        <v>1</v>
      </c>
      <c r="AF11">
        <f t="shared" ca="1" si="1"/>
        <v>0</v>
      </c>
      <c r="AG11">
        <f t="shared" ca="1" si="1"/>
        <v>1</v>
      </c>
      <c r="AH11">
        <f t="shared" ca="1" si="1"/>
        <v>0</v>
      </c>
      <c r="AI11">
        <f t="shared" ca="1" si="1"/>
        <v>1</v>
      </c>
      <c r="AJ11">
        <f t="shared" ca="1" si="1"/>
        <v>1</v>
      </c>
      <c r="AK11">
        <f t="shared" ca="1" si="1"/>
        <v>1</v>
      </c>
      <c r="AL11">
        <f t="shared" ca="1" si="1"/>
        <v>0</v>
      </c>
      <c r="AM11">
        <f t="shared" ca="1" si="1"/>
        <v>1</v>
      </c>
      <c r="AN11">
        <f t="shared" ca="1" si="1"/>
        <v>0</v>
      </c>
      <c r="AO11">
        <f t="shared" ca="1" si="1"/>
        <v>0</v>
      </c>
      <c r="AP11">
        <f t="shared" ca="1" si="1"/>
        <v>1</v>
      </c>
      <c r="AQ11">
        <f t="shared" ca="1" si="1"/>
        <v>0</v>
      </c>
      <c r="AR11" t="s">
        <v>17</v>
      </c>
      <c r="AS11" t="s">
        <v>17</v>
      </c>
      <c r="AT11" t="s">
        <v>17</v>
      </c>
      <c r="AU11" t="s">
        <v>17</v>
      </c>
      <c r="AV11" t="s">
        <v>17</v>
      </c>
      <c r="AW11" t="s">
        <v>17</v>
      </c>
      <c r="AX11" t="s">
        <v>17</v>
      </c>
      <c r="AY11" t="s">
        <v>17</v>
      </c>
      <c r="AZ11" t="s">
        <v>17</v>
      </c>
      <c r="BA11" t="s">
        <v>17</v>
      </c>
      <c r="BB11" t="s">
        <v>17</v>
      </c>
      <c r="BC11" t="s">
        <v>17</v>
      </c>
      <c r="BD11" t="s">
        <v>17</v>
      </c>
      <c r="BE11" t="s">
        <v>17</v>
      </c>
      <c r="BF11" t="s">
        <v>17</v>
      </c>
      <c r="BG11" t="s">
        <v>17</v>
      </c>
      <c r="BH11" s="1">
        <f t="shared" ca="1" si="14"/>
        <v>1</v>
      </c>
      <c r="BI11" s="1">
        <f t="shared" ca="1" si="15"/>
        <v>0.5</v>
      </c>
      <c r="BJ11" s="1">
        <f t="shared" ca="1" si="16"/>
        <v>0</v>
      </c>
      <c r="BK11" s="1">
        <f t="shared" ca="1" si="17"/>
        <v>0.5</v>
      </c>
      <c r="BL11">
        <f t="shared" ca="1" si="3"/>
        <v>812</v>
      </c>
      <c r="BM11">
        <f t="shared" ca="1" si="3"/>
        <v>1314</v>
      </c>
      <c r="BN11">
        <f t="shared" ca="1" si="4"/>
        <v>1746</v>
      </c>
      <c r="BO11">
        <f t="shared" ca="1" si="4"/>
        <v>1202</v>
      </c>
      <c r="BP11">
        <f t="shared" ca="1" si="5"/>
        <v>2565</v>
      </c>
      <c r="BQ11">
        <f t="shared" ca="1" si="5"/>
        <v>3169</v>
      </c>
      <c r="BR11">
        <f t="shared" ca="1" si="6"/>
        <v>1348</v>
      </c>
      <c r="BS11">
        <f t="shared" ca="1" si="6"/>
        <v>2544</v>
      </c>
      <c r="BT11">
        <f t="shared" ca="1" si="7"/>
        <v>3015</v>
      </c>
      <c r="BU11">
        <f t="shared" ca="1" si="7"/>
        <v>7527</v>
      </c>
      <c r="BV11">
        <f t="shared" ca="1" si="7"/>
        <v>2065</v>
      </c>
      <c r="BW11">
        <f t="shared" ca="1" si="7"/>
        <v>8368</v>
      </c>
      <c r="BX11">
        <f t="shared" ca="1" si="8"/>
        <v>647</v>
      </c>
      <c r="BY11">
        <f t="shared" ca="1" si="8"/>
        <v>997</v>
      </c>
      <c r="BZ11">
        <f t="shared" ca="1" si="8"/>
        <v>2242</v>
      </c>
      <c r="CA11">
        <f t="shared" ca="1" si="8"/>
        <v>1284</v>
      </c>
      <c r="CB11" s="7">
        <f ca="1">AVERAGE(BL11:BM33,BP11:BQ33,BT11:BW33)</f>
        <v>5334.869565217391</v>
      </c>
      <c r="CC11" s="7">
        <f ca="1">AVERAGE(BN11:BO33,BR11:BS33,BX11:CA33)</f>
        <v>1793.608695652174</v>
      </c>
    </row>
    <row r="12" spans="1:81" x14ac:dyDescent="0.2">
      <c r="A12">
        <v>11</v>
      </c>
      <c r="B12">
        <f t="shared" ca="1" si="9"/>
        <v>21</v>
      </c>
      <c r="C12">
        <f t="shared" ca="1" si="10"/>
        <v>3</v>
      </c>
      <c r="D12">
        <f t="shared" ca="1" si="10"/>
        <v>2</v>
      </c>
      <c r="E12" t="s">
        <v>180</v>
      </c>
      <c r="F12">
        <f t="shared" ca="1" si="11"/>
        <v>0</v>
      </c>
      <c r="G12">
        <f t="shared" ca="1" si="11"/>
        <v>1</v>
      </c>
      <c r="H12">
        <f t="shared" ca="1" si="11"/>
        <v>0</v>
      </c>
      <c r="I12" s="14">
        <f t="shared" ca="1" si="12"/>
        <v>1</v>
      </c>
      <c r="J12" t="s">
        <v>18</v>
      </c>
      <c r="K12">
        <f t="shared" si="13"/>
        <v>1</v>
      </c>
      <c r="L12">
        <v>3</v>
      </c>
      <c r="M12" s="15" t="s">
        <v>25</v>
      </c>
      <c r="N12" s="12" t="s">
        <v>31</v>
      </c>
      <c r="O12" s="13" t="s">
        <v>31</v>
      </c>
      <c r="P12" s="16" t="s">
        <v>32</v>
      </c>
      <c r="Q12" s="4" t="s">
        <v>86</v>
      </c>
      <c r="R12" t="s">
        <v>20</v>
      </c>
      <c r="S12">
        <v>0</v>
      </c>
      <c r="T12">
        <f t="shared" ca="1" si="0"/>
        <v>0</v>
      </c>
      <c r="U12">
        <f t="shared" ca="1" si="0"/>
        <v>0</v>
      </c>
      <c r="V12">
        <f t="shared" ca="1" si="0"/>
        <v>0</v>
      </c>
      <c r="W12">
        <f t="shared" ca="1" si="0"/>
        <v>0</v>
      </c>
      <c r="X12">
        <f t="shared" ca="1" si="0"/>
        <v>1</v>
      </c>
      <c r="Y12">
        <f t="shared" ca="1" si="0"/>
        <v>0</v>
      </c>
      <c r="Z12">
        <f t="shared" ca="1" si="0"/>
        <v>0</v>
      </c>
      <c r="AA12">
        <f t="shared" ca="1" si="0"/>
        <v>1</v>
      </c>
      <c r="AB12">
        <f t="shared" ca="1" si="1"/>
        <v>1</v>
      </c>
      <c r="AC12">
        <f t="shared" ca="1" si="1"/>
        <v>0</v>
      </c>
      <c r="AD12">
        <f t="shared" ca="1" si="1"/>
        <v>0</v>
      </c>
      <c r="AE12">
        <f t="shared" ca="1" si="1"/>
        <v>0</v>
      </c>
      <c r="AF12">
        <f t="shared" ca="1" si="1"/>
        <v>1</v>
      </c>
      <c r="AG12">
        <f t="shared" ca="1" si="1"/>
        <v>1</v>
      </c>
      <c r="AH12">
        <f t="shared" ca="1" si="1"/>
        <v>0</v>
      </c>
      <c r="AI12">
        <f t="shared" ca="1" si="1"/>
        <v>0</v>
      </c>
      <c r="AJ12">
        <f t="shared" ca="1" si="1"/>
        <v>1</v>
      </c>
      <c r="AK12">
        <f t="shared" ca="1" si="1"/>
        <v>1</v>
      </c>
      <c r="AL12">
        <f t="shared" ca="1" si="1"/>
        <v>0</v>
      </c>
      <c r="AM12">
        <f t="shared" ca="1" si="1"/>
        <v>1</v>
      </c>
      <c r="AN12">
        <f t="shared" ca="1" si="1"/>
        <v>1</v>
      </c>
      <c r="AO12">
        <f t="shared" ca="1" si="1"/>
        <v>0</v>
      </c>
      <c r="AP12">
        <f t="shared" ca="1" si="1"/>
        <v>0</v>
      </c>
      <c r="AQ12">
        <f t="shared" ca="1" si="1"/>
        <v>0</v>
      </c>
      <c r="AR12" t="s">
        <v>17</v>
      </c>
      <c r="AS12" t="s">
        <v>17</v>
      </c>
      <c r="AT12" t="s">
        <v>17</v>
      </c>
      <c r="AU12" t="s">
        <v>17</v>
      </c>
      <c r="AV12" t="s">
        <v>17</v>
      </c>
      <c r="AW12" t="s">
        <v>17</v>
      </c>
      <c r="AX12" t="s">
        <v>17</v>
      </c>
      <c r="AY12" t="s">
        <v>17</v>
      </c>
      <c r="AZ12" t="s">
        <v>17</v>
      </c>
      <c r="BA12" t="s">
        <v>17</v>
      </c>
      <c r="BB12" t="s">
        <v>17</v>
      </c>
      <c r="BC12" t="s">
        <v>17</v>
      </c>
      <c r="BD12" t="s">
        <v>17</v>
      </c>
      <c r="BE12" t="s">
        <v>17</v>
      </c>
      <c r="BF12" t="s">
        <v>17</v>
      </c>
      <c r="BG12" t="s">
        <v>17</v>
      </c>
      <c r="BH12" s="1">
        <f t="shared" ca="1" si="14"/>
        <v>1</v>
      </c>
      <c r="BI12" s="1">
        <f t="shared" ca="1" si="15"/>
        <v>0.5</v>
      </c>
      <c r="BJ12" s="1">
        <f t="shared" ca="1" si="16"/>
        <v>0.5</v>
      </c>
      <c r="BK12" s="1">
        <f t="shared" ca="1" si="17"/>
        <v>0</v>
      </c>
      <c r="BL12">
        <f t="shared" ca="1" si="3"/>
        <v>2296</v>
      </c>
      <c r="BM12">
        <f t="shared" ca="1" si="3"/>
        <v>2859</v>
      </c>
      <c r="BN12">
        <f t="shared" ca="1" si="4"/>
        <v>1946</v>
      </c>
      <c r="BO12">
        <f t="shared" ca="1" si="4"/>
        <v>1994</v>
      </c>
      <c r="BP12">
        <f t="shared" ca="1" si="5"/>
        <v>5731</v>
      </c>
      <c r="BQ12">
        <f t="shared" ca="1" si="5"/>
        <v>9186</v>
      </c>
      <c r="BR12">
        <f t="shared" ca="1" si="6"/>
        <v>2096</v>
      </c>
      <c r="BS12">
        <f t="shared" ca="1" si="6"/>
        <v>2129</v>
      </c>
      <c r="BT12">
        <f t="shared" ca="1" si="7"/>
        <v>6504</v>
      </c>
      <c r="BU12">
        <f t="shared" ca="1" si="7"/>
        <v>9883</v>
      </c>
      <c r="BV12">
        <f t="shared" ca="1" si="7"/>
        <v>2336</v>
      </c>
      <c r="BW12">
        <f t="shared" ca="1" si="7"/>
        <v>4863</v>
      </c>
      <c r="BX12">
        <f t="shared" ca="1" si="8"/>
        <v>2311</v>
      </c>
      <c r="BY12">
        <f t="shared" ca="1" si="8"/>
        <v>1166</v>
      </c>
      <c r="BZ12">
        <f t="shared" ca="1" si="8"/>
        <v>1298</v>
      </c>
      <c r="CA12">
        <f t="shared" ca="1" si="8"/>
        <v>1124</v>
      </c>
      <c r="CB12" s="7">
        <f ca="1">AVERAGE(BL12:BM33,BP12:BQ33,BT12:BW33)</f>
        <v>5413.528409090909</v>
      </c>
      <c r="CC12" s="7">
        <f ca="1">AVERAGE(BN12:BO33,BR12:BS33,BX12:CA33)</f>
        <v>1806.8977272727273</v>
      </c>
    </row>
    <row r="13" spans="1:81" x14ac:dyDescent="0.2">
      <c r="A13">
        <v>12</v>
      </c>
      <c r="B13">
        <f t="shared" ca="1" si="9"/>
        <v>24</v>
      </c>
      <c r="C13">
        <f t="shared" ca="1" si="10"/>
        <v>4</v>
      </c>
      <c r="D13">
        <f t="shared" ca="1" si="10"/>
        <v>4</v>
      </c>
      <c r="E13" t="s">
        <v>180</v>
      </c>
      <c r="F13">
        <f t="shared" ca="1" si="11"/>
        <v>0</v>
      </c>
      <c r="G13">
        <f t="shared" ca="1" si="11"/>
        <v>1</v>
      </c>
      <c r="H13">
        <f t="shared" ca="1" si="11"/>
        <v>0</v>
      </c>
      <c r="I13" s="14">
        <f t="shared" ca="1" si="12"/>
        <v>0</v>
      </c>
      <c r="J13" t="s">
        <v>19</v>
      </c>
      <c r="K13">
        <f t="shared" si="13"/>
        <v>0</v>
      </c>
      <c r="L13">
        <v>3</v>
      </c>
      <c r="M13" s="15" t="s">
        <v>25</v>
      </c>
      <c r="N13" s="12" t="s">
        <v>31</v>
      </c>
      <c r="O13" s="13" t="s">
        <v>31</v>
      </c>
      <c r="P13" s="16" t="s">
        <v>32</v>
      </c>
      <c r="Q13" s="4" t="s">
        <v>86</v>
      </c>
      <c r="R13" t="s">
        <v>20</v>
      </c>
      <c r="S13">
        <v>0</v>
      </c>
      <c r="T13">
        <f t="shared" ca="1" si="0"/>
        <v>1</v>
      </c>
      <c r="U13">
        <f t="shared" ca="1" si="0"/>
        <v>1</v>
      </c>
      <c r="V13">
        <f t="shared" ca="1" si="0"/>
        <v>1</v>
      </c>
      <c r="W13">
        <f t="shared" ca="1" si="0"/>
        <v>0</v>
      </c>
      <c r="X13">
        <f t="shared" ca="1" si="0"/>
        <v>1</v>
      </c>
      <c r="Y13">
        <f t="shared" ca="1" si="0"/>
        <v>1</v>
      </c>
      <c r="Z13">
        <f t="shared" ca="1" si="0"/>
        <v>1</v>
      </c>
      <c r="AA13">
        <f t="shared" ca="1" si="0"/>
        <v>1</v>
      </c>
      <c r="AB13">
        <f t="shared" ca="1" si="1"/>
        <v>0</v>
      </c>
      <c r="AC13">
        <f t="shared" ca="1" si="1"/>
        <v>0</v>
      </c>
      <c r="AD13">
        <f t="shared" ca="1" si="1"/>
        <v>0</v>
      </c>
      <c r="AE13">
        <f t="shared" ca="1" si="1"/>
        <v>1</v>
      </c>
      <c r="AF13">
        <f t="shared" ca="1" si="1"/>
        <v>0</v>
      </c>
      <c r="AG13">
        <f t="shared" ca="1" si="1"/>
        <v>0</v>
      </c>
      <c r="AH13">
        <f t="shared" ca="1" si="1"/>
        <v>1</v>
      </c>
      <c r="AI13">
        <f t="shared" ca="1" si="1"/>
        <v>0</v>
      </c>
      <c r="AJ13">
        <f t="shared" ca="1" si="1"/>
        <v>0</v>
      </c>
      <c r="AK13">
        <f t="shared" ca="1" si="1"/>
        <v>1</v>
      </c>
      <c r="AL13">
        <f t="shared" ca="1" si="1"/>
        <v>1</v>
      </c>
      <c r="AM13">
        <f t="shared" ca="1" si="1"/>
        <v>1</v>
      </c>
      <c r="AN13">
        <f t="shared" ca="1" si="1"/>
        <v>1</v>
      </c>
      <c r="AO13">
        <f t="shared" ca="1" si="1"/>
        <v>1</v>
      </c>
      <c r="AP13">
        <f t="shared" ca="1" si="1"/>
        <v>0</v>
      </c>
      <c r="AQ13">
        <f t="shared" ca="1" si="1"/>
        <v>0</v>
      </c>
      <c r="AR13" t="s">
        <v>17</v>
      </c>
      <c r="AS13" t="s">
        <v>17</v>
      </c>
      <c r="AT13" t="s">
        <v>17</v>
      </c>
      <c r="AU13" t="s">
        <v>17</v>
      </c>
      <c r="AV13" t="s">
        <v>17</v>
      </c>
      <c r="AW13" t="s">
        <v>17</v>
      </c>
      <c r="AX13" t="s">
        <v>17</v>
      </c>
      <c r="AY13" t="s">
        <v>17</v>
      </c>
      <c r="AZ13" t="s">
        <v>17</v>
      </c>
      <c r="BA13" t="s">
        <v>17</v>
      </c>
      <c r="BB13" t="s">
        <v>17</v>
      </c>
      <c r="BC13" t="s">
        <v>17</v>
      </c>
      <c r="BD13" t="s">
        <v>17</v>
      </c>
      <c r="BE13" t="s">
        <v>17</v>
      </c>
      <c r="BF13" t="s">
        <v>17</v>
      </c>
      <c r="BG13" t="s">
        <v>17</v>
      </c>
      <c r="BH13" s="1">
        <f t="shared" ca="1" si="14"/>
        <v>0.5</v>
      </c>
      <c r="BI13" s="1">
        <f t="shared" ca="1" si="15"/>
        <v>1</v>
      </c>
      <c r="BJ13" s="1">
        <f t="shared" ca="1" si="16"/>
        <v>1</v>
      </c>
      <c r="BK13" s="1">
        <f t="shared" ca="1" si="17"/>
        <v>0</v>
      </c>
      <c r="BL13">
        <f t="shared" ca="1" si="3"/>
        <v>4919</v>
      </c>
      <c r="BM13">
        <f t="shared" ca="1" si="3"/>
        <v>7305</v>
      </c>
      <c r="BN13">
        <f t="shared" ca="1" si="4"/>
        <v>1682</v>
      </c>
      <c r="BO13">
        <f t="shared" ca="1" si="4"/>
        <v>2637</v>
      </c>
      <c r="BP13">
        <f t="shared" ca="1" si="5"/>
        <v>9832</v>
      </c>
      <c r="BQ13">
        <f t="shared" ca="1" si="5"/>
        <v>758</v>
      </c>
      <c r="BR13">
        <f t="shared" ca="1" si="6"/>
        <v>2625</v>
      </c>
      <c r="BS13">
        <f t="shared" ca="1" si="6"/>
        <v>2957</v>
      </c>
      <c r="BT13">
        <f t="shared" ca="1" si="7"/>
        <v>5327</v>
      </c>
      <c r="BU13">
        <f t="shared" ca="1" si="7"/>
        <v>3193</v>
      </c>
      <c r="BV13">
        <f t="shared" ca="1" si="7"/>
        <v>6249</v>
      </c>
      <c r="BW13">
        <f t="shared" ca="1" si="7"/>
        <v>2847</v>
      </c>
      <c r="BX13">
        <f t="shared" ca="1" si="8"/>
        <v>1161</v>
      </c>
      <c r="BY13">
        <f t="shared" ca="1" si="8"/>
        <v>532</v>
      </c>
      <c r="BZ13">
        <f t="shared" ca="1" si="8"/>
        <v>1404</v>
      </c>
      <c r="CA13">
        <f t="shared" ca="1" si="8"/>
        <v>2824</v>
      </c>
      <c r="CB13" s="7">
        <f ca="1">AVERAGE(BL13:BM33,BP13:BQ33,BT13:BW33)</f>
        <v>5411.4464285714284</v>
      </c>
      <c r="CC13" s="7">
        <f ca="1">AVERAGE(BN13:BO33,BR13:BS33,BX13:CA33)</f>
        <v>1809.2261904761904</v>
      </c>
    </row>
    <row r="14" spans="1:81" x14ac:dyDescent="0.2">
      <c r="A14">
        <v>13</v>
      </c>
      <c r="B14">
        <f t="shared" ca="1" si="9"/>
        <v>20</v>
      </c>
      <c r="C14">
        <f t="shared" ca="1" si="10"/>
        <v>4</v>
      </c>
      <c r="D14">
        <f t="shared" ca="1" si="10"/>
        <v>2</v>
      </c>
      <c r="E14" t="s">
        <v>180</v>
      </c>
      <c r="F14">
        <f t="shared" ca="1" si="11"/>
        <v>0</v>
      </c>
      <c r="G14">
        <f t="shared" ca="1" si="11"/>
        <v>0</v>
      </c>
      <c r="H14">
        <f t="shared" ca="1" si="11"/>
        <v>0</v>
      </c>
      <c r="I14" s="14">
        <f t="shared" ca="1" si="12"/>
        <v>0</v>
      </c>
      <c r="J14" t="s">
        <v>18</v>
      </c>
      <c r="K14">
        <f t="shared" si="13"/>
        <v>1</v>
      </c>
      <c r="L14">
        <v>4</v>
      </c>
      <c r="M14" s="15" t="s">
        <v>26</v>
      </c>
      <c r="N14" s="12" t="s">
        <v>32</v>
      </c>
      <c r="O14" s="13" t="s">
        <v>32</v>
      </c>
      <c r="P14" s="16" t="s">
        <v>31</v>
      </c>
      <c r="Q14" s="4" t="s">
        <v>86</v>
      </c>
      <c r="R14" t="s">
        <v>20</v>
      </c>
      <c r="S14">
        <v>0</v>
      </c>
      <c r="T14">
        <f t="shared" ca="1" si="0"/>
        <v>0</v>
      </c>
      <c r="U14">
        <f t="shared" ca="1" si="0"/>
        <v>1</v>
      </c>
      <c r="V14">
        <f t="shared" ca="1" si="0"/>
        <v>0</v>
      </c>
      <c r="W14">
        <f t="shared" ca="1" si="0"/>
        <v>0</v>
      </c>
      <c r="X14">
        <f t="shared" ca="1" si="0"/>
        <v>1</v>
      </c>
      <c r="Y14">
        <f t="shared" ca="1" si="0"/>
        <v>0</v>
      </c>
      <c r="Z14">
        <f t="shared" ca="1" si="0"/>
        <v>1</v>
      </c>
      <c r="AA14">
        <f t="shared" ca="1" si="0"/>
        <v>0</v>
      </c>
      <c r="AB14">
        <f t="shared" ca="1" si="1"/>
        <v>0</v>
      </c>
      <c r="AC14">
        <f t="shared" ca="1" si="1"/>
        <v>1</v>
      </c>
      <c r="AD14">
        <f t="shared" ca="1" si="1"/>
        <v>0</v>
      </c>
      <c r="AE14">
        <f t="shared" ca="1" si="1"/>
        <v>1</v>
      </c>
      <c r="AF14">
        <f t="shared" ca="1" si="1"/>
        <v>0</v>
      </c>
      <c r="AG14">
        <f t="shared" ca="1" si="1"/>
        <v>0</v>
      </c>
      <c r="AH14">
        <f t="shared" ca="1" si="1"/>
        <v>1</v>
      </c>
      <c r="AI14">
        <f t="shared" ca="1" si="1"/>
        <v>1</v>
      </c>
      <c r="AJ14">
        <f t="shared" ca="1" si="1"/>
        <v>0</v>
      </c>
      <c r="AK14">
        <f t="shared" ca="1" si="1"/>
        <v>0</v>
      </c>
      <c r="AL14">
        <f t="shared" ca="1" si="1"/>
        <v>0</v>
      </c>
      <c r="AM14">
        <f t="shared" ca="1" si="1"/>
        <v>1</v>
      </c>
      <c r="AN14">
        <f t="shared" ca="1" si="1"/>
        <v>0</v>
      </c>
      <c r="AO14">
        <f t="shared" ca="1" si="1"/>
        <v>1</v>
      </c>
      <c r="AP14">
        <f t="shared" ca="1" si="1"/>
        <v>1</v>
      </c>
      <c r="AQ14">
        <f t="shared" ca="1" si="1"/>
        <v>0</v>
      </c>
      <c r="AR14" t="s">
        <v>17</v>
      </c>
      <c r="AS14" t="s">
        <v>17</v>
      </c>
      <c r="AT14" t="s">
        <v>17</v>
      </c>
      <c r="AU14" t="s">
        <v>17</v>
      </c>
      <c r="AV14" t="s">
        <v>17</v>
      </c>
      <c r="AW14" t="s">
        <v>17</v>
      </c>
      <c r="AX14" t="s">
        <v>17</v>
      </c>
      <c r="AY14" t="s">
        <v>17</v>
      </c>
      <c r="AZ14" t="s">
        <v>17</v>
      </c>
      <c r="BA14" t="s">
        <v>17</v>
      </c>
      <c r="BB14" t="s">
        <v>17</v>
      </c>
      <c r="BC14" t="s">
        <v>17</v>
      </c>
      <c r="BD14" t="s">
        <v>17</v>
      </c>
      <c r="BE14" t="s">
        <v>17</v>
      </c>
      <c r="BF14" t="s">
        <v>17</v>
      </c>
      <c r="BG14" t="s">
        <v>17</v>
      </c>
      <c r="BH14" s="1">
        <f t="shared" ca="1" si="14"/>
        <v>0</v>
      </c>
      <c r="BI14" s="1">
        <f t="shared" ca="1" si="15"/>
        <v>0.5</v>
      </c>
      <c r="BJ14" s="1">
        <f t="shared" ca="1" si="16"/>
        <v>0.5</v>
      </c>
      <c r="BK14" s="1">
        <f t="shared" ca="1" si="17"/>
        <v>0.5</v>
      </c>
      <c r="BL14">
        <f t="shared" ca="1" si="3"/>
        <v>4825</v>
      </c>
      <c r="BM14">
        <f t="shared" ca="1" si="3"/>
        <v>8014</v>
      </c>
      <c r="BN14">
        <f t="shared" ca="1" si="4"/>
        <v>1302</v>
      </c>
      <c r="BO14">
        <f t="shared" ca="1" si="4"/>
        <v>1114</v>
      </c>
      <c r="BP14">
        <f t="shared" ca="1" si="5"/>
        <v>2345</v>
      </c>
      <c r="BQ14">
        <f t="shared" ca="1" si="5"/>
        <v>1894</v>
      </c>
      <c r="BR14">
        <f t="shared" ca="1" si="6"/>
        <v>2444</v>
      </c>
      <c r="BS14">
        <f t="shared" ca="1" si="6"/>
        <v>1207</v>
      </c>
      <c r="BT14">
        <f t="shared" ca="1" si="7"/>
        <v>1049</v>
      </c>
      <c r="BU14">
        <f t="shared" ca="1" si="7"/>
        <v>8324</v>
      </c>
      <c r="BV14">
        <f t="shared" ca="1" si="7"/>
        <v>3362</v>
      </c>
      <c r="BW14">
        <f t="shared" ca="1" si="7"/>
        <v>3337</v>
      </c>
      <c r="BX14">
        <f t="shared" ca="1" si="8"/>
        <v>1377</v>
      </c>
      <c r="BY14">
        <f t="shared" ca="1" si="8"/>
        <v>2690</v>
      </c>
      <c r="BZ14">
        <f t="shared" ca="1" si="8"/>
        <v>2487</v>
      </c>
      <c r="CA14">
        <f t="shared" ca="1" si="8"/>
        <v>1301</v>
      </c>
      <c r="CB14" s="7">
        <f ca="1">AVERAGE(BL14:BM33,BP14:BQ33,BT14:BW33)</f>
        <v>5429.3312500000002</v>
      </c>
      <c r="CC14" s="7">
        <f ca="1">AVERAGE(BN14:BO33,BR14:BS33,BX14:CA33)</f>
        <v>1800.8</v>
      </c>
    </row>
    <row r="15" spans="1:81" x14ac:dyDescent="0.2">
      <c r="A15">
        <v>14</v>
      </c>
      <c r="B15">
        <f t="shared" ca="1" si="9"/>
        <v>25</v>
      </c>
      <c r="C15">
        <f t="shared" ca="1" si="10"/>
        <v>4</v>
      </c>
      <c r="D15">
        <f t="shared" ca="1" si="10"/>
        <v>2</v>
      </c>
      <c r="E15" t="s">
        <v>180</v>
      </c>
      <c r="F15">
        <f t="shared" ca="1" si="11"/>
        <v>0</v>
      </c>
      <c r="G15">
        <f t="shared" ca="1" si="11"/>
        <v>0</v>
      </c>
      <c r="H15">
        <f t="shared" ca="1" si="11"/>
        <v>0</v>
      </c>
      <c r="I15" s="14">
        <f t="shared" ca="1" si="12"/>
        <v>1</v>
      </c>
      <c r="J15" t="s">
        <v>19</v>
      </c>
      <c r="K15">
        <f t="shared" si="13"/>
        <v>0</v>
      </c>
      <c r="L15">
        <v>4</v>
      </c>
      <c r="M15" s="15" t="s">
        <v>26</v>
      </c>
      <c r="N15" s="12" t="s">
        <v>32</v>
      </c>
      <c r="O15" s="13" t="s">
        <v>32</v>
      </c>
      <c r="P15" s="16" t="s">
        <v>31</v>
      </c>
      <c r="Q15" s="4" t="s">
        <v>86</v>
      </c>
      <c r="R15" t="s">
        <v>20</v>
      </c>
      <c r="S15">
        <v>0</v>
      </c>
      <c r="T15">
        <f t="shared" ca="1" si="0"/>
        <v>1</v>
      </c>
      <c r="U15">
        <f t="shared" ca="1" si="0"/>
        <v>1</v>
      </c>
      <c r="V15">
        <f t="shared" ca="1" si="0"/>
        <v>1</v>
      </c>
      <c r="W15">
        <f t="shared" ca="1" si="0"/>
        <v>0</v>
      </c>
      <c r="X15">
        <f t="shared" ca="1" si="0"/>
        <v>1</v>
      </c>
      <c r="Y15">
        <f t="shared" ca="1" si="0"/>
        <v>1</v>
      </c>
      <c r="Z15">
        <f t="shared" ca="1" si="0"/>
        <v>1</v>
      </c>
      <c r="AA15">
        <f t="shared" ca="1" si="0"/>
        <v>0</v>
      </c>
      <c r="AB15">
        <f t="shared" ca="1" si="1"/>
        <v>0</v>
      </c>
      <c r="AC15">
        <f t="shared" ca="1" si="1"/>
        <v>0</v>
      </c>
      <c r="AD15">
        <f t="shared" ca="1" si="1"/>
        <v>1</v>
      </c>
      <c r="AE15">
        <f t="shared" ca="1" si="1"/>
        <v>0</v>
      </c>
      <c r="AF15">
        <f t="shared" ca="1" si="1"/>
        <v>0</v>
      </c>
      <c r="AG15">
        <f t="shared" ca="1" si="1"/>
        <v>1</v>
      </c>
      <c r="AH15">
        <f t="shared" ca="1" si="1"/>
        <v>0</v>
      </c>
      <c r="AI15">
        <f t="shared" ca="1" si="1"/>
        <v>0</v>
      </c>
      <c r="AJ15">
        <f t="shared" ca="1" si="1"/>
        <v>0</v>
      </c>
      <c r="AK15">
        <f t="shared" ca="1" si="1"/>
        <v>1</v>
      </c>
      <c r="AL15">
        <f t="shared" ca="1" si="1"/>
        <v>0</v>
      </c>
      <c r="AM15">
        <f t="shared" ca="1" si="1"/>
        <v>0</v>
      </c>
      <c r="AN15">
        <f t="shared" ca="1" si="1"/>
        <v>1</v>
      </c>
      <c r="AO15">
        <f t="shared" ca="1" si="1"/>
        <v>0</v>
      </c>
      <c r="AP15">
        <f t="shared" ca="1" si="1"/>
        <v>0</v>
      </c>
      <c r="AQ15">
        <f t="shared" ca="1" si="1"/>
        <v>0</v>
      </c>
      <c r="AR15" t="s">
        <v>17</v>
      </c>
      <c r="AS15" t="s">
        <v>17</v>
      </c>
      <c r="AT15" t="s">
        <v>17</v>
      </c>
      <c r="AU15" t="s">
        <v>17</v>
      </c>
      <c r="AV15" t="s">
        <v>17</v>
      </c>
      <c r="AW15" t="s">
        <v>17</v>
      </c>
      <c r="AX15" t="s">
        <v>17</v>
      </c>
      <c r="AY15" t="s">
        <v>17</v>
      </c>
      <c r="AZ15" t="s">
        <v>17</v>
      </c>
      <c r="BA15" t="s">
        <v>17</v>
      </c>
      <c r="BB15" t="s">
        <v>17</v>
      </c>
      <c r="BC15" t="s">
        <v>17</v>
      </c>
      <c r="BD15" t="s">
        <v>17</v>
      </c>
      <c r="BE15" t="s">
        <v>17</v>
      </c>
      <c r="BF15" t="s">
        <v>17</v>
      </c>
      <c r="BG15" t="s">
        <v>17</v>
      </c>
      <c r="BH15" s="1">
        <f t="shared" ca="1" si="14"/>
        <v>0.5</v>
      </c>
      <c r="BI15" s="1">
        <f t="shared" ca="1" si="15"/>
        <v>0</v>
      </c>
      <c r="BJ15" s="1">
        <f t="shared" ca="1" si="16"/>
        <v>0.5</v>
      </c>
      <c r="BK15" s="1">
        <f t="shared" ca="1" si="17"/>
        <v>0</v>
      </c>
      <c r="BL15">
        <f t="shared" ca="1" si="3"/>
        <v>8071</v>
      </c>
      <c r="BM15">
        <f t="shared" ca="1" si="3"/>
        <v>9564</v>
      </c>
      <c r="BN15">
        <f t="shared" ca="1" si="4"/>
        <v>1687</v>
      </c>
      <c r="BO15">
        <f t="shared" ca="1" si="4"/>
        <v>620</v>
      </c>
      <c r="BP15">
        <f t="shared" ca="1" si="5"/>
        <v>520</v>
      </c>
      <c r="BQ15">
        <f t="shared" ca="1" si="5"/>
        <v>1491</v>
      </c>
      <c r="BR15">
        <f t="shared" ca="1" si="6"/>
        <v>1067</v>
      </c>
      <c r="BS15">
        <f t="shared" ca="1" si="6"/>
        <v>1876</v>
      </c>
      <c r="BT15">
        <f t="shared" ca="1" si="7"/>
        <v>4716</v>
      </c>
      <c r="BU15">
        <f t="shared" ca="1" si="7"/>
        <v>8970</v>
      </c>
      <c r="BV15">
        <f t="shared" ca="1" si="7"/>
        <v>2641</v>
      </c>
      <c r="BW15">
        <f t="shared" ca="1" si="7"/>
        <v>9184</v>
      </c>
      <c r="BX15">
        <f t="shared" ca="1" si="8"/>
        <v>2745</v>
      </c>
      <c r="BY15">
        <f t="shared" ca="1" si="8"/>
        <v>899</v>
      </c>
      <c r="BZ15">
        <f t="shared" ca="1" si="8"/>
        <v>2737</v>
      </c>
      <c r="CA15">
        <f t="shared" ca="1" si="8"/>
        <v>2975</v>
      </c>
      <c r="CB15" s="7">
        <f ca="1">AVERAGE(BL15:BM33,BP15:BQ33,BT15:BW33)</f>
        <v>5496.9934210526317</v>
      </c>
      <c r="CC15" s="7">
        <f ca="1">AVERAGE(BN15:BO33,BR15:BS33,BX15:CA33)</f>
        <v>1803.9868421052631</v>
      </c>
    </row>
    <row r="16" spans="1:81" x14ac:dyDescent="0.2">
      <c r="A16">
        <v>15</v>
      </c>
      <c r="B16">
        <f t="shared" ca="1" si="9"/>
        <v>24</v>
      </c>
      <c r="C16">
        <f t="shared" ca="1" si="10"/>
        <v>1</v>
      </c>
      <c r="D16">
        <f t="shared" ca="1" si="10"/>
        <v>4</v>
      </c>
      <c r="E16" t="s">
        <v>180</v>
      </c>
      <c r="F16">
        <f t="shared" ca="1" si="11"/>
        <v>1</v>
      </c>
      <c r="G16">
        <f t="shared" ca="1" si="11"/>
        <v>1</v>
      </c>
      <c r="H16">
        <f t="shared" ca="1" si="11"/>
        <v>0</v>
      </c>
      <c r="I16" s="14">
        <f t="shared" ca="1" si="12"/>
        <v>0</v>
      </c>
      <c r="J16" t="s">
        <v>18</v>
      </c>
      <c r="K16">
        <f t="shared" si="13"/>
        <v>1</v>
      </c>
      <c r="L16">
        <v>4</v>
      </c>
      <c r="M16" s="15" t="s">
        <v>26</v>
      </c>
      <c r="N16" s="12" t="s">
        <v>32</v>
      </c>
      <c r="O16" s="13" t="s">
        <v>32</v>
      </c>
      <c r="P16" s="16" t="s">
        <v>31</v>
      </c>
      <c r="Q16" s="4" t="s">
        <v>86</v>
      </c>
      <c r="R16" t="s">
        <v>20</v>
      </c>
      <c r="S16">
        <v>0</v>
      </c>
      <c r="T16">
        <f t="shared" ca="1" si="0"/>
        <v>0</v>
      </c>
      <c r="U16">
        <f t="shared" ca="1" si="0"/>
        <v>0</v>
      </c>
      <c r="V16">
        <f t="shared" ca="1" si="0"/>
        <v>0</v>
      </c>
      <c r="W16">
        <f t="shared" ca="1" si="0"/>
        <v>1</v>
      </c>
      <c r="X16">
        <f t="shared" ca="1" si="0"/>
        <v>1</v>
      </c>
      <c r="Y16">
        <f t="shared" ca="1" si="0"/>
        <v>0</v>
      </c>
      <c r="Z16">
        <f t="shared" ca="1" si="0"/>
        <v>1</v>
      </c>
      <c r="AA16">
        <f t="shared" ca="1" si="0"/>
        <v>1</v>
      </c>
      <c r="AB16">
        <f t="shared" ca="1" si="1"/>
        <v>1</v>
      </c>
      <c r="AC16">
        <f t="shared" ca="1" si="1"/>
        <v>1</v>
      </c>
      <c r="AD16">
        <f t="shared" ca="1" si="1"/>
        <v>0</v>
      </c>
      <c r="AE16">
        <f t="shared" ca="1" si="1"/>
        <v>1</v>
      </c>
      <c r="AF16">
        <f t="shared" ca="1" si="1"/>
        <v>0</v>
      </c>
      <c r="AG16">
        <f t="shared" ca="1" si="1"/>
        <v>0</v>
      </c>
      <c r="AH16">
        <f t="shared" ca="1" si="1"/>
        <v>1</v>
      </c>
      <c r="AI16">
        <f t="shared" ca="1" si="1"/>
        <v>0</v>
      </c>
      <c r="AJ16">
        <f t="shared" ca="1" si="1"/>
        <v>0</v>
      </c>
      <c r="AK16">
        <f t="shared" ca="1" si="1"/>
        <v>1</v>
      </c>
      <c r="AL16">
        <f t="shared" ca="1" si="1"/>
        <v>1</v>
      </c>
      <c r="AM16">
        <f t="shared" ca="1" si="1"/>
        <v>1</v>
      </c>
      <c r="AN16">
        <f t="shared" ca="1" si="1"/>
        <v>0</v>
      </c>
      <c r="AO16">
        <f t="shared" ca="1" si="1"/>
        <v>1</v>
      </c>
      <c r="AP16">
        <f t="shared" ca="1" si="1"/>
        <v>1</v>
      </c>
      <c r="AQ16">
        <f t="shared" ca="1" si="1"/>
        <v>1</v>
      </c>
      <c r="AR16" t="s">
        <v>17</v>
      </c>
      <c r="AS16" t="s">
        <v>17</v>
      </c>
      <c r="AT16" t="s">
        <v>17</v>
      </c>
      <c r="AU16" t="s">
        <v>17</v>
      </c>
      <c r="AV16" t="s">
        <v>17</v>
      </c>
      <c r="AW16" t="s">
        <v>17</v>
      </c>
      <c r="AX16" t="s">
        <v>17</v>
      </c>
      <c r="AY16" t="s">
        <v>17</v>
      </c>
      <c r="AZ16" t="s">
        <v>17</v>
      </c>
      <c r="BA16" t="s">
        <v>17</v>
      </c>
      <c r="BB16" t="s">
        <v>17</v>
      </c>
      <c r="BC16" t="s">
        <v>17</v>
      </c>
      <c r="BD16" t="s">
        <v>17</v>
      </c>
      <c r="BE16" t="s">
        <v>17</v>
      </c>
      <c r="BF16" t="s">
        <v>17</v>
      </c>
      <c r="BG16" t="s">
        <v>17</v>
      </c>
      <c r="BH16" s="1">
        <f t="shared" ca="1" si="14"/>
        <v>0.5</v>
      </c>
      <c r="BI16" s="1">
        <f t="shared" ca="1" si="15"/>
        <v>1</v>
      </c>
      <c r="BJ16" s="1">
        <f t="shared" ca="1" si="16"/>
        <v>0.5</v>
      </c>
      <c r="BK16" s="1">
        <f t="shared" ca="1" si="17"/>
        <v>1</v>
      </c>
      <c r="BL16">
        <f t="shared" ca="1" si="3"/>
        <v>7810</v>
      </c>
      <c r="BM16">
        <f t="shared" ca="1" si="3"/>
        <v>8663</v>
      </c>
      <c r="BN16">
        <f t="shared" ca="1" si="4"/>
        <v>2113</v>
      </c>
      <c r="BO16">
        <f t="shared" ca="1" si="4"/>
        <v>1961</v>
      </c>
      <c r="BP16">
        <f t="shared" ca="1" si="5"/>
        <v>6183</v>
      </c>
      <c r="BQ16">
        <f t="shared" ca="1" si="5"/>
        <v>1067</v>
      </c>
      <c r="BR16">
        <f t="shared" ca="1" si="6"/>
        <v>1929</v>
      </c>
      <c r="BS16">
        <f t="shared" ca="1" si="6"/>
        <v>1234</v>
      </c>
      <c r="BT16">
        <f t="shared" ca="1" si="7"/>
        <v>4716</v>
      </c>
      <c r="BU16">
        <f t="shared" ca="1" si="7"/>
        <v>5736</v>
      </c>
      <c r="BV16">
        <f t="shared" ca="1" si="7"/>
        <v>2439</v>
      </c>
      <c r="BW16">
        <f t="shared" ca="1" si="7"/>
        <v>3830</v>
      </c>
      <c r="BX16">
        <f t="shared" ca="1" si="8"/>
        <v>1152</v>
      </c>
      <c r="BY16">
        <f t="shared" ca="1" si="8"/>
        <v>2842</v>
      </c>
      <c r="BZ16">
        <f t="shared" ca="1" si="8"/>
        <v>2625</v>
      </c>
      <c r="CA16">
        <f t="shared" ca="1" si="8"/>
        <v>2403</v>
      </c>
      <c r="CB16" s="7">
        <f ca="1">AVERAGE(BL16:BM33,BP16:BQ33,BT16:BW33)</f>
        <v>5488.791666666667</v>
      </c>
      <c r="CC16" s="7">
        <f ca="1">AVERAGE(BN16:BO33,BR16:BS33,BX16:CA33)</f>
        <v>1802.7777777777778</v>
      </c>
    </row>
    <row r="17" spans="1:81" x14ac:dyDescent="0.2">
      <c r="A17">
        <v>16</v>
      </c>
      <c r="B17">
        <f t="shared" ca="1" si="9"/>
        <v>21</v>
      </c>
      <c r="C17">
        <f t="shared" ca="1" si="10"/>
        <v>3</v>
      </c>
      <c r="D17">
        <f t="shared" ca="1" si="10"/>
        <v>4</v>
      </c>
      <c r="E17" t="s">
        <v>180</v>
      </c>
      <c r="F17">
        <f t="shared" ca="1" si="11"/>
        <v>0</v>
      </c>
      <c r="G17">
        <f t="shared" ca="1" si="11"/>
        <v>1</v>
      </c>
      <c r="H17">
        <f t="shared" ca="1" si="11"/>
        <v>1</v>
      </c>
      <c r="I17" s="14">
        <f t="shared" ca="1" si="12"/>
        <v>0</v>
      </c>
      <c r="J17" t="s">
        <v>19</v>
      </c>
      <c r="K17">
        <f t="shared" si="13"/>
        <v>0</v>
      </c>
      <c r="L17">
        <v>4</v>
      </c>
      <c r="M17" s="15" t="s">
        <v>26</v>
      </c>
      <c r="N17" s="12" t="s">
        <v>32</v>
      </c>
      <c r="O17" s="13" t="s">
        <v>32</v>
      </c>
      <c r="P17" s="16" t="s">
        <v>31</v>
      </c>
      <c r="Q17" s="4" t="s">
        <v>86</v>
      </c>
      <c r="R17" t="s">
        <v>20</v>
      </c>
      <c r="S17">
        <v>0</v>
      </c>
      <c r="T17">
        <f t="shared" ca="1" si="0"/>
        <v>1</v>
      </c>
      <c r="U17">
        <f t="shared" ca="1" si="0"/>
        <v>0</v>
      </c>
      <c r="V17">
        <f t="shared" ca="1" si="0"/>
        <v>1</v>
      </c>
      <c r="W17">
        <f t="shared" ca="1" si="0"/>
        <v>0</v>
      </c>
      <c r="X17">
        <f t="shared" ca="1" si="0"/>
        <v>0</v>
      </c>
      <c r="Y17">
        <f t="shared" ca="1" si="0"/>
        <v>0</v>
      </c>
      <c r="Z17">
        <f t="shared" ca="1" si="0"/>
        <v>1</v>
      </c>
      <c r="AA17">
        <f t="shared" ca="1" si="0"/>
        <v>1</v>
      </c>
      <c r="AB17">
        <f t="shared" ca="1" si="1"/>
        <v>0</v>
      </c>
      <c r="AC17">
        <f t="shared" ca="1" si="1"/>
        <v>1</v>
      </c>
      <c r="AD17">
        <f t="shared" ca="1" si="1"/>
        <v>0</v>
      </c>
      <c r="AE17">
        <f t="shared" ca="1" si="1"/>
        <v>0</v>
      </c>
      <c r="AF17">
        <f t="shared" ca="1" si="1"/>
        <v>1</v>
      </c>
      <c r="AG17">
        <f t="shared" ca="1" si="1"/>
        <v>0</v>
      </c>
      <c r="AH17">
        <f t="shared" ca="1" si="1"/>
        <v>1</v>
      </c>
      <c r="AI17">
        <f t="shared" ca="1" si="1"/>
        <v>0</v>
      </c>
      <c r="AJ17">
        <f t="shared" ca="1" si="1"/>
        <v>0</v>
      </c>
      <c r="AK17">
        <f t="shared" ca="1" si="1"/>
        <v>0</v>
      </c>
      <c r="AL17">
        <f t="shared" ca="1" si="1"/>
        <v>1</v>
      </c>
      <c r="AM17">
        <f t="shared" ca="1" si="1"/>
        <v>0</v>
      </c>
      <c r="AN17">
        <f t="shared" ca="1" si="1"/>
        <v>0</v>
      </c>
      <c r="AO17">
        <f t="shared" ca="1" si="1"/>
        <v>0</v>
      </c>
      <c r="AP17">
        <f t="shared" ca="1" si="1"/>
        <v>1</v>
      </c>
      <c r="AQ17">
        <f t="shared" ca="1" si="1"/>
        <v>1</v>
      </c>
      <c r="AR17" t="s">
        <v>17</v>
      </c>
      <c r="AS17" t="s">
        <v>17</v>
      </c>
      <c r="AT17" t="s">
        <v>17</v>
      </c>
      <c r="AU17" t="s">
        <v>17</v>
      </c>
      <c r="AV17" t="s">
        <v>17</v>
      </c>
      <c r="AW17" t="s">
        <v>17</v>
      </c>
      <c r="AX17" t="s">
        <v>17</v>
      </c>
      <c r="AY17" t="s">
        <v>17</v>
      </c>
      <c r="AZ17" t="s">
        <v>17</v>
      </c>
      <c r="BA17" t="s">
        <v>17</v>
      </c>
      <c r="BB17" t="s">
        <v>17</v>
      </c>
      <c r="BC17" t="s">
        <v>17</v>
      </c>
      <c r="BD17" t="s">
        <v>17</v>
      </c>
      <c r="BE17" t="s">
        <v>17</v>
      </c>
      <c r="BF17" t="s">
        <v>17</v>
      </c>
      <c r="BG17" t="s">
        <v>17</v>
      </c>
      <c r="BH17" s="1">
        <f t="shared" ca="1" si="14"/>
        <v>0</v>
      </c>
      <c r="BI17" s="1">
        <f t="shared" ca="1" si="15"/>
        <v>0.5</v>
      </c>
      <c r="BJ17" s="1">
        <f t="shared" ca="1" si="16"/>
        <v>0</v>
      </c>
      <c r="BK17" s="1">
        <f t="shared" ca="1" si="17"/>
        <v>1</v>
      </c>
      <c r="BL17">
        <f t="shared" ca="1" si="3"/>
        <v>1287</v>
      </c>
      <c r="BM17">
        <f t="shared" ca="1" si="3"/>
        <v>7635</v>
      </c>
      <c r="BN17">
        <f t="shared" ca="1" si="4"/>
        <v>1558</v>
      </c>
      <c r="BO17">
        <f t="shared" ca="1" si="4"/>
        <v>2593</v>
      </c>
      <c r="BP17">
        <f t="shared" ca="1" si="5"/>
        <v>9267</v>
      </c>
      <c r="BQ17">
        <f t="shared" ca="1" si="5"/>
        <v>8352</v>
      </c>
      <c r="BR17">
        <f t="shared" ca="1" si="6"/>
        <v>1412</v>
      </c>
      <c r="BS17">
        <f t="shared" ca="1" si="6"/>
        <v>1231</v>
      </c>
      <c r="BT17">
        <f t="shared" ca="1" si="7"/>
        <v>737</v>
      </c>
      <c r="BU17">
        <f t="shared" ca="1" si="7"/>
        <v>3939</v>
      </c>
      <c r="BV17">
        <f t="shared" ca="1" si="7"/>
        <v>3047</v>
      </c>
      <c r="BW17">
        <f t="shared" ca="1" si="7"/>
        <v>4672</v>
      </c>
      <c r="BX17">
        <f t="shared" ca="1" si="8"/>
        <v>2775</v>
      </c>
      <c r="BY17">
        <f t="shared" ca="1" si="8"/>
        <v>2352</v>
      </c>
      <c r="BZ17">
        <f t="shared" ca="1" si="8"/>
        <v>2015</v>
      </c>
      <c r="CA17">
        <f t="shared" ca="1" si="8"/>
        <v>2357</v>
      </c>
      <c r="CB17" s="7">
        <f ca="1">AVERAGE(BL17:BM33,BP17:BQ33,BT17:BW33)</f>
        <v>5514.2794117647063</v>
      </c>
      <c r="CC17" s="7">
        <f ca="1">AVERAGE(BN17:BO33,BR17:BS33,BX17:CA33)</f>
        <v>1789.2720588235295</v>
      </c>
    </row>
    <row r="18" spans="1:81" x14ac:dyDescent="0.2">
      <c r="A18">
        <v>17</v>
      </c>
      <c r="B18">
        <f t="shared" ca="1" si="9"/>
        <v>23</v>
      </c>
      <c r="C18">
        <f t="shared" ca="1" si="10"/>
        <v>1</v>
      </c>
      <c r="D18">
        <f t="shared" ca="1" si="10"/>
        <v>1</v>
      </c>
      <c r="E18" t="s">
        <v>180</v>
      </c>
      <c r="F18">
        <f t="shared" ca="1" si="11"/>
        <v>0</v>
      </c>
      <c r="G18">
        <f t="shared" ca="1" si="11"/>
        <v>1</v>
      </c>
      <c r="H18">
        <f t="shared" ca="1" si="11"/>
        <v>1</v>
      </c>
      <c r="I18" s="14">
        <f t="shared" ca="1" si="12"/>
        <v>1</v>
      </c>
      <c r="J18" t="s">
        <v>18</v>
      </c>
      <c r="K18">
        <f t="shared" si="13"/>
        <v>1</v>
      </c>
      <c r="L18">
        <v>1</v>
      </c>
      <c r="M18" s="15" t="s">
        <v>23</v>
      </c>
      <c r="N18" s="12" t="s">
        <v>28</v>
      </c>
      <c r="O18" s="13" t="s">
        <v>28</v>
      </c>
      <c r="P18" s="16" t="s">
        <v>30</v>
      </c>
      <c r="Q18" s="4" t="s">
        <v>86</v>
      </c>
      <c r="R18" t="s">
        <v>21</v>
      </c>
      <c r="S18">
        <v>1</v>
      </c>
      <c r="T18">
        <f t="shared" ref="T18:AA33" ca="1" si="18">RANDBETWEEN(0,1)</f>
        <v>1</v>
      </c>
      <c r="U18">
        <f t="shared" ca="1" si="18"/>
        <v>0</v>
      </c>
      <c r="V18">
        <f t="shared" ca="1" si="18"/>
        <v>1</v>
      </c>
      <c r="W18">
        <f t="shared" ca="1" si="18"/>
        <v>1</v>
      </c>
      <c r="X18">
        <f t="shared" ca="1" si="18"/>
        <v>0</v>
      </c>
      <c r="Y18">
        <f t="shared" ca="1" si="18"/>
        <v>1</v>
      </c>
      <c r="Z18">
        <f t="shared" ca="1" si="18"/>
        <v>1</v>
      </c>
      <c r="AA18">
        <f t="shared" ca="1" si="18"/>
        <v>1</v>
      </c>
      <c r="AB18">
        <f t="shared" ref="AB18:AQ33" ca="1" si="19">RANDBETWEEN(0,1)</f>
        <v>1</v>
      </c>
      <c r="AC18">
        <f t="shared" ca="1" si="19"/>
        <v>0</v>
      </c>
      <c r="AD18">
        <f t="shared" ca="1" si="19"/>
        <v>0</v>
      </c>
      <c r="AE18">
        <f t="shared" ca="1" si="19"/>
        <v>1</v>
      </c>
      <c r="AF18">
        <f t="shared" ca="1" si="19"/>
        <v>0</v>
      </c>
      <c r="AG18">
        <f t="shared" ca="1" si="19"/>
        <v>0</v>
      </c>
      <c r="AH18">
        <f t="shared" ca="1" si="19"/>
        <v>1</v>
      </c>
      <c r="AI18">
        <f t="shared" ca="1" si="19"/>
        <v>1</v>
      </c>
      <c r="AJ18">
        <f t="shared" ca="1" si="19"/>
        <v>1</v>
      </c>
      <c r="AK18">
        <f t="shared" ca="1" si="19"/>
        <v>0</v>
      </c>
      <c r="AL18">
        <f t="shared" ca="1" si="19"/>
        <v>1</v>
      </c>
      <c r="AM18">
        <f t="shared" ca="1" si="19"/>
        <v>0</v>
      </c>
      <c r="AN18">
        <f t="shared" ca="1" si="19"/>
        <v>0</v>
      </c>
      <c r="AO18">
        <f t="shared" ca="1" si="19"/>
        <v>0</v>
      </c>
      <c r="AP18">
        <f t="shared" ca="1" si="19"/>
        <v>0</v>
      </c>
      <c r="AQ18">
        <f t="shared" ca="1" si="19"/>
        <v>0</v>
      </c>
      <c r="BH18" s="1">
        <f t="shared" ca="1" si="14"/>
        <v>0.5</v>
      </c>
      <c r="BI18" s="1">
        <f t="shared" ca="1" si="15"/>
        <v>0.5</v>
      </c>
      <c r="BJ18" s="1">
        <f t="shared" ca="1" si="16"/>
        <v>0</v>
      </c>
      <c r="BK18" s="1">
        <f t="shared" ca="1" si="17"/>
        <v>0</v>
      </c>
      <c r="BL18">
        <f t="shared" ca="1" si="3"/>
        <v>5266</v>
      </c>
      <c r="BM18">
        <f t="shared" ca="1" si="3"/>
        <v>4283</v>
      </c>
      <c r="BN18">
        <f t="shared" ca="1" si="4"/>
        <v>1740</v>
      </c>
      <c r="BO18">
        <f t="shared" ca="1" si="4"/>
        <v>1585</v>
      </c>
      <c r="BP18">
        <f t="shared" ca="1" si="5"/>
        <v>5537</v>
      </c>
      <c r="BQ18">
        <f t="shared" ca="1" si="5"/>
        <v>7304</v>
      </c>
      <c r="BR18">
        <f t="shared" ca="1" si="6"/>
        <v>1101</v>
      </c>
      <c r="BS18">
        <f t="shared" ca="1" si="6"/>
        <v>1856</v>
      </c>
      <c r="BT18">
        <f t="shared" ca="1" si="7"/>
        <v>9267</v>
      </c>
      <c r="BU18">
        <f t="shared" ca="1" si="7"/>
        <v>6184</v>
      </c>
      <c r="BV18">
        <f t="shared" ca="1" si="7"/>
        <v>7413</v>
      </c>
      <c r="BW18">
        <f t="shared" ca="1" si="7"/>
        <v>3386</v>
      </c>
      <c r="BX18">
        <f t="shared" ca="1" si="8"/>
        <v>1010</v>
      </c>
      <c r="BY18">
        <f t="shared" ca="1" si="8"/>
        <v>1176</v>
      </c>
      <c r="BZ18">
        <f t="shared" ca="1" si="8"/>
        <v>2711</v>
      </c>
      <c r="CA18">
        <f t="shared" ca="1" si="8"/>
        <v>2250</v>
      </c>
      <c r="CB18" s="7">
        <f ca="1">AVERAGE(BL18:BM33,BP18:BQ33,BT18:BW33)</f>
        <v>5554.734375</v>
      </c>
      <c r="CC18" s="7">
        <f ca="1">AVERAGE(BN18:BO33,BR18:BS33,BX18:CA33)</f>
        <v>1773.8125</v>
      </c>
    </row>
    <row r="19" spans="1:81" x14ac:dyDescent="0.2">
      <c r="A19">
        <v>18</v>
      </c>
      <c r="B19">
        <f t="shared" ca="1" si="9"/>
        <v>23</v>
      </c>
      <c r="C19">
        <f t="shared" ca="1" si="10"/>
        <v>4</v>
      </c>
      <c r="D19">
        <f t="shared" ca="1" si="10"/>
        <v>3</v>
      </c>
      <c r="E19" t="s">
        <v>180</v>
      </c>
      <c r="F19">
        <f t="shared" ca="1" si="11"/>
        <v>0</v>
      </c>
      <c r="G19">
        <f t="shared" ca="1" si="11"/>
        <v>0</v>
      </c>
      <c r="H19">
        <f t="shared" ca="1" si="11"/>
        <v>1</v>
      </c>
      <c r="I19" s="14">
        <f t="shared" ca="1" si="12"/>
        <v>0</v>
      </c>
      <c r="J19" t="s">
        <v>19</v>
      </c>
      <c r="K19">
        <f t="shared" si="13"/>
        <v>0</v>
      </c>
      <c r="L19">
        <v>1</v>
      </c>
      <c r="M19" s="15" t="s">
        <v>23</v>
      </c>
      <c r="N19" s="12" t="s">
        <v>28</v>
      </c>
      <c r="O19" s="13" t="s">
        <v>28</v>
      </c>
      <c r="P19" s="16" t="s">
        <v>30</v>
      </c>
      <c r="Q19" s="4" t="s">
        <v>86</v>
      </c>
      <c r="R19" t="s">
        <v>21</v>
      </c>
      <c r="S19">
        <v>1</v>
      </c>
      <c r="T19">
        <f t="shared" ca="1" si="18"/>
        <v>1</v>
      </c>
      <c r="U19">
        <f t="shared" ca="1" si="18"/>
        <v>0</v>
      </c>
      <c r="V19">
        <f t="shared" ca="1" si="18"/>
        <v>0</v>
      </c>
      <c r="W19">
        <f t="shared" ca="1" si="18"/>
        <v>0</v>
      </c>
      <c r="X19">
        <f t="shared" ca="1" si="18"/>
        <v>1</v>
      </c>
      <c r="Y19">
        <f t="shared" ca="1" si="18"/>
        <v>0</v>
      </c>
      <c r="Z19">
        <f t="shared" ca="1" si="18"/>
        <v>1</v>
      </c>
      <c r="AA19">
        <f t="shared" ca="1" si="18"/>
        <v>0</v>
      </c>
      <c r="AB19">
        <f t="shared" ca="1" si="19"/>
        <v>0</v>
      </c>
      <c r="AC19">
        <f t="shared" ca="1" si="19"/>
        <v>1</v>
      </c>
      <c r="AD19">
        <f t="shared" ca="1" si="19"/>
        <v>1</v>
      </c>
      <c r="AE19">
        <f t="shared" ca="1" si="19"/>
        <v>0</v>
      </c>
      <c r="AF19">
        <f t="shared" ca="1" si="19"/>
        <v>0</v>
      </c>
      <c r="AG19">
        <f t="shared" ca="1" si="19"/>
        <v>1</v>
      </c>
      <c r="AH19">
        <f t="shared" ca="1" si="19"/>
        <v>1</v>
      </c>
      <c r="AI19">
        <f t="shared" ca="1" si="19"/>
        <v>0</v>
      </c>
      <c r="AJ19">
        <f t="shared" ca="1" si="19"/>
        <v>1</v>
      </c>
      <c r="AK19">
        <f t="shared" ca="1" si="19"/>
        <v>1</v>
      </c>
      <c r="AL19">
        <f t="shared" ca="1" si="19"/>
        <v>0</v>
      </c>
      <c r="AM19">
        <f t="shared" ca="1" si="19"/>
        <v>1</v>
      </c>
      <c r="AN19">
        <f t="shared" ca="1" si="19"/>
        <v>1</v>
      </c>
      <c r="AO19">
        <f t="shared" ca="1" si="19"/>
        <v>0</v>
      </c>
      <c r="AP19">
        <f t="shared" ca="1" si="19"/>
        <v>1</v>
      </c>
      <c r="AQ19">
        <f t="shared" ca="1" si="19"/>
        <v>0</v>
      </c>
      <c r="BH19" s="1">
        <f t="shared" ca="1" si="14"/>
        <v>1</v>
      </c>
      <c r="BI19" s="1">
        <f t="shared" ca="1" si="15"/>
        <v>0.5</v>
      </c>
      <c r="BJ19" s="1">
        <f t="shared" ca="1" si="16"/>
        <v>0.5</v>
      </c>
      <c r="BK19" s="1">
        <f t="shared" ca="1" si="17"/>
        <v>0.5</v>
      </c>
      <c r="BL19">
        <f t="shared" ca="1" si="3"/>
        <v>7645</v>
      </c>
      <c r="BM19">
        <f t="shared" ca="1" si="3"/>
        <v>5936</v>
      </c>
      <c r="BN19">
        <f t="shared" ca="1" si="4"/>
        <v>2838</v>
      </c>
      <c r="BO19">
        <f t="shared" ca="1" si="4"/>
        <v>1401</v>
      </c>
      <c r="BP19">
        <f t="shared" ca="1" si="5"/>
        <v>2388</v>
      </c>
      <c r="BQ19">
        <f t="shared" ca="1" si="5"/>
        <v>9560</v>
      </c>
      <c r="BR19">
        <f t="shared" ca="1" si="6"/>
        <v>2732</v>
      </c>
      <c r="BS19">
        <f t="shared" ca="1" si="6"/>
        <v>2310</v>
      </c>
      <c r="BT19">
        <f t="shared" ca="1" si="7"/>
        <v>5980</v>
      </c>
      <c r="BU19">
        <f t="shared" ca="1" si="7"/>
        <v>8226</v>
      </c>
      <c r="BV19">
        <f t="shared" ca="1" si="7"/>
        <v>5189</v>
      </c>
      <c r="BW19">
        <f t="shared" ca="1" si="7"/>
        <v>9231</v>
      </c>
      <c r="BX19">
        <f t="shared" ca="1" si="8"/>
        <v>1275</v>
      </c>
      <c r="BY19">
        <f t="shared" ca="1" si="8"/>
        <v>2328</v>
      </c>
      <c r="BZ19">
        <f t="shared" ca="1" si="8"/>
        <v>1292</v>
      </c>
      <c r="CA19">
        <f t="shared" ca="1" si="8"/>
        <v>987</v>
      </c>
      <c r="CB19" s="7">
        <f ca="1">AVERAGE(BL19:BM33,BP19:BQ33,BT19:BW33)</f>
        <v>5519.7166666666662</v>
      </c>
      <c r="CC19" s="7">
        <f ca="1">AVERAGE(BN19:BO33,BR19:BS33,BX19:CA33)</f>
        <v>1780.1583333333333</v>
      </c>
    </row>
    <row r="20" spans="1:81" x14ac:dyDescent="0.2">
      <c r="A20">
        <v>19</v>
      </c>
      <c r="B20">
        <f t="shared" ca="1" si="9"/>
        <v>24</v>
      </c>
      <c r="C20">
        <f t="shared" ca="1" si="10"/>
        <v>3</v>
      </c>
      <c r="D20">
        <f t="shared" ca="1" si="10"/>
        <v>1</v>
      </c>
      <c r="E20" t="s">
        <v>180</v>
      </c>
      <c r="F20">
        <f t="shared" ca="1" si="11"/>
        <v>0</v>
      </c>
      <c r="G20">
        <f t="shared" ca="1" si="11"/>
        <v>0</v>
      </c>
      <c r="H20">
        <f t="shared" ca="1" si="11"/>
        <v>0</v>
      </c>
      <c r="I20" s="14">
        <f t="shared" ca="1" si="12"/>
        <v>0</v>
      </c>
      <c r="J20" t="s">
        <v>18</v>
      </c>
      <c r="K20">
        <f t="shared" si="13"/>
        <v>1</v>
      </c>
      <c r="L20">
        <v>1</v>
      </c>
      <c r="M20" s="15" t="s">
        <v>23</v>
      </c>
      <c r="N20" s="12" t="s">
        <v>28</v>
      </c>
      <c r="O20" s="13" t="s">
        <v>28</v>
      </c>
      <c r="P20" s="16" t="s">
        <v>30</v>
      </c>
      <c r="Q20" s="4" t="s">
        <v>86</v>
      </c>
      <c r="R20" t="s">
        <v>21</v>
      </c>
      <c r="S20">
        <v>1</v>
      </c>
      <c r="T20">
        <f t="shared" ca="1" si="18"/>
        <v>1</v>
      </c>
      <c r="U20">
        <f t="shared" ca="1" si="18"/>
        <v>1</v>
      </c>
      <c r="V20">
        <f t="shared" ca="1" si="18"/>
        <v>0</v>
      </c>
      <c r="W20">
        <f t="shared" ca="1" si="18"/>
        <v>0</v>
      </c>
      <c r="X20">
        <f t="shared" ca="1" si="18"/>
        <v>1</v>
      </c>
      <c r="Y20">
        <f t="shared" ca="1" si="18"/>
        <v>0</v>
      </c>
      <c r="Z20">
        <f t="shared" ca="1" si="18"/>
        <v>1</v>
      </c>
      <c r="AA20">
        <f t="shared" ca="1" si="18"/>
        <v>1</v>
      </c>
      <c r="AB20">
        <f t="shared" ca="1" si="19"/>
        <v>1</v>
      </c>
      <c r="AC20">
        <f t="shared" ca="1" si="19"/>
        <v>0</v>
      </c>
      <c r="AD20">
        <f t="shared" ca="1" si="19"/>
        <v>0</v>
      </c>
      <c r="AE20">
        <f t="shared" ca="1" si="19"/>
        <v>1</v>
      </c>
      <c r="AF20">
        <f t="shared" ca="1" si="19"/>
        <v>1</v>
      </c>
      <c r="AG20">
        <f t="shared" ca="1" si="19"/>
        <v>1</v>
      </c>
      <c r="AH20">
        <f t="shared" ca="1" si="19"/>
        <v>0</v>
      </c>
      <c r="AI20">
        <f t="shared" ca="1" si="19"/>
        <v>0</v>
      </c>
      <c r="AJ20">
        <f t="shared" ca="1" si="19"/>
        <v>1</v>
      </c>
      <c r="AK20">
        <f t="shared" ca="1" si="19"/>
        <v>0</v>
      </c>
      <c r="AL20">
        <f t="shared" ca="1" si="19"/>
        <v>0</v>
      </c>
      <c r="AM20">
        <f t="shared" ca="1" si="19"/>
        <v>0</v>
      </c>
      <c r="AN20">
        <f t="shared" ca="1" si="19"/>
        <v>0</v>
      </c>
      <c r="AO20">
        <f t="shared" ca="1" si="19"/>
        <v>0</v>
      </c>
      <c r="AP20">
        <f t="shared" ca="1" si="19"/>
        <v>0</v>
      </c>
      <c r="AQ20">
        <f t="shared" ca="1" si="19"/>
        <v>0</v>
      </c>
      <c r="BH20" s="1">
        <f t="shared" ca="1" si="14"/>
        <v>0.5</v>
      </c>
      <c r="BI20" s="1">
        <f t="shared" ca="1" si="15"/>
        <v>0</v>
      </c>
      <c r="BJ20" s="1">
        <f t="shared" ca="1" si="16"/>
        <v>0</v>
      </c>
      <c r="BK20" s="1">
        <f t="shared" ca="1" si="17"/>
        <v>0</v>
      </c>
      <c r="BL20">
        <f t="shared" ca="1" si="3"/>
        <v>9307</v>
      </c>
      <c r="BM20">
        <f t="shared" ca="1" si="3"/>
        <v>2633</v>
      </c>
      <c r="BN20">
        <f t="shared" ca="1" si="4"/>
        <v>2108</v>
      </c>
      <c r="BO20">
        <f t="shared" ca="1" si="4"/>
        <v>802</v>
      </c>
      <c r="BP20">
        <f t="shared" ca="1" si="5"/>
        <v>5531</v>
      </c>
      <c r="BQ20">
        <f t="shared" ca="1" si="5"/>
        <v>3786</v>
      </c>
      <c r="BR20">
        <f t="shared" ca="1" si="6"/>
        <v>2522</v>
      </c>
      <c r="BS20">
        <f t="shared" ca="1" si="6"/>
        <v>2189</v>
      </c>
      <c r="BT20">
        <f t="shared" ca="1" si="7"/>
        <v>4931</v>
      </c>
      <c r="BU20">
        <f t="shared" ca="1" si="7"/>
        <v>1705</v>
      </c>
      <c r="BV20">
        <f t="shared" ca="1" si="7"/>
        <v>9495</v>
      </c>
      <c r="BW20">
        <f t="shared" ca="1" si="7"/>
        <v>4577</v>
      </c>
      <c r="BX20">
        <f t="shared" ca="1" si="8"/>
        <v>1242</v>
      </c>
      <c r="BY20">
        <f t="shared" ca="1" si="8"/>
        <v>988</v>
      </c>
      <c r="BZ20">
        <f t="shared" ca="1" si="8"/>
        <v>1357</v>
      </c>
      <c r="CA20">
        <f t="shared" ca="1" si="8"/>
        <v>915</v>
      </c>
      <c r="CB20" s="7">
        <f ca="1">AVERAGE(BL20:BM33,BP20:BQ33,BT20:BW33)</f>
        <v>5430.4553571428569</v>
      </c>
      <c r="CC20" s="7">
        <f ca="1">AVERAGE(BN20:BO33,BR20:BS33,BX20:CA33)</f>
        <v>1771.9285714285713</v>
      </c>
    </row>
    <row r="21" spans="1:81" x14ac:dyDescent="0.2">
      <c r="A21">
        <v>20</v>
      </c>
      <c r="B21">
        <f t="shared" ca="1" si="9"/>
        <v>24</v>
      </c>
      <c r="C21">
        <f t="shared" ca="1" si="10"/>
        <v>4</v>
      </c>
      <c r="D21">
        <f t="shared" ca="1" si="10"/>
        <v>4</v>
      </c>
      <c r="E21" t="s">
        <v>180</v>
      </c>
      <c r="F21">
        <f t="shared" ca="1" si="11"/>
        <v>1</v>
      </c>
      <c r="G21">
        <f t="shared" ca="1" si="11"/>
        <v>1</v>
      </c>
      <c r="H21">
        <f t="shared" ca="1" si="11"/>
        <v>0</v>
      </c>
      <c r="I21" s="14">
        <f t="shared" ca="1" si="12"/>
        <v>0</v>
      </c>
      <c r="J21" t="s">
        <v>19</v>
      </c>
      <c r="K21">
        <f t="shared" si="13"/>
        <v>0</v>
      </c>
      <c r="L21">
        <v>1</v>
      </c>
      <c r="M21" s="15" t="s">
        <v>23</v>
      </c>
      <c r="N21" s="12" t="s">
        <v>28</v>
      </c>
      <c r="O21" s="13" t="s">
        <v>28</v>
      </c>
      <c r="P21" s="16" t="s">
        <v>30</v>
      </c>
      <c r="Q21" s="4" t="s">
        <v>86</v>
      </c>
      <c r="R21" t="s">
        <v>21</v>
      </c>
      <c r="S21">
        <v>1</v>
      </c>
      <c r="T21">
        <f t="shared" ca="1" si="18"/>
        <v>0</v>
      </c>
      <c r="U21">
        <f t="shared" ca="1" si="18"/>
        <v>0</v>
      </c>
      <c r="V21">
        <f t="shared" ca="1" si="18"/>
        <v>0</v>
      </c>
      <c r="W21">
        <f t="shared" ca="1" si="18"/>
        <v>0</v>
      </c>
      <c r="X21">
        <f t="shared" ca="1" si="18"/>
        <v>1</v>
      </c>
      <c r="Y21">
        <f t="shared" ca="1" si="18"/>
        <v>0</v>
      </c>
      <c r="Z21">
        <f t="shared" ca="1" si="18"/>
        <v>0</v>
      </c>
      <c r="AA21">
        <f t="shared" ca="1" si="18"/>
        <v>0</v>
      </c>
      <c r="AB21">
        <f t="shared" ca="1" si="19"/>
        <v>0</v>
      </c>
      <c r="AC21">
        <f t="shared" ca="1" si="19"/>
        <v>0</v>
      </c>
      <c r="AD21">
        <f t="shared" ca="1" si="19"/>
        <v>1</v>
      </c>
      <c r="AE21">
        <f t="shared" ca="1" si="19"/>
        <v>0</v>
      </c>
      <c r="AF21">
        <f t="shared" ca="1" si="19"/>
        <v>1</v>
      </c>
      <c r="AG21">
        <f t="shared" ca="1" si="19"/>
        <v>0</v>
      </c>
      <c r="AH21">
        <f t="shared" ca="1" si="19"/>
        <v>0</v>
      </c>
      <c r="AI21">
        <f t="shared" ca="1" si="19"/>
        <v>1</v>
      </c>
      <c r="AJ21">
        <f t="shared" ca="1" si="19"/>
        <v>1</v>
      </c>
      <c r="AK21">
        <f t="shared" ca="1" si="19"/>
        <v>0</v>
      </c>
      <c r="AL21">
        <f t="shared" ca="1" si="19"/>
        <v>0</v>
      </c>
      <c r="AM21">
        <f t="shared" ca="1" si="19"/>
        <v>1</v>
      </c>
      <c r="AN21">
        <f t="shared" ca="1" si="19"/>
        <v>1</v>
      </c>
      <c r="AO21">
        <f t="shared" ca="1" si="19"/>
        <v>1</v>
      </c>
      <c r="AP21">
        <f t="shared" ca="1" si="19"/>
        <v>1</v>
      </c>
      <c r="AQ21">
        <f t="shared" ca="1" si="19"/>
        <v>1</v>
      </c>
      <c r="BH21" s="1">
        <f t="shared" ca="1" si="14"/>
        <v>0.5</v>
      </c>
      <c r="BI21" s="1">
        <f t="shared" ca="1" si="15"/>
        <v>0.5</v>
      </c>
      <c r="BJ21" s="1">
        <f t="shared" ca="1" si="16"/>
        <v>1</v>
      </c>
      <c r="BK21" s="1">
        <f t="shared" ca="1" si="17"/>
        <v>1</v>
      </c>
      <c r="BL21">
        <f t="shared" ca="1" si="3"/>
        <v>9992</v>
      </c>
      <c r="BM21">
        <f t="shared" ca="1" si="3"/>
        <v>1420</v>
      </c>
      <c r="BN21">
        <f t="shared" ca="1" si="4"/>
        <v>1792</v>
      </c>
      <c r="BO21">
        <f t="shared" ca="1" si="4"/>
        <v>1590</v>
      </c>
      <c r="BP21">
        <f t="shared" ca="1" si="5"/>
        <v>4813</v>
      </c>
      <c r="BQ21">
        <f t="shared" ca="1" si="5"/>
        <v>1818</v>
      </c>
      <c r="BR21">
        <f t="shared" ca="1" si="6"/>
        <v>2189</v>
      </c>
      <c r="BS21">
        <f t="shared" ca="1" si="6"/>
        <v>1199</v>
      </c>
      <c r="BT21">
        <f t="shared" ca="1" si="7"/>
        <v>6243</v>
      </c>
      <c r="BU21">
        <f t="shared" ca="1" si="7"/>
        <v>8368</v>
      </c>
      <c r="BV21">
        <f t="shared" ca="1" si="7"/>
        <v>6099</v>
      </c>
      <c r="BW21">
        <f t="shared" ca="1" si="7"/>
        <v>1062</v>
      </c>
      <c r="BX21">
        <f t="shared" ca="1" si="8"/>
        <v>2587</v>
      </c>
      <c r="BY21">
        <f t="shared" ca="1" si="8"/>
        <v>1771</v>
      </c>
      <c r="BZ21">
        <f t="shared" ca="1" si="8"/>
        <v>1432</v>
      </c>
      <c r="CA21">
        <f t="shared" ca="1" si="8"/>
        <v>1916</v>
      </c>
      <c r="CB21" s="7">
        <f ca="1">AVERAGE(BL21:BM33,BP21:BQ33,BT21:BW33)</f>
        <v>5444.6730769230771</v>
      </c>
      <c r="CC21" s="7">
        <f ca="1">AVERAGE(BN21:BO33,BR21:BS33,BX21:CA33)</f>
        <v>1791.6634615384614</v>
      </c>
    </row>
    <row r="22" spans="1:81" x14ac:dyDescent="0.2">
      <c r="A22">
        <v>21</v>
      </c>
      <c r="B22">
        <f t="shared" ca="1" si="9"/>
        <v>19</v>
      </c>
      <c r="C22">
        <f t="shared" ca="1" si="10"/>
        <v>2</v>
      </c>
      <c r="D22">
        <f t="shared" ca="1" si="10"/>
        <v>2</v>
      </c>
      <c r="E22" t="s">
        <v>180</v>
      </c>
      <c r="F22">
        <f t="shared" ca="1" si="11"/>
        <v>1</v>
      </c>
      <c r="G22">
        <f t="shared" ca="1" si="11"/>
        <v>1</v>
      </c>
      <c r="H22">
        <f t="shared" ca="1" si="11"/>
        <v>0</v>
      </c>
      <c r="I22" s="14">
        <f t="shared" ca="1" si="12"/>
        <v>1</v>
      </c>
      <c r="J22" t="s">
        <v>18</v>
      </c>
      <c r="K22">
        <f t="shared" si="13"/>
        <v>1</v>
      </c>
      <c r="L22">
        <v>2</v>
      </c>
      <c r="M22" s="15" t="s">
        <v>24</v>
      </c>
      <c r="N22" s="12" t="s">
        <v>30</v>
      </c>
      <c r="O22" s="13" t="s">
        <v>30</v>
      </c>
      <c r="P22" s="16" t="s">
        <v>28</v>
      </c>
      <c r="Q22" s="4" t="s">
        <v>86</v>
      </c>
      <c r="R22" t="s">
        <v>21</v>
      </c>
      <c r="S22">
        <v>1</v>
      </c>
      <c r="T22">
        <f t="shared" ca="1" si="18"/>
        <v>0</v>
      </c>
      <c r="U22">
        <f t="shared" ca="1" si="18"/>
        <v>1</v>
      </c>
      <c r="V22">
        <f t="shared" ca="1" si="18"/>
        <v>0</v>
      </c>
      <c r="W22">
        <f t="shared" ca="1" si="18"/>
        <v>0</v>
      </c>
      <c r="X22">
        <f t="shared" ca="1" si="18"/>
        <v>0</v>
      </c>
      <c r="Y22">
        <f t="shared" ca="1" si="18"/>
        <v>1</v>
      </c>
      <c r="Z22">
        <f t="shared" ca="1" si="18"/>
        <v>0</v>
      </c>
      <c r="AA22">
        <f t="shared" ca="1" si="18"/>
        <v>0</v>
      </c>
      <c r="AB22">
        <f t="shared" ca="1" si="19"/>
        <v>0</v>
      </c>
      <c r="AC22">
        <f t="shared" ca="1" si="19"/>
        <v>1</v>
      </c>
      <c r="AD22">
        <f t="shared" ca="1" si="19"/>
        <v>0</v>
      </c>
      <c r="AE22">
        <f t="shared" ca="1" si="19"/>
        <v>1</v>
      </c>
      <c r="AF22">
        <f t="shared" ca="1" si="19"/>
        <v>0</v>
      </c>
      <c r="AG22">
        <f t="shared" ca="1" si="19"/>
        <v>0</v>
      </c>
      <c r="AH22">
        <f t="shared" ca="1" si="19"/>
        <v>0</v>
      </c>
      <c r="AI22">
        <f t="shared" ca="1" si="19"/>
        <v>1</v>
      </c>
      <c r="AJ22">
        <f t="shared" ca="1" si="19"/>
        <v>0</v>
      </c>
      <c r="AK22">
        <f t="shared" ca="1" si="19"/>
        <v>1</v>
      </c>
      <c r="AL22">
        <f t="shared" ca="1" si="19"/>
        <v>1</v>
      </c>
      <c r="AM22">
        <f t="shared" ca="1" si="19"/>
        <v>0</v>
      </c>
      <c r="AN22">
        <f t="shared" ca="1" si="19"/>
        <v>1</v>
      </c>
      <c r="AO22">
        <f t="shared" ca="1" si="19"/>
        <v>1</v>
      </c>
      <c r="AP22">
        <f t="shared" ca="1" si="19"/>
        <v>1</v>
      </c>
      <c r="AQ22">
        <f t="shared" ca="1" si="19"/>
        <v>0</v>
      </c>
      <c r="BH22" s="1">
        <f t="shared" ca="1" si="14"/>
        <v>0.5</v>
      </c>
      <c r="BI22" s="1">
        <f t="shared" ca="1" si="15"/>
        <v>0.5</v>
      </c>
      <c r="BJ22" s="1">
        <f t="shared" ca="1" si="16"/>
        <v>1</v>
      </c>
      <c r="BK22" s="1">
        <f t="shared" ca="1" si="17"/>
        <v>0.5</v>
      </c>
      <c r="BL22">
        <f t="shared" ca="1" si="3"/>
        <v>3692</v>
      </c>
      <c r="BM22">
        <f t="shared" ca="1" si="3"/>
        <v>6440</v>
      </c>
      <c r="BN22">
        <f t="shared" ca="1" si="4"/>
        <v>2378</v>
      </c>
      <c r="BO22">
        <f t="shared" ca="1" si="4"/>
        <v>2818</v>
      </c>
      <c r="BP22">
        <f t="shared" ca="1" si="5"/>
        <v>3144</v>
      </c>
      <c r="BQ22">
        <f t="shared" ca="1" si="5"/>
        <v>2259</v>
      </c>
      <c r="BR22">
        <f t="shared" ca="1" si="6"/>
        <v>906</v>
      </c>
      <c r="BS22">
        <f t="shared" ca="1" si="6"/>
        <v>2936</v>
      </c>
      <c r="BT22">
        <f t="shared" ca="1" si="7"/>
        <v>4262</v>
      </c>
      <c r="BU22">
        <f t="shared" ca="1" si="7"/>
        <v>2342</v>
      </c>
      <c r="BV22">
        <f t="shared" ca="1" si="7"/>
        <v>4481</v>
      </c>
      <c r="BW22">
        <f t="shared" ca="1" si="7"/>
        <v>3193</v>
      </c>
      <c r="BX22">
        <f t="shared" ca="1" si="8"/>
        <v>1815</v>
      </c>
      <c r="BY22">
        <f t="shared" ca="1" si="8"/>
        <v>812</v>
      </c>
      <c r="BZ22">
        <f t="shared" ca="1" si="8"/>
        <v>1573</v>
      </c>
      <c r="CA22">
        <f t="shared" ca="1" si="8"/>
        <v>1858</v>
      </c>
      <c r="CB22" s="7">
        <f ca="1">AVERAGE(BL22:BM33,BP22:BQ33,BT22:BW33)</f>
        <v>5483.65625</v>
      </c>
      <c r="CC22" s="7">
        <f ca="1">AVERAGE(BN22:BO33,BR22:BS33,BX22:CA33)</f>
        <v>1790.1770833333333</v>
      </c>
    </row>
    <row r="23" spans="1:81" x14ac:dyDescent="0.2">
      <c r="A23">
        <v>22</v>
      </c>
      <c r="B23">
        <f t="shared" ca="1" si="9"/>
        <v>23</v>
      </c>
      <c r="C23">
        <f t="shared" ca="1" si="10"/>
        <v>2</v>
      </c>
      <c r="D23">
        <f t="shared" ca="1" si="10"/>
        <v>1</v>
      </c>
      <c r="E23" t="s">
        <v>180</v>
      </c>
      <c r="F23">
        <f t="shared" ca="1" si="11"/>
        <v>0</v>
      </c>
      <c r="G23">
        <f t="shared" ca="1" si="11"/>
        <v>1</v>
      </c>
      <c r="H23">
        <f t="shared" ca="1" si="11"/>
        <v>0</v>
      </c>
      <c r="I23" s="14">
        <f t="shared" ca="1" si="12"/>
        <v>1</v>
      </c>
      <c r="J23" t="s">
        <v>19</v>
      </c>
      <c r="K23">
        <f t="shared" si="13"/>
        <v>0</v>
      </c>
      <c r="L23">
        <v>2</v>
      </c>
      <c r="M23" s="15" t="s">
        <v>24</v>
      </c>
      <c r="N23" s="12" t="s">
        <v>30</v>
      </c>
      <c r="O23" s="13" t="s">
        <v>30</v>
      </c>
      <c r="P23" s="16" t="s">
        <v>28</v>
      </c>
      <c r="Q23" s="4" t="s">
        <v>86</v>
      </c>
      <c r="R23" t="s">
        <v>21</v>
      </c>
      <c r="S23">
        <v>1</v>
      </c>
      <c r="T23">
        <f t="shared" ca="1" si="18"/>
        <v>0</v>
      </c>
      <c r="U23">
        <f t="shared" ca="1" si="18"/>
        <v>0</v>
      </c>
      <c r="V23">
        <f t="shared" ca="1" si="18"/>
        <v>0</v>
      </c>
      <c r="W23">
        <f t="shared" ca="1" si="18"/>
        <v>0</v>
      </c>
      <c r="X23">
        <f t="shared" ca="1" si="18"/>
        <v>1</v>
      </c>
      <c r="Y23">
        <f t="shared" ca="1" si="18"/>
        <v>1</v>
      </c>
      <c r="Z23">
        <f t="shared" ca="1" si="18"/>
        <v>0</v>
      </c>
      <c r="AA23">
        <f t="shared" ca="1" si="18"/>
        <v>1</v>
      </c>
      <c r="AB23">
        <f t="shared" ca="1" si="19"/>
        <v>1</v>
      </c>
      <c r="AC23">
        <f t="shared" ca="1" si="19"/>
        <v>1</v>
      </c>
      <c r="AD23">
        <f t="shared" ca="1" si="19"/>
        <v>1</v>
      </c>
      <c r="AE23">
        <f t="shared" ca="1" si="19"/>
        <v>1</v>
      </c>
      <c r="AF23">
        <f t="shared" ca="1" si="19"/>
        <v>1</v>
      </c>
      <c r="AG23">
        <f t="shared" ca="1" si="19"/>
        <v>0</v>
      </c>
      <c r="AH23">
        <f t="shared" ca="1" si="19"/>
        <v>1</v>
      </c>
      <c r="AI23">
        <f t="shared" ca="1" si="19"/>
        <v>0</v>
      </c>
      <c r="AJ23">
        <f t="shared" ca="1" si="19"/>
        <v>0</v>
      </c>
      <c r="AK23">
        <f t="shared" ca="1" si="19"/>
        <v>1</v>
      </c>
      <c r="AL23">
        <f t="shared" ca="1" si="19"/>
        <v>1</v>
      </c>
      <c r="AM23">
        <f t="shared" ca="1" si="19"/>
        <v>0</v>
      </c>
      <c r="AN23">
        <f t="shared" ca="1" si="19"/>
        <v>1</v>
      </c>
      <c r="AO23">
        <f t="shared" ca="1" si="19"/>
        <v>1</v>
      </c>
      <c r="AP23">
        <f t="shared" ca="1" si="19"/>
        <v>0</v>
      </c>
      <c r="AQ23">
        <f t="shared" ca="1" si="19"/>
        <v>1</v>
      </c>
      <c r="BH23" s="1">
        <f t="shared" ca="1" si="14"/>
        <v>0.5</v>
      </c>
      <c r="BI23" s="1">
        <f t="shared" ca="1" si="15"/>
        <v>0.5</v>
      </c>
      <c r="BJ23" s="1">
        <f t="shared" ca="1" si="16"/>
        <v>1</v>
      </c>
      <c r="BK23" s="1">
        <f t="shared" ca="1" si="17"/>
        <v>0.5</v>
      </c>
      <c r="BL23">
        <f t="shared" ca="1" si="3"/>
        <v>3746</v>
      </c>
      <c r="BM23">
        <f t="shared" ca="1" si="3"/>
        <v>9450</v>
      </c>
      <c r="BN23">
        <f t="shared" ca="1" si="4"/>
        <v>2228</v>
      </c>
      <c r="BO23">
        <f t="shared" ca="1" si="4"/>
        <v>1743</v>
      </c>
      <c r="BP23">
        <f t="shared" ca="1" si="5"/>
        <v>4005</v>
      </c>
      <c r="BQ23">
        <f t="shared" ca="1" si="5"/>
        <v>7371</v>
      </c>
      <c r="BR23">
        <f t="shared" ca="1" si="6"/>
        <v>1495</v>
      </c>
      <c r="BS23">
        <f t="shared" ca="1" si="6"/>
        <v>927</v>
      </c>
      <c r="BT23">
        <f t="shared" ca="1" si="7"/>
        <v>9143</v>
      </c>
      <c r="BU23">
        <f t="shared" ca="1" si="7"/>
        <v>6531</v>
      </c>
      <c r="BV23">
        <f t="shared" ca="1" si="7"/>
        <v>2769</v>
      </c>
      <c r="BW23">
        <f t="shared" ca="1" si="7"/>
        <v>4379</v>
      </c>
      <c r="BX23">
        <f t="shared" ca="1" si="8"/>
        <v>2802</v>
      </c>
      <c r="BY23">
        <f t="shared" ca="1" si="8"/>
        <v>2220</v>
      </c>
      <c r="BZ23">
        <f t="shared" ca="1" si="8"/>
        <v>2405</v>
      </c>
      <c r="CA23">
        <f t="shared" ca="1" si="8"/>
        <v>1928</v>
      </c>
      <c r="CB23" s="7">
        <f ca="1">AVERAGE(BL23:BM33,BP23:BQ33,BT23:BW33)</f>
        <v>5643.386363636364</v>
      </c>
      <c r="CC23" s="7">
        <f ca="1">AVERAGE(BN23:BO33,BR23:BS33,BX23:CA33)</f>
        <v>1781.375</v>
      </c>
    </row>
    <row r="24" spans="1:81" x14ac:dyDescent="0.2">
      <c r="A24">
        <v>23</v>
      </c>
      <c r="B24">
        <f t="shared" ca="1" si="9"/>
        <v>25</v>
      </c>
      <c r="C24">
        <f t="shared" ca="1" si="10"/>
        <v>3</v>
      </c>
      <c r="D24">
        <f t="shared" ca="1" si="10"/>
        <v>4</v>
      </c>
      <c r="E24" t="s">
        <v>180</v>
      </c>
      <c r="F24">
        <f t="shared" ca="1" si="11"/>
        <v>0</v>
      </c>
      <c r="G24">
        <f t="shared" ca="1" si="11"/>
        <v>0</v>
      </c>
      <c r="H24">
        <f t="shared" ca="1" si="11"/>
        <v>1</v>
      </c>
      <c r="I24" s="14">
        <f t="shared" ca="1" si="12"/>
        <v>0</v>
      </c>
      <c r="J24" t="s">
        <v>18</v>
      </c>
      <c r="K24">
        <f t="shared" si="13"/>
        <v>1</v>
      </c>
      <c r="L24">
        <v>2</v>
      </c>
      <c r="M24" s="15" t="s">
        <v>24</v>
      </c>
      <c r="N24" s="12" t="s">
        <v>30</v>
      </c>
      <c r="O24" s="13" t="s">
        <v>30</v>
      </c>
      <c r="P24" s="16" t="s">
        <v>28</v>
      </c>
      <c r="Q24" s="4" t="s">
        <v>86</v>
      </c>
      <c r="R24" t="s">
        <v>21</v>
      </c>
      <c r="S24">
        <v>1</v>
      </c>
      <c r="T24">
        <f t="shared" ca="1" si="18"/>
        <v>0</v>
      </c>
      <c r="U24">
        <f t="shared" ca="1" si="18"/>
        <v>0</v>
      </c>
      <c r="V24">
        <f t="shared" ca="1" si="18"/>
        <v>1</v>
      </c>
      <c r="W24">
        <f t="shared" ca="1" si="18"/>
        <v>0</v>
      </c>
      <c r="X24">
        <f t="shared" ca="1" si="18"/>
        <v>0</v>
      </c>
      <c r="Y24">
        <f t="shared" ca="1" si="18"/>
        <v>0</v>
      </c>
      <c r="Z24">
        <f t="shared" ca="1" si="18"/>
        <v>1</v>
      </c>
      <c r="AA24">
        <f t="shared" ca="1" si="18"/>
        <v>0</v>
      </c>
      <c r="AB24">
        <f t="shared" ca="1" si="19"/>
        <v>0</v>
      </c>
      <c r="AC24">
        <f t="shared" ca="1" si="19"/>
        <v>0</v>
      </c>
      <c r="AD24">
        <f t="shared" ca="1" si="19"/>
        <v>1</v>
      </c>
      <c r="AE24">
        <f t="shared" ca="1" si="19"/>
        <v>0</v>
      </c>
      <c r="AF24">
        <f t="shared" ca="1" si="19"/>
        <v>0</v>
      </c>
      <c r="AG24">
        <f t="shared" ca="1" si="19"/>
        <v>1</v>
      </c>
      <c r="AH24">
        <f t="shared" ca="1" si="19"/>
        <v>1</v>
      </c>
      <c r="AI24">
        <f t="shared" ca="1" si="19"/>
        <v>0</v>
      </c>
      <c r="AJ24">
        <f t="shared" ca="1" si="19"/>
        <v>1</v>
      </c>
      <c r="AK24">
        <f t="shared" ca="1" si="19"/>
        <v>1</v>
      </c>
      <c r="AL24">
        <f t="shared" ca="1" si="19"/>
        <v>1</v>
      </c>
      <c r="AM24">
        <f t="shared" ca="1" si="19"/>
        <v>1</v>
      </c>
      <c r="AN24">
        <f t="shared" ca="1" si="19"/>
        <v>1</v>
      </c>
      <c r="AO24">
        <f t="shared" ca="1" si="19"/>
        <v>1</v>
      </c>
      <c r="AP24">
        <f t="shared" ca="1" si="19"/>
        <v>1</v>
      </c>
      <c r="AQ24">
        <f t="shared" ca="1" si="19"/>
        <v>0</v>
      </c>
      <c r="BH24" s="1">
        <f t="shared" ca="1" si="14"/>
        <v>1</v>
      </c>
      <c r="BI24" s="1">
        <f t="shared" ca="1" si="15"/>
        <v>1</v>
      </c>
      <c r="BJ24" s="1">
        <f t="shared" ca="1" si="16"/>
        <v>1</v>
      </c>
      <c r="BK24" s="1">
        <f t="shared" ca="1" si="17"/>
        <v>0.5</v>
      </c>
      <c r="BL24">
        <f t="shared" ca="1" si="3"/>
        <v>1048</v>
      </c>
      <c r="BM24">
        <f t="shared" ca="1" si="3"/>
        <v>1347</v>
      </c>
      <c r="BN24">
        <f t="shared" ca="1" si="4"/>
        <v>1027</v>
      </c>
      <c r="BO24">
        <f t="shared" ca="1" si="4"/>
        <v>1738</v>
      </c>
      <c r="BP24">
        <f t="shared" ca="1" si="5"/>
        <v>6070</v>
      </c>
      <c r="BQ24">
        <f t="shared" ca="1" si="5"/>
        <v>1959</v>
      </c>
      <c r="BR24">
        <f t="shared" ca="1" si="6"/>
        <v>910</v>
      </c>
      <c r="BS24">
        <f t="shared" ca="1" si="6"/>
        <v>1489</v>
      </c>
      <c r="BT24">
        <f t="shared" ca="1" si="7"/>
        <v>5703</v>
      </c>
      <c r="BU24">
        <f t="shared" ca="1" si="7"/>
        <v>8947</v>
      </c>
      <c r="BV24">
        <f t="shared" ca="1" si="7"/>
        <v>2812</v>
      </c>
      <c r="BW24">
        <f t="shared" ca="1" si="7"/>
        <v>1506</v>
      </c>
      <c r="BX24">
        <f t="shared" ca="1" si="8"/>
        <v>1264</v>
      </c>
      <c r="BY24">
        <f t="shared" ca="1" si="8"/>
        <v>2286</v>
      </c>
      <c r="BZ24">
        <f t="shared" ca="1" si="8"/>
        <v>1445</v>
      </c>
      <c r="CA24">
        <f t="shared" ca="1" si="8"/>
        <v>2284</v>
      </c>
      <c r="CB24" s="7">
        <f ca="1">AVERAGE(BL24:BM33,BP24:BQ33,BT24:BW33)</f>
        <v>5615.3</v>
      </c>
      <c r="CC24" s="7">
        <f ca="1">AVERAGE(BN24:BO33,BR24:BS33,BX24:CA33)</f>
        <v>1762.6624999999999</v>
      </c>
    </row>
    <row r="25" spans="1:81" x14ac:dyDescent="0.2">
      <c r="A25">
        <v>24</v>
      </c>
      <c r="B25">
        <f t="shared" ca="1" si="9"/>
        <v>18</v>
      </c>
      <c r="C25">
        <f t="shared" ca="1" si="10"/>
        <v>4</v>
      </c>
      <c r="D25">
        <f t="shared" ca="1" si="10"/>
        <v>3</v>
      </c>
      <c r="E25" t="s">
        <v>180</v>
      </c>
      <c r="F25">
        <f t="shared" ca="1" si="11"/>
        <v>0</v>
      </c>
      <c r="G25">
        <f t="shared" ca="1" si="11"/>
        <v>1</v>
      </c>
      <c r="H25">
        <f t="shared" ca="1" si="11"/>
        <v>0</v>
      </c>
      <c r="I25" s="14">
        <f t="shared" ca="1" si="12"/>
        <v>1</v>
      </c>
      <c r="J25" t="s">
        <v>19</v>
      </c>
      <c r="K25">
        <f t="shared" si="13"/>
        <v>0</v>
      </c>
      <c r="L25">
        <v>2</v>
      </c>
      <c r="M25" s="15" t="s">
        <v>24</v>
      </c>
      <c r="N25" s="12" t="s">
        <v>30</v>
      </c>
      <c r="O25" s="13" t="s">
        <v>30</v>
      </c>
      <c r="P25" s="16" t="s">
        <v>28</v>
      </c>
      <c r="Q25" s="4" t="s">
        <v>86</v>
      </c>
      <c r="R25" t="s">
        <v>21</v>
      </c>
      <c r="S25">
        <v>1</v>
      </c>
      <c r="T25">
        <f t="shared" ca="1" si="18"/>
        <v>1</v>
      </c>
      <c r="U25">
        <f t="shared" ca="1" si="18"/>
        <v>0</v>
      </c>
      <c r="V25">
        <f t="shared" ca="1" si="18"/>
        <v>1</v>
      </c>
      <c r="W25">
        <f t="shared" ca="1" si="18"/>
        <v>0</v>
      </c>
      <c r="X25">
        <f t="shared" ca="1" si="18"/>
        <v>1</v>
      </c>
      <c r="Y25">
        <f t="shared" ca="1" si="18"/>
        <v>0</v>
      </c>
      <c r="Z25">
        <f t="shared" ca="1" si="18"/>
        <v>1</v>
      </c>
      <c r="AA25">
        <f t="shared" ca="1" si="18"/>
        <v>1</v>
      </c>
      <c r="AB25">
        <f t="shared" ca="1" si="19"/>
        <v>1</v>
      </c>
      <c r="AC25">
        <f t="shared" ca="1" si="19"/>
        <v>1</v>
      </c>
      <c r="AD25">
        <f t="shared" ca="1" si="19"/>
        <v>1</v>
      </c>
      <c r="AE25">
        <f t="shared" ca="1" si="19"/>
        <v>1</v>
      </c>
      <c r="AF25">
        <f t="shared" ca="1" si="19"/>
        <v>1</v>
      </c>
      <c r="AG25">
        <f t="shared" ca="1" si="19"/>
        <v>0</v>
      </c>
      <c r="AH25">
        <f t="shared" ca="1" si="19"/>
        <v>0</v>
      </c>
      <c r="AI25">
        <f t="shared" ca="1" si="19"/>
        <v>1</v>
      </c>
      <c r="AJ25">
        <f t="shared" ca="1" si="19"/>
        <v>0</v>
      </c>
      <c r="AK25">
        <f t="shared" ca="1" si="19"/>
        <v>0</v>
      </c>
      <c r="AL25">
        <f t="shared" ca="1" si="19"/>
        <v>1</v>
      </c>
      <c r="AM25">
        <f t="shared" ca="1" si="19"/>
        <v>0</v>
      </c>
      <c r="AN25">
        <f t="shared" ca="1" si="19"/>
        <v>0</v>
      </c>
      <c r="AO25">
        <f t="shared" ca="1" si="19"/>
        <v>1</v>
      </c>
      <c r="AP25">
        <f t="shared" ca="1" si="19"/>
        <v>1</v>
      </c>
      <c r="AQ25">
        <f t="shared" ca="1" si="19"/>
        <v>1</v>
      </c>
      <c r="BH25" s="1">
        <f t="shared" ca="1" si="14"/>
        <v>0</v>
      </c>
      <c r="BI25" s="1">
        <f t="shared" ca="1" si="15"/>
        <v>0.5</v>
      </c>
      <c r="BJ25" s="1">
        <f t="shared" ca="1" si="16"/>
        <v>0.5</v>
      </c>
      <c r="BK25" s="1">
        <f t="shared" ca="1" si="17"/>
        <v>1</v>
      </c>
      <c r="BL25">
        <f t="shared" ca="1" si="3"/>
        <v>8981</v>
      </c>
      <c r="BM25">
        <f t="shared" ca="1" si="3"/>
        <v>3416</v>
      </c>
      <c r="BN25">
        <f t="shared" ca="1" si="4"/>
        <v>1355</v>
      </c>
      <c r="BO25">
        <f t="shared" ca="1" si="4"/>
        <v>1839</v>
      </c>
      <c r="BP25">
        <f t="shared" ca="1" si="5"/>
        <v>2886</v>
      </c>
      <c r="BQ25">
        <f t="shared" ca="1" si="5"/>
        <v>6660</v>
      </c>
      <c r="BR25">
        <f t="shared" ca="1" si="6"/>
        <v>2879</v>
      </c>
      <c r="BS25">
        <f t="shared" ca="1" si="6"/>
        <v>1540</v>
      </c>
      <c r="BT25">
        <f t="shared" ca="1" si="7"/>
        <v>7213</v>
      </c>
      <c r="BU25">
        <f t="shared" ca="1" si="7"/>
        <v>1996</v>
      </c>
      <c r="BV25">
        <f t="shared" ca="1" si="7"/>
        <v>4225</v>
      </c>
      <c r="BW25">
        <f t="shared" ca="1" si="7"/>
        <v>5321</v>
      </c>
      <c r="BX25">
        <f t="shared" ca="1" si="8"/>
        <v>2155</v>
      </c>
      <c r="BY25">
        <f t="shared" ca="1" si="8"/>
        <v>633</v>
      </c>
      <c r="BZ25">
        <f t="shared" ca="1" si="8"/>
        <v>1634</v>
      </c>
      <c r="CA25">
        <f t="shared" ca="1" si="8"/>
        <v>710</v>
      </c>
      <c r="CB25" s="7">
        <f ca="1">AVERAGE(BL25:BM33,BP25:BQ33,BT25:BW33)</f>
        <v>5831</v>
      </c>
      <c r="CC25" s="7">
        <f ca="1">AVERAGE(BN25:BO33,BR25:BS33,BX25:CA33)</f>
        <v>1785.6944444444443</v>
      </c>
    </row>
    <row r="26" spans="1:81" x14ac:dyDescent="0.2">
      <c r="A26">
        <v>25</v>
      </c>
      <c r="B26">
        <f t="shared" ca="1" si="9"/>
        <v>23</v>
      </c>
      <c r="C26">
        <f t="shared" ca="1" si="10"/>
        <v>4</v>
      </c>
      <c r="D26">
        <f t="shared" ca="1" si="10"/>
        <v>2</v>
      </c>
      <c r="E26" t="s">
        <v>180</v>
      </c>
      <c r="F26">
        <f t="shared" ca="1" si="11"/>
        <v>1</v>
      </c>
      <c r="G26">
        <f t="shared" ca="1" si="11"/>
        <v>1</v>
      </c>
      <c r="H26">
        <f t="shared" ca="1" si="11"/>
        <v>0</v>
      </c>
      <c r="I26" s="14">
        <f t="shared" ca="1" si="12"/>
        <v>0</v>
      </c>
      <c r="J26" t="s">
        <v>18</v>
      </c>
      <c r="K26">
        <f t="shared" si="13"/>
        <v>1</v>
      </c>
      <c r="L26">
        <v>3</v>
      </c>
      <c r="M26" s="15" t="s">
        <v>25</v>
      </c>
      <c r="N26" s="12" t="s">
        <v>31</v>
      </c>
      <c r="O26" s="13" t="s">
        <v>31</v>
      </c>
      <c r="P26" s="16" t="s">
        <v>32</v>
      </c>
      <c r="Q26" s="4" t="s">
        <v>86</v>
      </c>
      <c r="R26" t="s">
        <v>21</v>
      </c>
      <c r="S26">
        <v>1</v>
      </c>
      <c r="T26">
        <f t="shared" ca="1" si="18"/>
        <v>0</v>
      </c>
      <c r="U26">
        <f t="shared" ca="1" si="18"/>
        <v>0</v>
      </c>
      <c r="V26">
        <f t="shared" ca="1" si="18"/>
        <v>1</v>
      </c>
      <c r="W26">
        <f t="shared" ca="1" si="18"/>
        <v>1</v>
      </c>
      <c r="X26">
        <f t="shared" ca="1" si="18"/>
        <v>0</v>
      </c>
      <c r="Y26">
        <f t="shared" ca="1" si="18"/>
        <v>1</v>
      </c>
      <c r="Z26">
        <f t="shared" ca="1" si="18"/>
        <v>0</v>
      </c>
      <c r="AA26">
        <f t="shared" ca="1" si="18"/>
        <v>1</v>
      </c>
      <c r="AB26">
        <f t="shared" ca="1" si="19"/>
        <v>0</v>
      </c>
      <c r="AC26">
        <f t="shared" ca="1" si="19"/>
        <v>1</v>
      </c>
      <c r="AD26">
        <f t="shared" ca="1" si="19"/>
        <v>0</v>
      </c>
      <c r="AE26">
        <f t="shared" ca="1" si="19"/>
        <v>0</v>
      </c>
      <c r="AF26">
        <f t="shared" ca="1" si="19"/>
        <v>1</v>
      </c>
      <c r="AG26">
        <f t="shared" ca="1" si="19"/>
        <v>0</v>
      </c>
      <c r="AH26">
        <f t="shared" ca="1" si="19"/>
        <v>0</v>
      </c>
      <c r="AI26">
        <f t="shared" ca="1" si="19"/>
        <v>1</v>
      </c>
      <c r="AJ26">
        <f t="shared" ca="1" si="19"/>
        <v>1</v>
      </c>
      <c r="AK26">
        <f t="shared" ca="1" si="19"/>
        <v>0</v>
      </c>
      <c r="AL26">
        <f t="shared" ca="1" si="19"/>
        <v>0</v>
      </c>
      <c r="AM26">
        <f t="shared" ca="1" si="19"/>
        <v>1</v>
      </c>
      <c r="AN26">
        <f t="shared" ca="1" si="19"/>
        <v>1</v>
      </c>
      <c r="AO26">
        <f t="shared" ca="1" si="19"/>
        <v>0</v>
      </c>
      <c r="AP26">
        <f t="shared" ca="1" si="19"/>
        <v>1</v>
      </c>
      <c r="AQ26">
        <f t="shared" ca="1" si="19"/>
        <v>1</v>
      </c>
      <c r="BH26" s="1">
        <f t="shared" ca="1" si="14"/>
        <v>0.5</v>
      </c>
      <c r="BI26" s="1">
        <f t="shared" ca="1" si="15"/>
        <v>0.5</v>
      </c>
      <c r="BJ26" s="1">
        <f t="shared" ca="1" si="16"/>
        <v>0.5</v>
      </c>
      <c r="BK26" s="1">
        <f t="shared" ca="1" si="17"/>
        <v>1</v>
      </c>
      <c r="BL26">
        <f t="shared" ca="1" si="3"/>
        <v>5933</v>
      </c>
      <c r="BM26">
        <f t="shared" ca="1" si="3"/>
        <v>9476</v>
      </c>
      <c r="BN26">
        <f t="shared" ca="1" si="4"/>
        <v>2579</v>
      </c>
      <c r="BO26">
        <f t="shared" ca="1" si="4"/>
        <v>2631</v>
      </c>
      <c r="BP26">
        <f t="shared" ca="1" si="5"/>
        <v>8881</v>
      </c>
      <c r="BQ26">
        <f t="shared" ca="1" si="5"/>
        <v>1971</v>
      </c>
      <c r="BR26">
        <f t="shared" ca="1" si="6"/>
        <v>1187</v>
      </c>
      <c r="BS26">
        <f t="shared" ca="1" si="6"/>
        <v>968</v>
      </c>
      <c r="BT26">
        <f t="shared" ca="1" si="7"/>
        <v>4071</v>
      </c>
      <c r="BU26">
        <f t="shared" ca="1" si="7"/>
        <v>3906</v>
      </c>
      <c r="BV26">
        <f t="shared" ca="1" si="7"/>
        <v>6109</v>
      </c>
      <c r="BW26">
        <f t="shared" ca="1" si="7"/>
        <v>9877</v>
      </c>
      <c r="BX26">
        <f t="shared" ca="1" si="8"/>
        <v>1369</v>
      </c>
      <c r="BY26">
        <f t="shared" ca="1" si="8"/>
        <v>2214</v>
      </c>
      <c r="BZ26">
        <f t="shared" ca="1" si="8"/>
        <v>2207</v>
      </c>
      <c r="CA26">
        <f t="shared" ca="1" si="8"/>
        <v>2235</v>
      </c>
      <c r="CB26" s="7">
        <f ca="1">AVERAGE(BL26:BM33,BP26:BQ33,BT26:BW33)</f>
        <v>5923.96875</v>
      </c>
      <c r="CC26" s="7">
        <f ca="1">AVERAGE(BN26:BO33,BR26:BS33,BX26:CA33)</f>
        <v>1809.765625</v>
      </c>
    </row>
    <row r="27" spans="1:81" x14ac:dyDescent="0.2">
      <c r="A27">
        <v>26</v>
      </c>
      <c r="B27">
        <f t="shared" ca="1" si="9"/>
        <v>24</v>
      </c>
      <c r="C27">
        <f t="shared" ca="1" si="10"/>
        <v>4</v>
      </c>
      <c r="D27">
        <f t="shared" ca="1" si="10"/>
        <v>3</v>
      </c>
      <c r="E27" t="s">
        <v>180</v>
      </c>
      <c r="F27">
        <f t="shared" ca="1" si="11"/>
        <v>0</v>
      </c>
      <c r="G27">
        <f t="shared" ca="1" si="11"/>
        <v>1</v>
      </c>
      <c r="H27">
        <f t="shared" ca="1" si="11"/>
        <v>1</v>
      </c>
      <c r="I27" s="14">
        <f t="shared" ca="1" si="12"/>
        <v>0</v>
      </c>
      <c r="J27" t="s">
        <v>19</v>
      </c>
      <c r="K27">
        <f t="shared" si="13"/>
        <v>0</v>
      </c>
      <c r="L27">
        <v>3</v>
      </c>
      <c r="M27" s="15" t="s">
        <v>25</v>
      </c>
      <c r="N27" s="12" t="s">
        <v>31</v>
      </c>
      <c r="O27" s="13" t="s">
        <v>31</v>
      </c>
      <c r="P27" s="16" t="s">
        <v>32</v>
      </c>
      <c r="Q27" s="4" t="s">
        <v>86</v>
      </c>
      <c r="R27" t="s">
        <v>21</v>
      </c>
      <c r="S27">
        <v>1</v>
      </c>
      <c r="T27">
        <f t="shared" ca="1" si="18"/>
        <v>1</v>
      </c>
      <c r="U27">
        <f t="shared" ca="1" si="18"/>
        <v>0</v>
      </c>
      <c r="V27">
        <f t="shared" ca="1" si="18"/>
        <v>1</v>
      </c>
      <c r="W27">
        <f t="shared" ca="1" si="18"/>
        <v>1</v>
      </c>
      <c r="X27">
        <f t="shared" ca="1" si="18"/>
        <v>1</v>
      </c>
      <c r="Y27">
        <f t="shared" ca="1" si="18"/>
        <v>1</v>
      </c>
      <c r="Z27">
        <f t="shared" ca="1" si="18"/>
        <v>0</v>
      </c>
      <c r="AA27">
        <f t="shared" ca="1" si="18"/>
        <v>1</v>
      </c>
      <c r="AB27">
        <f t="shared" ca="1" si="19"/>
        <v>0</v>
      </c>
      <c r="AC27">
        <f t="shared" ca="1" si="19"/>
        <v>0</v>
      </c>
      <c r="AD27">
        <f t="shared" ca="1" si="19"/>
        <v>0</v>
      </c>
      <c r="AE27">
        <f t="shared" ca="1" si="19"/>
        <v>1</v>
      </c>
      <c r="AF27">
        <f t="shared" ca="1" si="19"/>
        <v>0</v>
      </c>
      <c r="AG27">
        <f t="shared" ca="1" si="19"/>
        <v>1</v>
      </c>
      <c r="AH27">
        <f t="shared" ca="1" si="19"/>
        <v>0</v>
      </c>
      <c r="AI27">
        <f t="shared" ca="1" si="19"/>
        <v>1</v>
      </c>
      <c r="AJ27">
        <f t="shared" ca="1" si="19"/>
        <v>0</v>
      </c>
      <c r="AK27">
        <f t="shared" ca="1" si="19"/>
        <v>1</v>
      </c>
      <c r="AL27">
        <f t="shared" ca="1" si="19"/>
        <v>0</v>
      </c>
      <c r="AM27">
        <f t="shared" ca="1" si="19"/>
        <v>0</v>
      </c>
      <c r="AN27">
        <f t="shared" ca="1" si="19"/>
        <v>0</v>
      </c>
      <c r="AO27">
        <f t="shared" ca="1" si="19"/>
        <v>1</v>
      </c>
      <c r="AP27">
        <f t="shared" ca="1" si="19"/>
        <v>1</v>
      </c>
      <c r="AQ27">
        <f t="shared" ca="1" si="19"/>
        <v>1</v>
      </c>
      <c r="BH27" s="1">
        <f t="shared" ca="1" si="14"/>
        <v>0.5</v>
      </c>
      <c r="BI27" s="1">
        <f t="shared" ca="1" si="15"/>
        <v>0</v>
      </c>
      <c r="BJ27" s="1">
        <f t="shared" ca="1" si="16"/>
        <v>0.5</v>
      </c>
      <c r="BK27" s="1">
        <f t="shared" ca="1" si="17"/>
        <v>1</v>
      </c>
      <c r="BL27">
        <f t="shared" ca="1" si="3"/>
        <v>5307</v>
      </c>
      <c r="BM27">
        <f t="shared" ca="1" si="3"/>
        <v>9299</v>
      </c>
      <c r="BN27">
        <f t="shared" ca="1" si="4"/>
        <v>868</v>
      </c>
      <c r="BO27">
        <f t="shared" ca="1" si="4"/>
        <v>2832</v>
      </c>
      <c r="BP27">
        <f t="shared" ca="1" si="5"/>
        <v>4129</v>
      </c>
      <c r="BQ27">
        <f t="shared" ca="1" si="5"/>
        <v>3358</v>
      </c>
      <c r="BR27">
        <f t="shared" ca="1" si="6"/>
        <v>2577</v>
      </c>
      <c r="BS27">
        <f t="shared" ca="1" si="6"/>
        <v>2938</v>
      </c>
      <c r="BT27">
        <f t="shared" ca="1" si="7"/>
        <v>8863</v>
      </c>
      <c r="BU27">
        <f t="shared" ca="1" si="7"/>
        <v>2392</v>
      </c>
      <c r="BV27">
        <f t="shared" ca="1" si="7"/>
        <v>4973</v>
      </c>
      <c r="BW27">
        <f t="shared" ca="1" si="7"/>
        <v>7028</v>
      </c>
      <c r="BX27">
        <f t="shared" ca="1" si="8"/>
        <v>2639</v>
      </c>
      <c r="BY27">
        <f t="shared" ca="1" si="8"/>
        <v>1189</v>
      </c>
      <c r="BZ27">
        <f t="shared" ca="1" si="8"/>
        <v>1640</v>
      </c>
      <c r="CA27">
        <f t="shared" ca="1" si="8"/>
        <v>1783</v>
      </c>
      <c r="CB27" s="7">
        <f ca="1">AVERAGE(BL27:BM33,BP27:BQ33,BT27:BW33)</f>
        <v>5873.3928571428569</v>
      </c>
      <c r="CC27" s="7">
        <f ca="1">AVERAGE(BN27:BO33,BR27:BS33,BX27:CA33)</f>
        <v>1793.4821428571429</v>
      </c>
    </row>
    <row r="28" spans="1:81" x14ac:dyDescent="0.2">
      <c r="A28">
        <v>27</v>
      </c>
      <c r="B28">
        <f t="shared" ca="1" si="9"/>
        <v>21</v>
      </c>
      <c r="C28">
        <f t="shared" ca="1" si="10"/>
        <v>2</v>
      </c>
      <c r="D28">
        <f t="shared" ca="1" si="10"/>
        <v>2</v>
      </c>
      <c r="E28" t="s">
        <v>180</v>
      </c>
      <c r="F28">
        <f t="shared" ca="1" si="11"/>
        <v>0</v>
      </c>
      <c r="G28">
        <f t="shared" ca="1" si="11"/>
        <v>0</v>
      </c>
      <c r="H28">
        <f t="shared" ca="1" si="11"/>
        <v>1</v>
      </c>
      <c r="I28" s="14">
        <f t="shared" ca="1" si="12"/>
        <v>1</v>
      </c>
      <c r="J28" t="s">
        <v>18</v>
      </c>
      <c r="K28">
        <f t="shared" si="13"/>
        <v>1</v>
      </c>
      <c r="L28">
        <v>3</v>
      </c>
      <c r="M28" s="15" t="s">
        <v>25</v>
      </c>
      <c r="N28" s="12" t="s">
        <v>31</v>
      </c>
      <c r="O28" s="13" t="s">
        <v>31</v>
      </c>
      <c r="P28" s="16" t="s">
        <v>32</v>
      </c>
      <c r="Q28" s="4" t="s">
        <v>86</v>
      </c>
      <c r="R28" t="s">
        <v>21</v>
      </c>
      <c r="S28">
        <v>1</v>
      </c>
      <c r="T28">
        <f t="shared" ca="1" si="18"/>
        <v>0</v>
      </c>
      <c r="U28">
        <f t="shared" ca="1" si="18"/>
        <v>1</v>
      </c>
      <c r="V28">
        <f t="shared" ca="1" si="18"/>
        <v>0</v>
      </c>
      <c r="W28">
        <f t="shared" ca="1" si="18"/>
        <v>1</v>
      </c>
      <c r="X28">
        <f t="shared" ca="1" si="18"/>
        <v>0</v>
      </c>
      <c r="Y28">
        <f t="shared" ca="1" si="18"/>
        <v>1</v>
      </c>
      <c r="Z28">
        <f t="shared" ca="1" si="18"/>
        <v>0</v>
      </c>
      <c r="AA28">
        <f t="shared" ca="1" si="18"/>
        <v>0</v>
      </c>
      <c r="AB28">
        <f t="shared" ca="1" si="19"/>
        <v>0</v>
      </c>
      <c r="AC28">
        <f t="shared" ca="1" si="19"/>
        <v>0</v>
      </c>
      <c r="AD28">
        <f t="shared" ca="1" si="19"/>
        <v>0</v>
      </c>
      <c r="AE28">
        <f t="shared" ca="1" si="19"/>
        <v>1</v>
      </c>
      <c r="AF28">
        <f t="shared" ca="1" si="19"/>
        <v>0</v>
      </c>
      <c r="AG28">
        <f t="shared" ca="1" si="19"/>
        <v>1</v>
      </c>
      <c r="AH28">
        <f t="shared" ca="1" si="19"/>
        <v>1</v>
      </c>
      <c r="AI28">
        <f t="shared" ca="1" si="19"/>
        <v>1</v>
      </c>
      <c r="AJ28">
        <f t="shared" ca="1" si="19"/>
        <v>1</v>
      </c>
      <c r="AK28">
        <f t="shared" ca="1" si="19"/>
        <v>0</v>
      </c>
      <c r="AL28">
        <f t="shared" ca="1" si="19"/>
        <v>1</v>
      </c>
      <c r="AM28">
        <f t="shared" ca="1" si="19"/>
        <v>0</v>
      </c>
      <c r="AN28">
        <f t="shared" ca="1" si="19"/>
        <v>0</v>
      </c>
      <c r="AO28">
        <f t="shared" ca="1" si="19"/>
        <v>0</v>
      </c>
      <c r="AP28">
        <f t="shared" ca="1" si="19"/>
        <v>1</v>
      </c>
      <c r="AQ28">
        <f t="shared" ca="1" si="19"/>
        <v>1</v>
      </c>
      <c r="BH28" s="1">
        <f t="shared" ca="1" si="14"/>
        <v>0.5</v>
      </c>
      <c r="BI28" s="1">
        <f t="shared" ca="1" si="15"/>
        <v>0.5</v>
      </c>
      <c r="BJ28" s="1">
        <f t="shared" ca="1" si="16"/>
        <v>0</v>
      </c>
      <c r="BK28" s="1">
        <f t="shared" ca="1" si="17"/>
        <v>1</v>
      </c>
      <c r="BL28">
        <f t="shared" ca="1" si="3"/>
        <v>6301</v>
      </c>
      <c r="BM28">
        <f t="shared" ca="1" si="3"/>
        <v>1218</v>
      </c>
      <c r="BN28">
        <f t="shared" ca="1" si="4"/>
        <v>2434</v>
      </c>
      <c r="BO28">
        <f t="shared" ca="1" si="4"/>
        <v>2590</v>
      </c>
      <c r="BP28">
        <f t="shared" ca="1" si="5"/>
        <v>8672</v>
      </c>
      <c r="BQ28">
        <f t="shared" ca="1" si="5"/>
        <v>2959</v>
      </c>
      <c r="BR28">
        <f t="shared" ca="1" si="6"/>
        <v>1088</v>
      </c>
      <c r="BS28">
        <f t="shared" ca="1" si="6"/>
        <v>1887</v>
      </c>
      <c r="BT28">
        <f t="shared" ca="1" si="7"/>
        <v>6618</v>
      </c>
      <c r="BU28">
        <f t="shared" ca="1" si="7"/>
        <v>6810</v>
      </c>
      <c r="BV28">
        <f t="shared" ca="1" si="7"/>
        <v>7184</v>
      </c>
      <c r="BW28">
        <f t="shared" ca="1" si="7"/>
        <v>7662</v>
      </c>
      <c r="BX28">
        <f t="shared" ca="1" si="8"/>
        <v>2301</v>
      </c>
      <c r="BY28">
        <f t="shared" ca="1" si="8"/>
        <v>719</v>
      </c>
      <c r="BZ28">
        <f t="shared" ca="1" si="8"/>
        <v>1535</v>
      </c>
      <c r="CA28">
        <f t="shared" ca="1" si="8"/>
        <v>2692</v>
      </c>
      <c r="CB28" s="7">
        <f ca="1">AVERAGE(BL28:BM33,BP28:BQ33,BT28:BW33)</f>
        <v>5907.520833333333</v>
      </c>
      <c r="CC28" s="7">
        <f ca="1">AVERAGE(BN28:BO33,BR28:BS33,BX28:CA33)</f>
        <v>1749.3541666666667</v>
      </c>
    </row>
    <row r="29" spans="1:81" x14ac:dyDescent="0.2">
      <c r="A29">
        <v>28</v>
      </c>
      <c r="B29">
        <f t="shared" ca="1" si="9"/>
        <v>25</v>
      </c>
      <c r="C29">
        <f t="shared" ca="1" si="10"/>
        <v>4</v>
      </c>
      <c r="D29">
        <f t="shared" ca="1" si="10"/>
        <v>2</v>
      </c>
      <c r="E29" t="s">
        <v>180</v>
      </c>
      <c r="F29">
        <f t="shared" ca="1" si="11"/>
        <v>1</v>
      </c>
      <c r="G29">
        <f t="shared" ca="1" si="11"/>
        <v>0</v>
      </c>
      <c r="H29">
        <f t="shared" ca="1" si="11"/>
        <v>0</v>
      </c>
      <c r="I29" s="14">
        <f t="shared" ca="1" si="12"/>
        <v>1</v>
      </c>
      <c r="J29" t="s">
        <v>19</v>
      </c>
      <c r="K29">
        <f t="shared" si="13"/>
        <v>0</v>
      </c>
      <c r="L29">
        <v>3</v>
      </c>
      <c r="M29" s="15" t="s">
        <v>25</v>
      </c>
      <c r="N29" s="12" t="s">
        <v>31</v>
      </c>
      <c r="O29" s="13" t="s">
        <v>31</v>
      </c>
      <c r="P29" s="16" t="s">
        <v>32</v>
      </c>
      <c r="Q29" s="4" t="s">
        <v>86</v>
      </c>
      <c r="R29" t="s">
        <v>21</v>
      </c>
      <c r="S29">
        <v>1</v>
      </c>
      <c r="T29">
        <f t="shared" ca="1" si="18"/>
        <v>1</v>
      </c>
      <c r="U29">
        <f t="shared" ca="1" si="18"/>
        <v>0</v>
      </c>
      <c r="V29">
        <f t="shared" ca="1" si="18"/>
        <v>0</v>
      </c>
      <c r="W29">
        <f t="shared" ca="1" si="18"/>
        <v>1</v>
      </c>
      <c r="X29">
        <f t="shared" ca="1" si="18"/>
        <v>1</v>
      </c>
      <c r="Y29">
        <f t="shared" ca="1" si="18"/>
        <v>1</v>
      </c>
      <c r="Z29">
        <f t="shared" ca="1" si="18"/>
        <v>0</v>
      </c>
      <c r="AA29">
        <f t="shared" ca="1" si="18"/>
        <v>0</v>
      </c>
      <c r="AB29">
        <f t="shared" ca="1" si="19"/>
        <v>1</v>
      </c>
      <c r="AC29">
        <f t="shared" ca="1" si="19"/>
        <v>0</v>
      </c>
      <c r="AD29">
        <f t="shared" ca="1" si="19"/>
        <v>0</v>
      </c>
      <c r="AE29">
        <f t="shared" ca="1" si="19"/>
        <v>0</v>
      </c>
      <c r="AF29">
        <f t="shared" ca="1" si="19"/>
        <v>0</v>
      </c>
      <c r="AG29">
        <f t="shared" ca="1" si="19"/>
        <v>0</v>
      </c>
      <c r="AH29">
        <f t="shared" ca="1" si="19"/>
        <v>0</v>
      </c>
      <c r="AI29">
        <f t="shared" ca="1" si="19"/>
        <v>0</v>
      </c>
      <c r="AJ29">
        <f t="shared" ca="1" si="19"/>
        <v>0</v>
      </c>
      <c r="AK29">
        <f t="shared" ca="1" si="19"/>
        <v>1</v>
      </c>
      <c r="AL29">
        <f t="shared" ca="1" si="19"/>
        <v>0</v>
      </c>
      <c r="AM29">
        <f t="shared" ca="1" si="19"/>
        <v>0</v>
      </c>
      <c r="AN29">
        <f t="shared" ca="1" si="19"/>
        <v>1</v>
      </c>
      <c r="AO29">
        <f t="shared" ca="1" si="19"/>
        <v>0</v>
      </c>
      <c r="AP29">
        <f t="shared" ca="1" si="19"/>
        <v>0</v>
      </c>
      <c r="AQ29">
        <f t="shared" ca="1" si="19"/>
        <v>1</v>
      </c>
      <c r="BH29" s="1">
        <f t="shared" ca="1" si="14"/>
        <v>0.5</v>
      </c>
      <c r="BI29" s="1">
        <f t="shared" ca="1" si="15"/>
        <v>0</v>
      </c>
      <c r="BJ29" s="1">
        <f t="shared" ca="1" si="16"/>
        <v>0.5</v>
      </c>
      <c r="BK29" s="1">
        <f t="shared" ca="1" si="17"/>
        <v>0.5</v>
      </c>
      <c r="BL29">
        <f t="shared" ca="1" si="3"/>
        <v>1305</v>
      </c>
      <c r="BM29">
        <f t="shared" ca="1" si="3"/>
        <v>5678</v>
      </c>
      <c r="BN29">
        <f t="shared" ca="1" si="4"/>
        <v>2429</v>
      </c>
      <c r="BO29">
        <f t="shared" ca="1" si="4"/>
        <v>920</v>
      </c>
      <c r="BP29">
        <f t="shared" ca="1" si="5"/>
        <v>5014</v>
      </c>
      <c r="BQ29">
        <f t="shared" ca="1" si="5"/>
        <v>9062</v>
      </c>
      <c r="BR29">
        <f t="shared" ca="1" si="6"/>
        <v>2827</v>
      </c>
      <c r="BS29">
        <f t="shared" ca="1" si="6"/>
        <v>1676</v>
      </c>
      <c r="BT29">
        <f t="shared" ca="1" si="7"/>
        <v>5874</v>
      </c>
      <c r="BU29">
        <f t="shared" ca="1" si="7"/>
        <v>9773</v>
      </c>
      <c r="BV29">
        <f t="shared" ca="1" si="7"/>
        <v>4937</v>
      </c>
      <c r="BW29">
        <f t="shared" ca="1" si="7"/>
        <v>8510</v>
      </c>
      <c r="BX29">
        <f t="shared" ca="1" si="8"/>
        <v>1886</v>
      </c>
      <c r="BY29">
        <f t="shared" ca="1" si="8"/>
        <v>1386</v>
      </c>
      <c r="BZ29">
        <f t="shared" ca="1" si="8"/>
        <v>1125</v>
      </c>
      <c r="CA29">
        <f t="shared" ca="1" si="8"/>
        <v>2014</v>
      </c>
      <c r="CB29" s="7">
        <f ca="1">AVERAGE(BL29:BM33,BP29:BQ33,BT29:BW33)</f>
        <v>5903.4250000000002</v>
      </c>
      <c r="CC29" s="7">
        <f ca="1">AVERAGE(BN29:BO33,BR29:BS33,BX29:CA33)</f>
        <v>1718.075</v>
      </c>
    </row>
    <row r="30" spans="1:81" x14ac:dyDescent="0.2">
      <c r="A30">
        <v>29</v>
      </c>
      <c r="B30">
        <f t="shared" ca="1" si="9"/>
        <v>19</v>
      </c>
      <c r="C30">
        <f t="shared" ca="1" si="10"/>
        <v>2</v>
      </c>
      <c r="D30">
        <f t="shared" ca="1" si="10"/>
        <v>3</v>
      </c>
      <c r="E30" t="s">
        <v>180</v>
      </c>
      <c r="F30">
        <f t="shared" ca="1" si="11"/>
        <v>0</v>
      </c>
      <c r="G30">
        <f t="shared" ca="1" si="11"/>
        <v>0</v>
      </c>
      <c r="H30">
        <f t="shared" ca="1" si="11"/>
        <v>1</v>
      </c>
      <c r="I30" s="14">
        <f t="shared" ca="1" si="12"/>
        <v>1</v>
      </c>
      <c r="J30" t="s">
        <v>18</v>
      </c>
      <c r="K30">
        <f t="shared" si="13"/>
        <v>1</v>
      </c>
      <c r="L30">
        <v>4</v>
      </c>
      <c r="M30" s="15" t="s">
        <v>26</v>
      </c>
      <c r="N30" s="12" t="s">
        <v>32</v>
      </c>
      <c r="O30" s="13" t="s">
        <v>32</v>
      </c>
      <c r="P30" s="16" t="s">
        <v>31</v>
      </c>
      <c r="Q30" s="4" t="s">
        <v>86</v>
      </c>
      <c r="R30" t="s">
        <v>21</v>
      </c>
      <c r="S30">
        <v>1</v>
      </c>
      <c r="T30">
        <f t="shared" ca="1" si="18"/>
        <v>1</v>
      </c>
      <c r="U30">
        <f t="shared" ca="1" si="18"/>
        <v>1</v>
      </c>
      <c r="V30">
        <f t="shared" ca="1" si="18"/>
        <v>1</v>
      </c>
      <c r="W30">
        <f t="shared" ca="1" si="18"/>
        <v>1</v>
      </c>
      <c r="X30">
        <f t="shared" ca="1" si="18"/>
        <v>0</v>
      </c>
      <c r="Y30">
        <f t="shared" ca="1" si="18"/>
        <v>1</v>
      </c>
      <c r="Z30">
        <f t="shared" ca="1" si="18"/>
        <v>0</v>
      </c>
      <c r="AA30">
        <f t="shared" ca="1" si="18"/>
        <v>0</v>
      </c>
      <c r="AB30">
        <f t="shared" ca="1" si="19"/>
        <v>0</v>
      </c>
      <c r="AC30">
        <f t="shared" ca="1" si="19"/>
        <v>0</v>
      </c>
      <c r="AD30">
        <f t="shared" ca="1" si="19"/>
        <v>1</v>
      </c>
      <c r="AE30">
        <f t="shared" ca="1" si="19"/>
        <v>0</v>
      </c>
      <c r="AF30">
        <f t="shared" ca="1" si="19"/>
        <v>1</v>
      </c>
      <c r="AG30">
        <f t="shared" ca="1" si="19"/>
        <v>0</v>
      </c>
      <c r="AH30">
        <f t="shared" ca="1" si="19"/>
        <v>0</v>
      </c>
      <c r="AI30">
        <f t="shared" ca="1" si="19"/>
        <v>0</v>
      </c>
      <c r="AJ30">
        <f t="shared" ca="1" si="19"/>
        <v>1</v>
      </c>
      <c r="AK30">
        <f t="shared" ca="1" si="19"/>
        <v>1</v>
      </c>
      <c r="AL30">
        <f t="shared" ca="1" si="19"/>
        <v>0</v>
      </c>
      <c r="AM30">
        <f t="shared" ca="1" si="19"/>
        <v>0</v>
      </c>
      <c r="AN30">
        <f t="shared" ca="1" si="19"/>
        <v>0</v>
      </c>
      <c r="AO30">
        <f t="shared" ca="1" si="19"/>
        <v>0</v>
      </c>
      <c r="AP30">
        <f t="shared" ca="1" si="19"/>
        <v>0</v>
      </c>
      <c r="AQ30">
        <f t="shared" ca="1" si="19"/>
        <v>0</v>
      </c>
      <c r="BH30" s="1">
        <f t="shared" ca="1" si="14"/>
        <v>1</v>
      </c>
      <c r="BI30" s="1">
        <f t="shared" ca="1" si="15"/>
        <v>0</v>
      </c>
      <c r="BJ30" s="1">
        <f t="shared" ca="1" si="16"/>
        <v>0</v>
      </c>
      <c r="BK30" s="1">
        <f t="shared" ca="1" si="17"/>
        <v>0</v>
      </c>
      <c r="BL30">
        <f t="shared" ca="1" si="3"/>
        <v>7012</v>
      </c>
      <c r="BM30">
        <f t="shared" ca="1" si="3"/>
        <v>7946</v>
      </c>
      <c r="BN30">
        <f t="shared" ca="1" si="4"/>
        <v>1020</v>
      </c>
      <c r="BO30">
        <f t="shared" ca="1" si="4"/>
        <v>1364</v>
      </c>
      <c r="BP30">
        <f t="shared" ca="1" si="5"/>
        <v>1327</v>
      </c>
      <c r="BQ30">
        <f t="shared" ca="1" si="5"/>
        <v>8064</v>
      </c>
      <c r="BR30">
        <f t="shared" ca="1" si="6"/>
        <v>1400</v>
      </c>
      <c r="BS30">
        <f t="shared" ca="1" si="6"/>
        <v>810</v>
      </c>
      <c r="BT30">
        <f t="shared" ca="1" si="7"/>
        <v>6933</v>
      </c>
      <c r="BU30">
        <f t="shared" ca="1" si="7"/>
        <v>5732</v>
      </c>
      <c r="BV30">
        <f t="shared" ca="1" si="7"/>
        <v>9136</v>
      </c>
      <c r="BW30">
        <f t="shared" ca="1" si="7"/>
        <v>9728</v>
      </c>
      <c r="BX30">
        <f t="shared" ca="1" si="8"/>
        <v>2073</v>
      </c>
      <c r="BY30">
        <f t="shared" ca="1" si="8"/>
        <v>884</v>
      </c>
      <c r="BZ30">
        <f t="shared" ca="1" si="8"/>
        <v>1698</v>
      </c>
      <c r="CA30">
        <f t="shared" ca="1" si="8"/>
        <v>1141</v>
      </c>
      <c r="CB30" s="7">
        <f ca="1">AVERAGE(BL30:BM33,BP30:BQ33,BT30:BW33)</f>
        <v>5812</v>
      </c>
      <c r="CC30" s="7">
        <f ca="1">AVERAGE(BN30:BO33,BR30:BS33,BX30:CA33)</f>
        <v>1701.875</v>
      </c>
    </row>
    <row r="31" spans="1:81" x14ac:dyDescent="0.2">
      <c r="A31">
        <v>30</v>
      </c>
      <c r="B31">
        <f t="shared" ca="1" si="9"/>
        <v>21</v>
      </c>
      <c r="C31">
        <f t="shared" ca="1" si="10"/>
        <v>3</v>
      </c>
      <c r="D31">
        <f t="shared" ca="1" si="10"/>
        <v>3</v>
      </c>
      <c r="E31" t="s">
        <v>180</v>
      </c>
      <c r="F31">
        <f t="shared" ca="1" si="11"/>
        <v>0</v>
      </c>
      <c r="G31">
        <f t="shared" ca="1" si="11"/>
        <v>1</v>
      </c>
      <c r="H31">
        <f t="shared" ca="1" si="11"/>
        <v>1</v>
      </c>
      <c r="I31" s="14">
        <f t="shared" ca="1" si="12"/>
        <v>1</v>
      </c>
      <c r="J31" t="s">
        <v>19</v>
      </c>
      <c r="K31">
        <f t="shared" si="13"/>
        <v>0</v>
      </c>
      <c r="L31">
        <v>4</v>
      </c>
      <c r="M31" s="15" t="s">
        <v>26</v>
      </c>
      <c r="N31" s="12" t="s">
        <v>32</v>
      </c>
      <c r="O31" s="13" t="s">
        <v>32</v>
      </c>
      <c r="P31" s="16" t="s">
        <v>31</v>
      </c>
      <c r="Q31" s="4" t="s">
        <v>86</v>
      </c>
      <c r="R31" t="s">
        <v>21</v>
      </c>
      <c r="S31">
        <v>1</v>
      </c>
      <c r="T31">
        <f t="shared" ca="1" si="18"/>
        <v>0</v>
      </c>
      <c r="U31">
        <f t="shared" ca="1" si="18"/>
        <v>0</v>
      </c>
      <c r="V31">
        <f t="shared" ca="1" si="18"/>
        <v>0</v>
      </c>
      <c r="W31">
        <f t="shared" ca="1" si="18"/>
        <v>0</v>
      </c>
      <c r="X31">
        <f t="shared" ca="1" si="18"/>
        <v>1</v>
      </c>
      <c r="Y31">
        <f t="shared" ca="1" si="18"/>
        <v>1</v>
      </c>
      <c r="Z31">
        <f t="shared" ca="1" si="18"/>
        <v>1</v>
      </c>
      <c r="AA31">
        <f t="shared" ca="1" si="18"/>
        <v>0</v>
      </c>
      <c r="AB31">
        <f t="shared" ca="1" si="19"/>
        <v>1</v>
      </c>
      <c r="AC31">
        <f t="shared" ca="1" si="19"/>
        <v>1</v>
      </c>
      <c r="AD31">
        <f t="shared" ca="1" si="19"/>
        <v>1</v>
      </c>
      <c r="AE31">
        <f t="shared" ca="1" si="19"/>
        <v>1</v>
      </c>
      <c r="AF31">
        <f t="shared" ca="1" si="19"/>
        <v>1</v>
      </c>
      <c r="AG31">
        <f t="shared" ca="1" si="19"/>
        <v>0</v>
      </c>
      <c r="AH31">
        <f t="shared" ca="1" si="19"/>
        <v>1</v>
      </c>
      <c r="AI31">
        <f t="shared" ca="1" si="19"/>
        <v>0</v>
      </c>
      <c r="AJ31">
        <f t="shared" ca="1" si="19"/>
        <v>1</v>
      </c>
      <c r="AK31">
        <f t="shared" ca="1" si="19"/>
        <v>1</v>
      </c>
      <c r="AL31">
        <f t="shared" ca="1" si="19"/>
        <v>0</v>
      </c>
      <c r="AM31">
        <f t="shared" ca="1" si="19"/>
        <v>0</v>
      </c>
      <c r="AN31">
        <f t="shared" ca="1" si="19"/>
        <v>0</v>
      </c>
      <c r="AO31">
        <f t="shared" ca="1" si="19"/>
        <v>0</v>
      </c>
      <c r="AP31">
        <f t="shared" ca="1" si="19"/>
        <v>1</v>
      </c>
      <c r="AQ31">
        <f t="shared" ca="1" si="19"/>
        <v>0</v>
      </c>
      <c r="BH31" s="1">
        <f t="shared" ca="1" si="14"/>
        <v>1</v>
      </c>
      <c r="BI31" s="1">
        <f t="shared" ca="1" si="15"/>
        <v>0</v>
      </c>
      <c r="BJ31" s="1">
        <f t="shared" ca="1" si="16"/>
        <v>0</v>
      </c>
      <c r="BK31" s="1">
        <f t="shared" ca="1" si="17"/>
        <v>0.5</v>
      </c>
      <c r="BL31">
        <f t="shared" ca="1" si="3"/>
        <v>1327</v>
      </c>
      <c r="BM31">
        <f t="shared" ca="1" si="3"/>
        <v>2608</v>
      </c>
      <c r="BN31">
        <f t="shared" ca="1" si="4"/>
        <v>1130</v>
      </c>
      <c r="BO31">
        <f t="shared" ca="1" si="4"/>
        <v>1336</v>
      </c>
      <c r="BP31">
        <f t="shared" ca="1" si="5"/>
        <v>5346</v>
      </c>
      <c r="BQ31">
        <f t="shared" ca="1" si="5"/>
        <v>5550</v>
      </c>
      <c r="BR31">
        <f t="shared" ca="1" si="6"/>
        <v>565</v>
      </c>
      <c r="BS31">
        <f t="shared" ca="1" si="6"/>
        <v>522</v>
      </c>
      <c r="BT31">
        <f t="shared" ca="1" si="7"/>
        <v>3938</v>
      </c>
      <c r="BU31">
        <f t="shared" ca="1" si="7"/>
        <v>9298</v>
      </c>
      <c r="BV31">
        <f t="shared" ca="1" si="7"/>
        <v>3222</v>
      </c>
      <c r="BW31">
        <f t="shared" ca="1" si="7"/>
        <v>4559</v>
      </c>
      <c r="BX31">
        <f t="shared" ca="1" si="8"/>
        <v>1436</v>
      </c>
      <c r="BY31">
        <f t="shared" ca="1" si="8"/>
        <v>1273</v>
      </c>
      <c r="BZ31">
        <f t="shared" ca="1" si="8"/>
        <v>2641</v>
      </c>
      <c r="CA31">
        <f t="shared" ca="1" si="8"/>
        <v>2827</v>
      </c>
      <c r="CB31" s="7">
        <f ca="1">AVERAGE(BL31:BM33,BP31:BQ33,BT31:BW33)</f>
        <v>5421.083333333333</v>
      </c>
      <c r="CC31" s="7">
        <f ca="1">AVERAGE(BN31:BO33,BR31:BS33,BX31:CA33)</f>
        <v>1836.25</v>
      </c>
    </row>
    <row r="32" spans="1:81" x14ac:dyDescent="0.2">
      <c r="A32">
        <v>31</v>
      </c>
      <c r="B32">
        <f t="shared" ca="1" si="9"/>
        <v>20</v>
      </c>
      <c r="C32">
        <f t="shared" ca="1" si="10"/>
        <v>4</v>
      </c>
      <c r="D32">
        <f t="shared" ca="1" si="10"/>
        <v>3</v>
      </c>
      <c r="E32" t="s">
        <v>180</v>
      </c>
      <c r="F32">
        <f t="shared" ca="1" si="11"/>
        <v>1</v>
      </c>
      <c r="G32">
        <f t="shared" ca="1" si="11"/>
        <v>1</v>
      </c>
      <c r="H32">
        <f t="shared" ca="1" si="11"/>
        <v>0</v>
      </c>
      <c r="I32" s="14">
        <f t="shared" ca="1" si="12"/>
        <v>0</v>
      </c>
      <c r="J32" t="s">
        <v>18</v>
      </c>
      <c r="K32">
        <f t="shared" si="13"/>
        <v>1</v>
      </c>
      <c r="L32">
        <v>4</v>
      </c>
      <c r="M32" s="15" t="s">
        <v>26</v>
      </c>
      <c r="N32" s="12" t="s">
        <v>32</v>
      </c>
      <c r="O32" s="13" t="s">
        <v>32</v>
      </c>
      <c r="P32" s="16" t="s">
        <v>31</v>
      </c>
      <c r="Q32" s="4" t="s">
        <v>86</v>
      </c>
      <c r="R32" t="s">
        <v>21</v>
      </c>
      <c r="S32">
        <v>1</v>
      </c>
      <c r="T32">
        <f t="shared" ca="1" si="18"/>
        <v>0</v>
      </c>
      <c r="U32">
        <f t="shared" ca="1" si="18"/>
        <v>0</v>
      </c>
      <c r="V32">
        <f t="shared" ca="1" si="18"/>
        <v>0</v>
      </c>
      <c r="W32">
        <f t="shared" ca="1" si="18"/>
        <v>0</v>
      </c>
      <c r="X32">
        <f t="shared" ca="1" si="18"/>
        <v>1</v>
      </c>
      <c r="Y32">
        <f t="shared" ca="1" si="18"/>
        <v>0</v>
      </c>
      <c r="Z32">
        <f t="shared" ca="1" si="18"/>
        <v>1</v>
      </c>
      <c r="AA32">
        <f t="shared" ca="1" si="18"/>
        <v>1</v>
      </c>
      <c r="AB32">
        <f t="shared" ca="1" si="19"/>
        <v>1</v>
      </c>
      <c r="AC32">
        <f t="shared" ca="1" si="19"/>
        <v>1</v>
      </c>
      <c r="AD32">
        <f t="shared" ca="1" si="19"/>
        <v>0</v>
      </c>
      <c r="AE32">
        <f t="shared" ca="1" si="19"/>
        <v>1</v>
      </c>
      <c r="AF32">
        <f t="shared" ca="1" si="19"/>
        <v>1</v>
      </c>
      <c r="AG32">
        <f t="shared" ca="1" si="19"/>
        <v>0</v>
      </c>
      <c r="AH32">
        <f t="shared" ca="1" si="19"/>
        <v>1</v>
      </c>
      <c r="AI32">
        <f t="shared" ca="1" si="19"/>
        <v>1</v>
      </c>
      <c r="AJ32">
        <f t="shared" ca="1" si="19"/>
        <v>1</v>
      </c>
      <c r="AK32">
        <f t="shared" ca="1" si="19"/>
        <v>0</v>
      </c>
      <c r="AL32">
        <f t="shared" ca="1" si="19"/>
        <v>1</v>
      </c>
      <c r="AM32">
        <f t="shared" ca="1" si="19"/>
        <v>1</v>
      </c>
      <c r="AN32">
        <f t="shared" ca="1" si="19"/>
        <v>0</v>
      </c>
      <c r="AO32">
        <f t="shared" ca="1" si="19"/>
        <v>1</v>
      </c>
      <c r="AP32">
        <f t="shared" ca="1" si="19"/>
        <v>0</v>
      </c>
      <c r="AQ32">
        <f t="shared" ca="1" si="19"/>
        <v>1</v>
      </c>
      <c r="BH32" s="1">
        <f t="shared" ca="1" si="14"/>
        <v>0.5</v>
      </c>
      <c r="BI32" s="1">
        <f t="shared" ca="1" si="15"/>
        <v>1</v>
      </c>
      <c r="BJ32" s="1">
        <f t="shared" ca="1" si="16"/>
        <v>0.5</v>
      </c>
      <c r="BK32" s="1">
        <f t="shared" ca="1" si="17"/>
        <v>0.5</v>
      </c>
      <c r="BL32">
        <f t="shared" ca="1" si="3"/>
        <v>7665</v>
      </c>
      <c r="BM32">
        <f t="shared" ca="1" si="3"/>
        <v>1533</v>
      </c>
      <c r="BN32">
        <f t="shared" ca="1" si="4"/>
        <v>1486</v>
      </c>
      <c r="BO32">
        <f t="shared" ca="1" si="4"/>
        <v>2236</v>
      </c>
      <c r="BP32">
        <f t="shared" ca="1" si="5"/>
        <v>3550</v>
      </c>
      <c r="BQ32">
        <f t="shared" ca="1" si="5"/>
        <v>9561</v>
      </c>
      <c r="BR32">
        <f t="shared" ca="1" si="6"/>
        <v>1515</v>
      </c>
      <c r="BS32">
        <f t="shared" ca="1" si="6"/>
        <v>1458</v>
      </c>
      <c r="BT32">
        <f t="shared" ca="1" si="7"/>
        <v>6515</v>
      </c>
      <c r="BU32">
        <f t="shared" ca="1" si="7"/>
        <v>1703</v>
      </c>
      <c r="BV32">
        <f t="shared" ca="1" si="7"/>
        <v>8565</v>
      </c>
      <c r="BW32">
        <f t="shared" ca="1" si="7"/>
        <v>7993</v>
      </c>
      <c r="BX32">
        <f t="shared" ca="1" si="8"/>
        <v>2760</v>
      </c>
      <c r="BY32">
        <f t="shared" ca="1" si="8"/>
        <v>2712</v>
      </c>
      <c r="BZ32">
        <f t="shared" ca="1" si="8"/>
        <v>3000</v>
      </c>
      <c r="CA32">
        <f t="shared" ca="1" si="8"/>
        <v>1675</v>
      </c>
      <c r="CB32" s="7">
        <f ca="1">AVERAGE(BL32:BM33,BP32:BQ33,BT32:BW33)</f>
        <v>5891.125</v>
      </c>
      <c r="CC32" s="7">
        <f ca="1">AVERAGE(BN32:BO33,BR32:BS33,BX32:CA33)</f>
        <v>2021.25</v>
      </c>
    </row>
    <row r="33" spans="1:81" x14ac:dyDescent="0.2">
      <c r="A33">
        <v>32</v>
      </c>
      <c r="B33">
        <f t="shared" ca="1" si="9"/>
        <v>25</v>
      </c>
      <c r="C33">
        <f t="shared" ca="1" si="10"/>
        <v>4</v>
      </c>
      <c r="D33">
        <f t="shared" ca="1" si="10"/>
        <v>1</v>
      </c>
      <c r="E33" t="s">
        <v>180</v>
      </c>
      <c r="F33">
        <f t="shared" ca="1" si="11"/>
        <v>1</v>
      </c>
      <c r="G33">
        <f t="shared" ca="1" si="11"/>
        <v>1</v>
      </c>
      <c r="H33">
        <f t="shared" ca="1" si="11"/>
        <v>0</v>
      </c>
      <c r="I33" s="14">
        <f t="shared" ca="1" si="12"/>
        <v>0</v>
      </c>
      <c r="J33" t="s">
        <v>19</v>
      </c>
      <c r="K33">
        <f t="shared" si="13"/>
        <v>0</v>
      </c>
      <c r="L33">
        <v>4</v>
      </c>
      <c r="M33" s="15" t="s">
        <v>26</v>
      </c>
      <c r="N33" s="12" t="s">
        <v>32</v>
      </c>
      <c r="O33" s="13" t="s">
        <v>32</v>
      </c>
      <c r="P33" s="16" t="s">
        <v>31</v>
      </c>
      <c r="Q33" s="4" t="s">
        <v>86</v>
      </c>
      <c r="R33" t="s">
        <v>21</v>
      </c>
      <c r="S33">
        <v>1</v>
      </c>
      <c r="T33">
        <f t="shared" ca="1" si="18"/>
        <v>1</v>
      </c>
      <c r="U33">
        <f t="shared" ca="1" si="18"/>
        <v>0</v>
      </c>
      <c r="V33">
        <f t="shared" ca="1" si="18"/>
        <v>1</v>
      </c>
      <c r="W33">
        <f t="shared" ca="1" si="18"/>
        <v>0</v>
      </c>
      <c r="X33">
        <f t="shared" ca="1" si="18"/>
        <v>0</v>
      </c>
      <c r="Y33">
        <f t="shared" ca="1" si="18"/>
        <v>0</v>
      </c>
      <c r="Z33">
        <f t="shared" ca="1" si="18"/>
        <v>0</v>
      </c>
      <c r="AA33">
        <f t="shared" ca="1" si="18"/>
        <v>0</v>
      </c>
      <c r="AB33">
        <f t="shared" ca="1" si="19"/>
        <v>0</v>
      </c>
      <c r="AC33">
        <f t="shared" ca="1" si="19"/>
        <v>0</v>
      </c>
      <c r="AD33">
        <f t="shared" ca="1" si="19"/>
        <v>1</v>
      </c>
      <c r="AE33">
        <f t="shared" ca="1" si="19"/>
        <v>1</v>
      </c>
      <c r="AF33">
        <f t="shared" ca="1" si="19"/>
        <v>0</v>
      </c>
      <c r="AG33">
        <f t="shared" ca="1" si="19"/>
        <v>0</v>
      </c>
      <c r="AH33">
        <f t="shared" ca="1" si="19"/>
        <v>0</v>
      </c>
      <c r="AI33">
        <f t="shared" ca="1" si="19"/>
        <v>0</v>
      </c>
      <c r="AJ33">
        <f t="shared" ca="1" si="19"/>
        <v>1</v>
      </c>
      <c r="AK33">
        <f t="shared" ca="1" si="19"/>
        <v>0</v>
      </c>
      <c r="AL33">
        <f t="shared" ca="1" si="19"/>
        <v>1</v>
      </c>
      <c r="AM33">
        <f t="shared" ca="1" si="19"/>
        <v>1</v>
      </c>
      <c r="AN33">
        <f t="shared" ca="1" si="19"/>
        <v>0</v>
      </c>
      <c r="AO33">
        <f t="shared" ca="1" si="19"/>
        <v>1</v>
      </c>
      <c r="AP33">
        <f t="shared" ca="1" si="19"/>
        <v>0</v>
      </c>
      <c r="AQ33">
        <f t="shared" ref="AQ33" ca="1" si="20">RANDBETWEEN(0,1)</f>
        <v>0</v>
      </c>
      <c r="BH33" s="1">
        <f t="shared" ca="1" si="14"/>
        <v>0.5</v>
      </c>
      <c r="BI33" s="1">
        <f t="shared" ca="1" si="15"/>
        <v>1</v>
      </c>
      <c r="BJ33" s="1">
        <f t="shared" ca="1" si="16"/>
        <v>0.5</v>
      </c>
      <c r="BK33" s="1">
        <f t="shared" ca="1" si="17"/>
        <v>0</v>
      </c>
      <c r="BL33">
        <f t="shared" ca="1" si="3"/>
        <v>6227</v>
      </c>
      <c r="BM33">
        <f t="shared" ca="1" si="3"/>
        <v>7528</v>
      </c>
      <c r="BN33">
        <f t="shared" ca="1" si="4"/>
        <v>1604</v>
      </c>
      <c r="BO33">
        <f t="shared" ca="1" si="4"/>
        <v>1128</v>
      </c>
      <c r="BP33">
        <f t="shared" ca="1" si="5"/>
        <v>9031</v>
      </c>
      <c r="BQ33">
        <f t="shared" ca="1" si="5"/>
        <v>1418</v>
      </c>
      <c r="BR33">
        <f t="shared" ca="1" si="6"/>
        <v>1620</v>
      </c>
      <c r="BS33">
        <f t="shared" ca="1" si="6"/>
        <v>2665</v>
      </c>
      <c r="BT33">
        <f t="shared" ca="1" si="7"/>
        <v>652</v>
      </c>
      <c r="BU33">
        <f t="shared" ca="1" si="7"/>
        <v>8719</v>
      </c>
      <c r="BV33">
        <f t="shared" ca="1" si="7"/>
        <v>5025</v>
      </c>
      <c r="BW33">
        <f t="shared" ca="1" si="7"/>
        <v>8573</v>
      </c>
      <c r="BX33">
        <f t="shared" ca="1" si="8"/>
        <v>1752</v>
      </c>
      <c r="BY33">
        <f t="shared" ca="1" si="8"/>
        <v>2970</v>
      </c>
      <c r="BZ33">
        <f t="shared" ca="1" si="8"/>
        <v>2580</v>
      </c>
      <c r="CA33">
        <f t="shared" ca="1" si="8"/>
        <v>1179</v>
      </c>
      <c r="CB33" s="7">
        <f ca="1">AVERAGE(BL33:BM33,BP33:BQ33,BT33:BW33)</f>
        <v>5896.625</v>
      </c>
      <c r="CC33" s="7">
        <f ca="1">AVERAGE(BN33:BO33,BR33:BS33,BX33:CA33)</f>
        <v>1937.25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33"/>
  <sheetViews>
    <sheetView zoomScale="80" zoomScaleNormal="80" workbookViewId="0">
      <selection activeCell="M55" sqref="M55"/>
    </sheetView>
  </sheetViews>
  <sheetFormatPr baseColWidth="10" defaultColWidth="8.83203125" defaultRowHeight="15" x14ac:dyDescent="0.2"/>
  <cols>
    <col min="1" max="1" width="6.83203125" bestFit="1" customWidth="1"/>
    <col min="2" max="2" width="4.5" bestFit="1" customWidth="1"/>
    <col min="3" max="3" width="7.5" bestFit="1" customWidth="1"/>
    <col min="4" max="5" width="7.5" customWidth="1"/>
    <col min="6" max="6" width="18.5" bestFit="1" customWidth="1"/>
    <col min="7" max="7" width="18.5" customWidth="1"/>
    <col min="8" max="8" width="19.33203125" bestFit="1" customWidth="1"/>
    <col min="9" max="9" width="7.5" customWidth="1"/>
    <col min="10" max="10" width="13.5" bestFit="1" customWidth="1"/>
    <col min="11" max="11" width="10.5" bestFit="1" customWidth="1"/>
    <col min="12" max="12" width="11" bestFit="1" customWidth="1"/>
    <col min="13" max="13" width="10.83203125" bestFit="1" customWidth="1"/>
    <col min="14" max="14" width="14.1640625" bestFit="1" customWidth="1"/>
    <col min="15" max="16" width="14.1640625" customWidth="1"/>
    <col min="17" max="18" width="19.5" style="10" bestFit="1" customWidth="1"/>
    <col min="19" max="20" width="23.6640625" style="10" bestFit="1" customWidth="1"/>
    <col min="21" max="22" width="28.1640625" style="10" bestFit="1" customWidth="1"/>
    <col min="23" max="24" width="30.5" style="10" bestFit="1" customWidth="1"/>
    <col min="25" max="26" width="19.5" style="5" bestFit="1" customWidth="1"/>
    <col min="27" max="28" width="23.6640625" style="5" bestFit="1" customWidth="1"/>
    <col min="29" max="30" width="28.1640625" style="5" bestFit="1" customWidth="1"/>
    <col min="31" max="32" width="30.5" style="5" bestFit="1" customWidth="1"/>
  </cols>
  <sheetData>
    <row r="1" spans="1:32" x14ac:dyDescent="0.2">
      <c r="A1" t="s">
        <v>0</v>
      </c>
      <c r="B1" t="s">
        <v>118</v>
      </c>
      <c r="C1" t="s">
        <v>181</v>
      </c>
      <c r="D1" t="s">
        <v>182</v>
      </c>
      <c r="E1" t="s">
        <v>128</v>
      </c>
      <c r="F1" t="s">
        <v>173</v>
      </c>
      <c r="G1" t="s">
        <v>174</v>
      </c>
      <c r="H1" t="s">
        <v>175</v>
      </c>
      <c r="I1" t="s">
        <v>129</v>
      </c>
      <c r="J1" t="s">
        <v>44</v>
      </c>
      <c r="K1" t="s">
        <v>85</v>
      </c>
      <c r="L1" t="s">
        <v>46</v>
      </c>
      <c r="M1" t="s">
        <v>22</v>
      </c>
      <c r="N1" t="s">
        <v>119</v>
      </c>
      <c r="O1" t="s">
        <v>146</v>
      </c>
      <c r="P1" t="s">
        <v>147</v>
      </c>
      <c r="Q1" s="17" t="s">
        <v>136</v>
      </c>
      <c r="R1" s="17" t="s">
        <v>137</v>
      </c>
      <c r="S1" s="18" t="s">
        <v>130</v>
      </c>
      <c r="T1" s="19" t="s">
        <v>131</v>
      </c>
      <c r="U1" s="18" t="s">
        <v>132</v>
      </c>
      <c r="V1" s="19" t="s">
        <v>133</v>
      </c>
      <c r="W1" s="18" t="s">
        <v>134</v>
      </c>
      <c r="X1" s="20" t="s">
        <v>135</v>
      </c>
      <c r="Y1" s="13" t="s">
        <v>138</v>
      </c>
      <c r="Z1" s="13" t="s">
        <v>139</v>
      </c>
      <c r="AA1" s="25" t="s">
        <v>140</v>
      </c>
      <c r="AB1" s="26" t="s">
        <v>141</v>
      </c>
      <c r="AC1" s="25" t="s">
        <v>142</v>
      </c>
      <c r="AD1" s="26" t="s">
        <v>143</v>
      </c>
      <c r="AE1" s="25" t="s">
        <v>144</v>
      </c>
      <c r="AF1" s="27" t="s">
        <v>145</v>
      </c>
    </row>
    <row r="2" spans="1:32" x14ac:dyDescent="0.2">
      <c r="A2">
        <v>1</v>
      </c>
      <c r="B2">
        <f ca="1">RANDBETWEEN(18,25)</f>
        <v>25</v>
      </c>
      <c r="C2">
        <f ca="1">RANDBETWEEN(1,4)</f>
        <v>1</v>
      </c>
      <c r="D2">
        <f ca="1">RANDBETWEEN(1,4)</f>
        <v>4</v>
      </c>
      <c r="E2" t="s">
        <v>180</v>
      </c>
      <c r="F2">
        <f ca="1">RANDBETWEEN(0,1)</f>
        <v>0</v>
      </c>
      <c r="G2">
        <f ca="1">RANDBETWEEN(0,1)</f>
        <v>0</v>
      </c>
      <c r="H2">
        <f ca="1">RANDBETWEEN(0,1)</f>
        <v>1</v>
      </c>
      <c r="I2" s="14">
        <f ca="1">ROUND(RAND(),0)</f>
        <v>0</v>
      </c>
      <c r="J2" t="s">
        <v>126</v>
      </c>
      <c r="K2">
        <f>IF(J2 = "Express-first", 1, 0)</f>
        <v>1</v>
      </c>
      <c r="L2">
        <v>1</v>
      </c>
      <c r="M2" t="str">
        <f>IF(L2 = 1, "food", "elephant")</f>
        <v>food</v>
      </c>
      <c r="N2">
        <f ca="1">RANDBETWEEN(1,100)</f>
        <v>4</v>
      </c>
      <c r="O2">
        <f ca="1">AVERAGE(Q2,Y2)</f>
        <v>18.5</v>
      </c>
      <c r="P2">
        <f ca="1">AVERAGE(R2,Z2)</f>
        <v>11</v>
      </c>
      <c r="Q2" s="10">
        <f ca="1">SUM(S2,U2,W2)</f>
        <v>30</v>
      </c>
      <c r="R2" s="10">
        <f ca="1">SUM(T2,V2,X2)</f>
        <v>13</v>
      </c>
      <c r="S2" s="21">
        <f t="shared" ref="S2:X17" ca="1" si="0">RANDBETWEEN(0,20)</f>
        <v>8</v>
      </c>
      <c r="T2" s="22">
        <f t="shared" ca="1" si="0"/>
        <v>10</v>
      </c>
      <c r="U2" s="21">
        <f t="shared" ca="1" si="0"/>
        <v>16</v>
      </c>
      <c r="V2" s="22">
        <f t="shared" ca="1" si="0"/>
        <v>1</v>
      </c>
      <c r="W2" s="21">
        <f t="shared" ca="1" si="0"/>
        <v>6</v>
      </c>
      <c r="X2" s="22">
        <f t="shared" ca="1" si="0"/>
        <v>2</v>
      </c>
      <c r="Y2" s="5">
        <f t="shared" ref="Y2:Y33" ca="1" si="1">X2+W2+RANDBETWEEN(-1,1)</f>
        <v>7</v>
      </c>
      <c r="Z2" s="5">
        <f t="shared" ref="Z2:Z33" ca="1" si="2">X2+W2+RANDBETWEEN(-1,1)</f>
        <v>9</v>
      </c>
      <c r="AA2" s="28">
        <f t="shared" ref="AA2:AF17" ca="1" si="3">RANDBETWEEN(0,20)</f>
        <v>12</v>
      </c>
      <c r="AB2" s="29">
        <f t="shared" ca="1" si="3"/>
        <v>9</v>
      </c>
      <c r="AC2" s="28">
        <f t="shared" ca="1" si="3"/>
        <v>17</v>
      </c>
      <c r="AD2" s="29">
        <f t="shared" ca="1" si="3"/>
        <v>12</v>
      </c>
      <c r="AE2" s="28">
        <f t="shared" ca="1" si="3"/>
        <v>12</v>
      </c>
      <c r="AF2" s="29">
        <f t="shared" ca="1" si="3"/>
        <v>8</v>
      </c>
    </row>
    <row r="3" spans="1:32" x14ac:dyDescent="0.2">
      <c r="A3">
        <v>2</v>
      </c>
      <c r="B3">
        <f t="shared" ref="B3:B33" ca="1" si="4">RANDBETWEEN(18,25)</f>
        <v>20</v>
      </c>
      <c r="C3">
        <f t="shared" ref="C3:D33" ca="1" si="5">RANDBETWEEN(1,4)</f>
        <v>2</v>
      </c>
      <c r="D3">
        <f t="shared" ca="1" si="5"/>
        <v>4</v>
      </c>
      <c r="E3" t="s">
        <v>180</v>
      </c>
      <c r="F3">
        <f t="shared" ref="F3:H33" ca="1" si="6">RANDBETWEEN(0,1)</f>
        <v>0</v>
      </c>
      <c r="G3">
        <f t="shared" ca="1" si="6"/>
        <v>0</v>
      </c>
      <c r="H3">
        <f t="shared" ca="1" si="6"/>
        <v>1</v>
      </c>
      <c r="I3" s="14">
        <f t="shared" ref="I3:I33" ca="1" si="7">ROUND(RAND(),0)</f>
        <v>0</v>
      </c>
      <c r="J3" t="s">
        <v>127</v>
      </c>
      <c r="K3">
        <f t="shared" ref="K3:K33" si="8">IF(J3 = "Express-first", 1, 0)</f>
        <v>0</v>
      </c>
      <c r="L3">
        <v>1</v>
      </c>
      <c r="M3" t="str">
        <f t="shared" ref="M3:M33" si="9">IF(L3 = 1, "food", "elephant")</f>
        <v>food</v>
      </c>
      <c r="N3">
        <f t="shared" ref="N3:N33" ca="1" si="10">RANDBETWEEN(1,100)</f>
        <v>83</v>
      </c>
      <c r="O3">
        <f t="shared" ref="O3:O33" ca="1" si="11">AVERAGE(Q3,Y3)</f>
        <v>14</v>
      </c>
      <c r="P3">
        <f t="shared" ref="P3:P33" ca="1" si="12">AVERAGE(R3,Z3)</f>
        <v>15</v>
      </c>
      <c r="Q3" s="10">
        <f t="shared" ref="Q3:Q33" ca="1" si="13">SUM(S3,U3,W3)</f>
        <v>17</v>
      </c>
      <c r="R3" s="10">
        <f t="shared" ref="R3:R33" ca="1" si="14">SUM(T3,V3,X3)</f>
        <v>20</v>
      </c>
      <c r="S3" s="21">
        <f t="shared" ref="S3:V33" ca="1" si="15">RANDBETWEEN(0,20)</f>
        <v>9</v>
      </c>
      <c r="T3" s="22">
        <f t="shared" ca="1" si="15"/>
        <v>5</v>
      </c>
      <c r="U3" s="21">
        <f t="shared" ca="1" si="15"/>
        <v>2</v>
      </c>
      <c r="V3" s="22">
        <f t="shared" ca="1" si="15"/>
        <v>11</v>
      </c>
      <c r="W3" s="21">
        <f t="shared" ca="1" si="0"/>
        <v>6</v>
      </c>
      <c r="X3" s="22">
        <f t="shared" ca="1" si="0"/>
        <v>4</v>
      </c>
      <c r="Y3" s="5">
        <f t="shared" ca="1" si="1"/>
        <v>11</v>
      </c>
      <c r="Z3" s="5">
        <f t="shared" ca="1" si="2"/>
        <v>10</v>
      </c>
      <c r="AA3" s="28">
        <f t="shared" ca="1" si="3"/>
        <v>3</v>
      </c>
      <c r="AB3" s="29">
        <f t="shared" ca="1" si="3"/>
        <v>13</v>
      </c>
      <c r="AC3" s="28">
        <f t="shared" ca="1" si="3"/>
        <v>7</v>
      </c>
      <c r="AD3" s="29">
        <f t="shared" ca="1" si="3"/>
        <v>10</v>
      </c>
      <c r="AE3" s="28">
        <f t="shared" ca="1" si="3"/>
        <v>10</v>
      </c>
      <c r="AF3" s="29">
        <f t="shared" ca="1" si="3"/>
        <v>17</v>
      </c>
    </row>
    <row r="4" spans="1:32" x14ac:dyDescent="0.2">
      <c r="A4">
        <v>3</v>
      </c>
      <c r="B4">
        <f t="shared" ca="1" si="4"/>
        <v>22</v>
      </c>
      <c r="C4">
        <f t="shared" ca="1" si="5"/>
        <v>2</v>
      </c>
      <c r="D4">
        <f t="shared" ca="1" si="5"/>
        <v>3</v>
      </c>
      <c r="E4" t="s">
        <v>180</v>
      </c>
      <c r="F4">
        <f t="shared" ca="1" si="6"/>
        <v>1</v>
      </c>
      <c r="G4">
        <f t="shared" ca="1" si="6"/>
        <v>0</v>
      </c>
      <c r="H4">
        <f t="shared" ca="1" si="6"/>
        <v>1</v>
      </c>
      <c r="I4" s="14">
        <f t="shared" ca="1" si="7"/>
        <v>0</v>
      </c>
      <c r="J4" t="s">
        <v>126</v>
      </c>
      <c r="K4">
        <f t="shared" si="8"/>
        <v>1</v>
      </c>
      <c r="L4">
        <v>1</v>
      </c>
      <c r="M4" t="str">
        <f t="shared" si="9"/>
        <v>food</v>
      </c>
      <c r="N4">
        <f t="shared" ca="1" si="10"/>
        <v>25</v>
      </c>
      <c r="O4">
        <f t="shared" ca="1" si="11"/>
        <v>34.5</v>
      </c>
      <c r="P4">
        <f t="shared" ca="1" si="12"/>
        <v>28.5</v>
      </c>
      <c r="Q4" s="10">
        <f t="shared" ca="1" si="13"/>
        <v>48</v>
      </c>
      <c r="R4" s="10">
        <f t="shared" ca="1" si="14"/>
        <v>37</v>
      </c>
      <c r="S4" s="21">
        <f t="shared" ca="1" si="15"/>
        <v>18</v>
      </c>
      <c r="T4" s="22">
        <f t="shared" ca="1" si="15"/>
        <v>14</v>
      </c>
      <c r="U4" s="21">
        <f t="shared" ca="1" si="15"/>
        <v>13</v>
      </c>
      <c r="V4" s="22">
        <f t="shared" ca="1" si="15"/>
        <v>19</v>
      </c>
      <c r="W4" s="21">
        <f t="shared" ca="1" si="0"/>
        <v>17</v>
      </c>
      <c r="X4" s="22">
        <f t="shared" ca="1" si="0"/>
        <v>4</v>
      </c>
      <c r="Y4" s="5">
        <f t="shared" ca="1" si="1"/>
        <v>21</v>
      </c>
      <c r="Z4" s="5">
        <f t="shared" ca="1" si="2"/>
        <v>20</v>
      </c>
      <c r="AA4" s="28">
        <f t="shared" ca="1" si="3"/>
        <v>6</v>
      </c>
      <c r="AB4" s="29">
        <f t="shared" ca="1" si="3"/>
        <v>0</v>
      </c>
      <c r="AC4" s="28">
        <f t="shared" ca="1" si="3"/>
        <v>19</v>
      </c>
      <c r="AD4" s="29">
        <f t="shared" ca="1" si="3"/>
        <v>9</v>
      </c>
      <c r="AE4" s="28">
        <f t="shared" ca="1" si="3"/>
        <v>3</v>
      </c>
      <c r="AF4" s="29">
        <f t="shared" ca="1" si="3"/>
        <v>19</v>
      </c>
    </row>
    <row r="5" spans="1:32" x14ac:dyDescent="0.2">
      <c r="A5">
        <v>4</v>
      </c>
      <c r="B5">
        <f t="shared" ca="1" si="4"/>
        <v>20</v>
      </c>
      <c r="C5">
        <f t="shared" ca="1" si="5"/>
        <v>1</v>
      </c>
      <c r="D5">
        <f t="shared" ca="1" si="5"/>
        <v>3</v>
      </c>
      <c r="E5" t="s">
        <v>180</v>
      </c>
      <c r="F5">
        <f t="shared" ca="1" si="6"/>
        <v>1</v>
      </c>
      <c r="G5">
        <f t="shared" ca="1" si="6"/>
        <v>1</v>
      </c>
      <c r="H5">
        <f t="shared" ca="1" si="6"/>
        <v>1</v>
      </c>
      <c r="I5" s="14">
        <f t="shared" ca="1" si="7"/>
        <v>0</v>
      </c>
      <c r="J5" t="s">
        <v>127</v>
      </c>
      <c r="K5">
        <f t="shared" si="8"/>
        <v>0</v>
      </c>
      <c r="L5">
        <v>1</v>
      </c>
      <c r="M5" t="str">
        <f t="shared" si="9"/>
        <v>food</v>
      </c>
      <c r="N5">
        <f t="shared" ca="1" si="10"/>
        <v>84</v>
      </c>
      <c r="O5">
        <f t="shared" ca="1" si="11"/>
        <v>34</v>
      </c>
      <c r="P5">
        <f t="shared" ca="1" si="12"/>
        <v>29</v>
      </c>
      <c r="Q5" s="10">
        <f t="shared" ca="1" si="13"/>
        <v>39</v>
      </c>
      <c r="R5" s="10">
        <f t="shared" ca="1" si="14"/>
        <v>30</v>
      </c>
      <c r="S5" s="21">
        <f t="shared" ca="1" si="15"/>
        <v>10</v>
      </c>
      <c r="T5" s="22">
        <f t="shared" ca="1" si="15"/>
        <v>16</v>
      </c>
      <c r="U5" s="21">
        <f t="shared" ca="1" si="15"/>
        <v>11</v>
      </c>
      <c r="V5" s="22">
        <f t="shared" ca="1" si="15"/>
        <v>3</v>
      </c>
      <c r="W5" s="21">
        <f t="shared" ca="1" si="0"/>
        <v>18</v>
      </c>
      <c r="X5" s="22">
        <f t="shared" ca="1" si="0"/>
        <v>11</v>
      </c>
      <c r="Y5" s="5">
        <f t="shared" ca="1" si="1"/>
        <v>29</v>
      </c>
      <c r="Z5" s="5">
        <f t="shared" ca="1" si="2"/>
        <v>28</v>
      </c>
      <c r="AA5" s="28">
        <f t="shared" ca="1" si="3"/>
        <v>11</v>
      </c>
      <c r="AB5" s="29">
        <f t="shared" ca="1" si="3"/>
        <v>16</v>
      </c>
      <c r="AC5" s="28">
        <f t="shared" ca="1" si="3"/>
        <v>5</v>
      </c>
      <c r="AD5" s="29">
        <f t="shared" ca="1" si="3"/>
        <v>10</v>
      </c>
      <c r="AE5" s="28">
        <f t="shared" ca="1" si="3"/>
        <v>13</v>
      </c>
      <c r="AF5" s="29">
        <f t="shared" ca="1" si="3"/>
        <v>4</v>
      </c>
    </row>
    <row r="6" spans="1:32" x14ac:dyDescent="0.2">
      <c r="A6">
        <v>5</v>
      </c>
      <c r="B6">
        <f t="shared" ca="1" si="4"/>
        <v>18</v>
      </c>
      <c r="C6">
        <f t="shared" ca="1" si="5"/>
        <v>3</v>
      </c>
      <c r="D6">
        <f t="shared" ca="1" si="5"/>
        <v>1</v>
      </c>
      <c r="E6" t="s">
        <v>180</v>
      </c>
      <c r="F6">
        <f t="shared" ca="1" si="6"/>
        <v>0</v>
      </c>
      <c r="G6">
        <f t="shared" ca="1" si="6"/>
        <v>0</v>
      </c>
      <c r="H6">
        <f t="shared" ca="1" si="6"/>
        <v>0</v>
      </c>
      <c r="I6" s="14">
        <f t="shared" ca="1" si="7"/>
        <v>0</v>
      </c>
      <c r="J6" t="s">
        <v>126</v>
      </c>
      <c r="K6">
        <f t="shared" si="8"/>
        <v>1</v>
      </c>
      <c r="L6">
        <v>1</v>
      </c>
      <c r="M6" t="str">
        <f t="shared" si="9"/>
        <v>food</v>
      </c>
      <c r="N6">
        <f t="shared" ca="1" si="10"/>
        <v>47</v>
      </c>
      <c r="O6">
        <f t="shared" ca="1" si="11"/>
        <v>24.5</v>
      </c>
      <c r="P6">
        <f t="shared" ca="1" si="12"/>
        <v>26.5</v>
      </c>
      <c r="Q6" s="10">
        <f t="shared" ca="1" si="13"/>
        <v>29</v>
      </c>
      <c r="R6" s="10">
        <f t="shared" ca="1" si="14"/>
        <v>35</v>
      </c>
      <c r="S6" s="21">
        <f t="shared" ca="1" si="15"/>
        <v>9</v>
      </c>
      <c r="T6" s="22">
        <f t="shared" ca="1" si="15"/>
        <v>7</v>
      </c>
      <c r="U6" s="21">
        <f t="shared" ca="1" si="15"/>
        <v>11</v>
      </c>
      <c r="V6" s="22">
        <f t="shared" ca="1" si="15"/>
        <v>18</v>
      </c>
      <c r="W6" s="21">
        <f t="shared" ca="1" si="0"/>
        <v>9</v>
      </c>
      <c r="X6" s="22">
        <f t="shared" ca="1" si="0"/>
        <v>10</v>
      </c>
      <c r="Y6" s="5">
        <f t="shared" ca="1" si="1"/>
        <v>20</v>
      </c>
      <c r="Z6" s="5">
        <f t="shared" ca="1" si="2"/>
        <v>18</v>
      </c>
      <c r="AA6" s="28">
        <f t="shared" ca="1" si="3"/>
        <v>5</v>
      </c>
      <c r="AB6" s="29">
        <f t="shared" ca="1" si="3"/>
        <v>9</v>
      </c>
      <c r="AC6" s="28">
        <f t="shared" ca="1" si="3"/>
        <v>3</v>
      </c>
      <c r="AD6" s="29">
        <f t="shared" ca="1" si="3"/>
        <v>9</v>
      </c>
      <c r="AE6" s="28">
        <f t="shared" ca="1" si="3"/>
        <v>4</v>
      </c>
      <c r="AF6" s="29">
        <f t="shared" ca="1" si="3"/>
        <v>1</v>
      </c>
    </row>
    <row r="7" spans="1:32" x14ac:dyDescent="0.2">
      <c r="A7">
        <v>6</v>
      </c>
      <c r="B7">
        <f t="shared" ca="1" si="4"/>
        <v>24</v>
      </c>
      <c r="C7">
        <f t="shared" ca="1" si="5"/>
        <v>4</v>
      </c>
      <c r="D7">
        <f t="shared" ca="1" si="5"/>
        <v>3</v>
      </c>
      <c r="E7" t="s">
        <v>180</v>
      </c>
      <c r="F7">
        <f t="shared" ca="1" si="6"/>
        <v>1</v>
      </c>
      <c r="G7">
        <f t="shared" ca="1" si="6"/>
        <v>0</v>
      </c>
      <c r="H7">
        <f t="shared" ca="1" si="6"/>
        <v>1</v>
      </c>
      <c r="I7" s="14">
        <f t="shared" ca="1" si="7"/>
        <v>0</v>
      </c>
      <c r="J7" t="s">
        <v>127</v>
      </c>
      <c r="K7">
        <f t="shared" si="8"/>
        <v>0</v>
      </c>
      <c r="L7">
        <v>1</v>
      </c>
      <c r="M7" t="str">
        <f t="shared" si="9"/>
        <v>food</v>
      </c>
      <c r="N7">
        <f t="shared" ca="1" si="10"/>
        <v>7</v>
      </c>
      <c r="O7">
        <f t="shared" ca="1" si="11"/>
        <v>39</v>
      </c>
      <c r="P7">
        <f t="shared" ca="1" si="12"/>
        <v>31</v>
      </c>
      <c r="Q7" s="10">
        <f t="shared" ca="1" si="13"/>
        <v>51</v>
      </c>
      <c r="R7" s="10">
        <f t="shared" ca="1" si="14"/>
        <v>36</v>
      </c>
      <c r="S7" s="21">
        <f t="shared" ca="1" si="15"/>
        <v>17</v>
      </c>
      <c r="T7" s="22">
        <f t="shared" ca="1" si="15"/>
        <v>6</v>
      </c>
      <c r="U7" s="21">
        <f t="shared" ca="1" si="15"/>
        <v>20</v>
      </c>
      <c r="V7" s="22">
        <f t="shared" ca="1" si="15"/>
        <v>17</v>
      </c>
      <c r="W7" s="21">
        <f t="shared" ca="1" si="0"/>
        <v>14</v>
      </c>
      <c r="X7" s="22">
        <f t="shared" ca="1" si="0"/>
        <v>13</v>
      </c>
      <c r="Y7" s="5">
        <f t="shared" ca="1" si="1"/>
        <v>27</v>
      </c>
      <c r="Z7" s="5">
        <f t="shared" ca="1" si="2"/>
        <v>26</v>
      </c>
      <c r="AA7" s="28">
        <f t="shared" ca="1" si="3"/>
        <v>12</v>
      </c>
      <c r="AB7" s="29">
        <f t="shared" ca="1" si="3"/>
        <v>7</v>
      </c>
      <c r="AC7" s="28">
        <f t="shared" ca="1" si="3"/>
        <v>7</v>
      </c>
      <c r="AD7" s="29">
        <f t="shared" ca="1" si="3"/>
        <v>0</v>
      </c>
      <c r="AE7" s="28">
        <f t="shared" ca="1" si="3"/>
        <v>5</v>
      </c>
      <c r="AF7" s="29">
        <f t="shared" ca="1" si="3"/>
        <v>11</v>
      </c>
    </row>
    <row r="8" spans="1:32" x14ac:dyDescent="0.2">
      <c r="A8">
        <v>7</v>
      </c>
      <c r="B8">
        <f t="shared" ca="1" si="4"/>
        <v>25</v>
      </c>
      <c r="C8">
        <f t="shared" ca="1" si="5"/>
        <v>1</v>
      </c>
      <c r="D8">
        <f t="shared" ca="1" si="5"/>
        <v>1</v>
      </c>
      <c r="E8" t="s">
        <v>180</v>
      </c>
      <c r="F8">
        <f t="shared" ca="1" si="6"/>
        <v>1</v>
      </c>
      <c r="G8">
        <f t="shared" ca="1" si="6"/>
        <v>1</v>
      </c>
      <c r="H8">
        <f t="shared" ca="1" si="6"/>
        <v>0</v>
      </c>
      <c r="I8" s="14">
        <f t="shared" ca="1" si="7"/>
        <v>0</v>
      </c>
      <c r="J8" t="s">
        <v>126</v>
      </c>
      <c r="K8">
        <f t="shared" si="8"/>
        <v>1</v>
      </c>
      <c r="L8">
        <v>1</v>
      </c>
      <c r="M8" t="str">
        <f t="shared" si="9"/>
        <v>food</v>
      </c>
      <c r="N8">
        <f t="shared" ca="1" si="10"/>
        <v>6</v>
      </c>
      <c r="O8">
        <f t="shared" ca="1" si="11"/>
        <v>28</v>
      </c>
      <c r="P8">
        <f t="shared" ca="1" si="12"/>
        <v>23.5</v>
      </c>
      <c r="Q8" s="10">
        <f t="shared" ca="1" si="13"/>
        <v>38</v>
      </c>
      <c r="R8" s="10">
        <f t="shared" ca="1" si="14"/>
        <v>30</v>
      </c>
      <c r="S8" s="21">
        <f t="shared" ca="1" si="15"/>
        <v>19</v>
      </c>
      <c r="T8" s="22">
        <f t="shared" ca="1" si="15"/>
        <v>11</v>
      </c>
      <c r="U8" s="21">
        <f t="shared" ca="1" si="15"/>
        <v>13</v>
      </c>
      <c r="V8" s="22">
        <f t="shared" ca="1" si="15"/>
        <v>8</v>
      </c>
      <c r="W8" s="21">
        <f t="shared" ca="1" si="0"/>
        <v>6</v>
      </c>
      <c r="X8" s="22">
        <f t="shared" ca="1" si="0"/>
        <v>11</v>
      </c>
      <c r="Y8" s="5">
        <f t="shared" ca="1" si="1"/>
        <v>18</v>
      </c>
      <c r="Z8" s="5">
        <f t="shared" ca="1" si="2"/>
        <v>17</v>
      </c>
      <c r="AA8" s="28">
        <f t="shared" ca="1" si="3"/>
        <v>13</v>
      </c>
      <c r="AB8" s="29">
        <f t="shared" ca="1" si="3"/>
        <v>8</v>
      </c>
      <c r="AC8" s="28">
        <f t="shared" ca="1" si="3"/>
        <v>2</v>
      </c>
      <c r="AD8" s="29">
        <f t="shared" ca="1" si="3"/>
        <v>18</v>
      </c>
      <c r="AE8" s="28">
        <f t="shared" ca="1" si="3"/>
        <v>11</v>
      </c>
      <c r="AF8" s="29">
        <f t="shared" ca="1" si="3"/>
        <v>7</v>
      </c>
    </row>
    <row r="9" spans="1:32" x14ac:dyDescent="0.2">
      <c r="A9">
        <v>8</v>
      </c>
      <c r="B9">
        <f t="shared" ca="1" si="4"/>
        <v>25</v>
      </c>
      <c r="C9">
        <f t="shared" ca="1" si="5"/>
        <v>2</v>
      </c>
      <c r="D9">
        <f t="shared" ca="1" si="5"/>
        <v>3</v>
      </c>
      <c r="E9" t="s">
        <v>180</v>
      </c>
      <c r="F9">
        <f t="shared" ca="1" si="6"/>
        <v>1</v>
      </c>
      <c r="G9">
        <f t="shared" ca="1" si="6"/>
        <v>0</v>
      </c>
      <c r="H9">
        <f t="shared" ca="1" si="6"/>
        <v>0</v>
      </c>
      <c r="I9" s="14">
        <f t="shared" ca="1" si="7"/>
        <v>1</v>
      </c>
      <c r="J9" t="s">
        <v>127</v>
      </c>
      <c r="K9">
        <f t="shared" si="8"/>
        <v>0</v>
      </c>
      <c r="L9">
        <v>1</v>
      </c>
      <c r="M9" t="str">
        <f t="shared" si="9"/>
        <v>food</v>
      </c>
      <c r="N9">
        <f t="shared" ca="1" si="10"/>
        <v>36</v>
      </c>
      <c r="O9">
        <f t="shared" ca="1" si="11"/>
        <v>24.5</v>
      </c>
      <c r="P9">
        <f t="shared" ca="1" si="12"/>
        <v>19</v>
      </c>
      <c r="Q9" s="10">
        <f t="shared" ca="1" si="13"/>
        <v>42</v>
      </c>
      <c r="R9" s="10">
        <f t="shared" ca="1" si="14"/>
        <v>30</v>
      </c>
      <c r="S9" s="21">
        <f t="shared" ca="1" si="15"/>
        <v>20</v>
      </c>
      <c r="T9" s="22">
        <f t="shared" ca="1" si="15"/>
        <v>12</v>
      </c>
      <c r="U9" s="21">
        <f t="shared" ca="1" si="15"/>
        <v>18</v>
      </c>
      <c r="V9" s="22">
        <f t="shared" ca="1" si="15"/>
        <v>14</v>
      </c>
      <c r="W9" s="21">
        <f t="shared" ca="1" si="0"/>
        <v>4</v>
      </c>
      <c r="X9" s="22">
        <f t="shared" ca="1" si="0"/>
        <v>4</v>
      </c>
      <c r="Y9" s="5">
        <f t="shared" ca="1" si="1"/>
        <v>7</v>
      </c>
      <c r="Z9" s="5">
        <f t="shared" ca="1" si="2"/>
        <v>8</v>
      </c>
      <c r="AA9" s="28">
        <f t="shared" ca="1" si="3"/>
        <v>15</v>
      </c>
      <c r="AB9" s="29">
        <f t="shared" ca="1" si="3"/>
        <v>7</v>
      </c>
      <c r="AC9" s="28">
        <f t="shared" ca="1" si="3"/>
        <v>7</v>
      </c>
      <c r="AD9" s="29">
        <f t="shared" ca="1" si="3"/>
        <v>14</v>
      </c>
      <c r="AE9" s="28">
        <f t="shared" ca="1" si="3"/>
        <v>13</v>
      </c>
      <c r="AF9" s="29">
        <f t="shared" ca="1" si="3"/>
        <v>16</v>
      </c>
    </row>
    <row r="10" spans="1:32" x14ac:dyDescent="0.2">
      <c r="A10">
        <v>9</v>
      </c>
      <c r="B10">
        <f t="shared" ca="1" si="4"/>
        <v>23</v>
      </c>
      <c r="C10">
        <f t="shared" ca="1" si="5"/>
        <v>3</v>
      </c>
      <c r="D10">
        <f t="shared" ca="1" si="5"/>
        <v>4</v>
      </c>
      <c r="E10" t="s">
        <v>180</v>
      </c>
      <c r="F10">
        <f t="shared" ca="1" si="6"/>
        <v>1</v>
      </c>
      <c r="G10">
        <f t="shared" ca="1" si="6"/>
        <v>1</v>
      </c>
      <c r="H10">
        <f t="shared" ca="1" si="6"/>
        <v>0</v>
      </c>
      <c r="I10" s="14">
        <f t="shared" ca="1" si="7"/>
        <v>1</v>
      </c>
      <c r="J10" t="s">
        <v>126</v>
      </c>
      <c r="K10">
        <f t="shared" si="8"/>
        <v>1</v>
      </c>
      <c r="L10">
        <v>1</v>
      </c>
      <c r="M10" t="str">
        <f t="shared" si="9"/>
        <v>food</v>
      </c>
      <c r="N10">
        <f t="shared" ca="1" si="10"/>
        <v>57</v>
      </c>
      <c r="O10">
        <f t="shared" ca="1" si="11"/>
        <v>32</v>
      </c>
      <c r="P10">
        <f t="shared" ca="1" si="12"/>
        <v>25</v>
      </c>
      <c r="Q10" s="10">
        <f t="shared" ca="1" si="13"/>
        <v>36</v>
      </c>
      <c r="R10" s="10">
        <f t="shared" ca="1" si="14"/>
        <v>21</v>
      </c>
      <c r="S10" s="21">
        <f t="shared" ca="1" si="15"/>
        <v>13</v>
      </c>
      <c r="T10" s="22">
        <f t="shared" ca="1" si="15"/>
        <v>3</v>
      </c>
      <c r="U10" s="21">
        <f t="shared" ca="1" si="15"/>
        <v>4</v>
      </c>
      <c r="V10" s="22">
        <f t="shared" ca="1" si="15"/>
        <v>8</v>
      </c>
      <c r="W10" s="21">
        <f t="shared" ca="1" si="0"/>
        <v>19</v>
      </c>
      <c r="X10" s="22">
        <f t="shared" ca="1" si="0"/>
        <v>10</v>
      </c>
      <c r="Y10" s="5">
        <f t="shared" ca="1" si="1"/>
        <v>28</v>
      </c>
      <c r="Z10" s="5">
        <f t="shared" ca="1" si="2"/>
        <v>29</v>
      </c>
      <c r="AA10" s="28">
        <f t="shared" ca="1" si="3"/>
        <v>8</v>
      </c>
      <c r="AB10" s="29">
        <f t="shared" ca="1" si="3"/>
        <v>7</v>
      </c>
      <c r="AC10" s="28">
        <f t="shared" ca="1" si="3"/>
        <v>9</v>
      </c>
      <c r="AD10" s="29">
        <f t="shared" ca="1" si="3"/>
        <v>1</v>
      </c>
      <c r="AE10" s="28">
        <f t="shared" ca="1" si="3"/>
        <v>9</v>
      </c>
      <c r="AF10" s="29">
        <f t="shared" ca="1" si="3"/>
        <v>6</v>
      </c>
    </row>
    <row r="11" spans="1:32" x14ac:dyDescent="0.2">
      <c r="A11">
        <v>10</v>
      </c>
      <c r="B11">
        <f t="shared" ca="1" si="4"/>
        <v>23</v>
      </c>
      <c r="C11">
        <f t="shared" ca="1" si="5"/>
        <v>3</v>
      </c>
      <c r="D11">
        <f t="shared" ca="1" si="5"/>
        <v>2</v>
      </c>
      <c r="E11" t="s">
        <v>180</v>
      </c>
      <c r="F11">
        <f t="shared" ca="1" si="6"/>
        <v>1</v>
      </c>
      <c r="G11">
        <f t="shared" ca="1" si="6"/>
        <v>1</v>
      </c>
      <c r="H11">
        <f t="shared" ca="1" si="6"/>
        <v>1</v>
      </c>
      <c r="I11" s="14">
        <f t="shared" ca="1" si="7"/>
        <v>1</v>
      </c>
      <c r="J11" t="s">
        <v>127</v>
      </c>
      <c r="K11">
        <f t="shared" si="8"/>
        <v>0</v>
      </c>
      <c r="L11">
        <v>1</v>
      </c>
      <c r="M11" t="str">
        <f t="shared" si="9"/>
        <v>food</v>
      </c>
      <c r="N11">
        <f t="shared" ca="1" si="10"/>
        <v>29</v>
      </c>
      <c r="O11">
        <f t="shared" ca="1" si="11"/>
        <v>20.5</v>
      </c>
      <c r="P11">
        <f t="shared" ca="1" si="12"/>
        <v>24</v>
      </c>
      <c r="Q11" s="10">
        <f t="shared" ca="1" si="13"/>
        <v>17</v>
      </c>
      <c r="R11" s="10">
        <f t="shared" ca="1" si="14"/>
        <v>25</v>
      </c>
      <c r="S11" s="21">
        <f t="shared" ca="1" si="15"/>
        <v>3</v>
      </c>
      <c r="T11" s="22">
        <f t="shared" ca="1" si="15"/>
        <v>1</v>
      </c>
      <c r="U11" s="21">
        <f t="shared" ca="1" si="15"/>
        <v>4</v>
      </c>
      <c r="V11" s="22">
        <f t="shared" ca="1" si="15"/>
        <v>10</v>
      </c>
      <c r="W11" s="21">
        <f t="shared" ca="1" si="0"/>
        <v>10</v>
      </c>
      <c r="X11" s="22">
        <f t="shared" ca="1" si="0"/>
        <v>14</v>
      </c>
      <c r="Y11" s="5">
        <f t="shared" ca="1" si="1"/>
        <v>24</v>
      </c>
      <c r="Z11" s="5">
        <f t="shared" ca="1" si="2"/>
        <v>23</v>
      </c>
      <c r="AA11" s="28">
        <f t="shared" ca="1" si="3"/>
        <v>19</v>
      </c>
      <c r="AB11" s="29">
        <f t="shared" ca="1" si="3"/>
        <v>14</v>
      </c>
      <c r="AC11" s="28">
        <f t="shared" ca="1" si="3"/>
        <v>6</v>
      </c>
      <c r="AD11" s="29">
        <f t="shared" ca="1" si="3"/>
        <v>1</v>
      </c>
      <c r="AE11" s="28">
        <f t="shared" ca="1" si="3"/>
        <v>13</v>
      </c>
      <c r="AF11" s="29">
        <f t="shared" ca="1" si="3"/>
        <v>14</v>
      </c>
    </row>
    <row r="12" spans="1:32" x14ac:dyDescent="0.2">
      <c r="A12">
        <v>11</v>
      </c>
      <c r="B12">
        <f t="shared" ca="1" si="4"/>
        <v>18</v>
      </c>
      <c r="C12">
        <f t="shared" ca="1" si="5"/>
        <v>1</v>
      </c>
      <c r="D12">
        <f t="shared" ca="1" si="5"/>
        <v>3</v>
      </c>
      <c r="E12" t="s">
        <v>180</v>
      </c>
      <c r="F12">
        <f t="shared" ca="1" si="6"/>
        <v>1</v>
      </c>
      <c r="G12">
        <f t="shared" ca="1" si="6"/>
        <v>0</v>
      </c>
      <c r="H12">
        <f t="shared" ca="1" si="6"/>
        <v>1</v>
      </c>
      <c r="I12" s="14">
        <f t="shared" ca="1" si="7"/>
        <v>1</v>
      </c>
      <c r="J12" t="s">
        <v>126</v>
      </c>
      <c r="K12">
        <f t="shared" si="8"/>
        <v>1</v>
      </c>
      <c r="L12">
        <v>1</v>
      </c>
      <c r="M12" t="str">
        <f t="shared" si="9"/>
        <v>food</v>
      </c>
      <c r="N12">
        <f t="shared" ca="1" si="10"/>
        <v>61</v>
      </c>
      <c r="O12">
        <f t="shared" ca="1" si="11"/>
        <v>20.5</v>
      </c>
      <c r="P12">
        <f t="shared" ca="1" si="12"/>
        <v>20.5</v>
      </c>
      <c r="Q12" s="10">
        <f t="shared" ca="1" si="13"/>
        <v>25</v>
      </c>
      <c r="R12" s="10">
        <f t="shared" ca="1" si="14"/>
        <v>25</v>
      </c>
      <c r="S12" s="21">
        <f t="shared" ca="1" si="15"/>
        <v>7</v>
      </c>
      <c r="T12" s="22">
        <f t="shared" ca="1" si="15"/>
        <v>8</v>
      </c>
      <c r="U12" s="21">
        <f t="shared" ca="1" si="15"/>
        <v>13</v>
      </c>
      <c r="V12" s="22">
        <f t="shared" ca="1" si="15"/>
        <v>5</v>
      </c>
      <c r="W12" s="21">
        <f t="shared" ca="1" si="0"/>
        <v>5</v>
      </c>
      <c r="X12" s="22">
        <f t="shared" ca="1" si="0"/>
        <v>12</v>
      </c>
      <c r="Y12" s="5">
        <f t="shared" ca="1" si="1"/>
        <v>16</v>
      </c>
      <c r="Z12" s="5">
        <f t="shared" ca="1" si="2"/>
        <v>16</v>
      </c>
      <c r="AA12" s="28">
        <f t="shared" ca="1" si="3"/>
        <v>0</v>
      </c>
      <c r="AB12" s="29">
        <f t="shared" ca="1" si="3"/>
        <v>0</v>
      </c>
      <c r="AC12" s="28">
        <f t="shared" ca="1" si="3"/>
        <v>5</v>
      </c>
      <c r="AD12" s="29">
        <f t="shared" ca="1" si="3"/>
        <v>16</v>
      </c>
      <c r="AE12" s="28">
        <f t="shared" ca="1" si="3"/>
        <v>2</v>
      </c>
      <c r="AF12" s="29">
        <f t="shared" ca="1" si="3"/>
        <v>10</v>
      </c>
    </row>
    <row r="13" spans="1:32" x14ac:dyDescent="0.2">
      <c r="A13">
        <v>12</v>
      </c>
      <c r="B13">
        <f t="shared" ca="1" si="4"/>
        <v>24</v>
      </c>
      <c r="C13">
        <f t="shared" ca="1" si="5"/>
        <v>3</v>
      </c>
      <c r="D13">
        <f t="shared" ca="1" si="5"/>
        <v>4</v>
      </c>
      <c r="E13" t="s">
        <v>180</v>
      </c>
      <c r="F13">
        <f t="shared" ca="1" si="6"/>
        <v>1</v>
      </c>
      <c r="G13">
        <f t="shared" ca="1" si="6"/>
        <v>1</v>
      </c>
      <c r="H13">
        <f t="shared" ca="1" si="6"/>
        <v>1</v>
      </c>
      <c r="I13" s="14">
        <f t="shared" ca="1" si="7"/>
        <v>0</v>
      </c>
      <c r="J13" t="s">
        <v>127</v>
      </c>
      <c r="K13">
        <f t="shared" si="8"/>
        <v>0</v>
      </c>
      <c r="L13">
        <v>1</v>
      </c>
      <c r="M13" t="str">
        <f t="shared" si="9"/>
        <v>food</v>
      </c>
      <c r="N13">
        <f t="shared" ca="1" si="10"/>
        <v>78</v>
      </c>
      <c r="O13">
        <f t="shared" ca="1" si="11"/>
        <v>35</v>
      </c>
      <c r="P13">
        <f t="shared" ca="1" si="12"/>
        <v>25.5</v>
      </c>
      <c r="Q13" s="10">
        <f t="shared" ca="1" si="13"/>
        <v>50</v>
      </c>
      <c r="R13" s="10">
        <f t="shared" ca="1" si="14"/>
        <v>30</v>
      </c>
      <c r="S13" s="21">
        <f t="shared" ca="1" si="15"/>
        <v>18</v>
      </c>
      <c r="T13" s="22">
        <f t="shared" ca="1" si="15"/>
        <v>17</v>
      </c>
      <c r="U13" s="21">
        <f t="shared" ca="1" si="15"/>
        <v>12</v>
      </c>
      <c r="V13" s="22">
        <f t="shared" ca="1" si="15"/>
        <v>12</v>
      </c>
      <c r="W13" s="21">
        <f t="shared" ca="1" si="0"/>
        <v>20</v>
      </c>
      <c r="X13" s="22">
        <f t="shared" ca="1" si="0"/>
        <v>1</v>
      </c>
      <c r="Y13" s="5">
        <f t="shared" ca="1" si="1"/>
        <v>20</v>
      </c>
      <c r="Z13" s="5">
        <f t="shared" ca="1" si="2"/>
        <v>21</v>
      </c>
      <c r="AA13" s="28">
        <f t="shared" ca="1" si="3"/>
        <v>13</v>
      </c>
      <c r="AB13" s="29">
        <f t="shared" ca="1" si="3"/>
        <v>2</v>
      </c>
      <c r="AC13" s="28">
        <f t="shared" ca="1" si="3"/>
        <v>11</v>
      </c>
      <c r="AD13" s="29">
        <f t="shared" ca="1" si="3"/>
        <v>1</v>
      </c>
      <c r="AE13" s="28">
        <f t="shared" ca="1" si="3"/>
        <v>17</v>
      </c>
      <c r="AF13" s="29">
        <f t="shared" ca="1" si="3"/>
        <v>9</v>
      </c>
    </row>
    <row r="14" spans="1:32" x14ac:dyDescent="0.2">
      <c r="A14">
        <v>13</v>
      </c>
      <c r="B14">
        <f t="shared" ca="1" si="4"/>
        <v>25</v>
      </c>
      <c r="C14">
        <f t="shared" ca="1" si="5"/>
        <v>2</v>
      </c>
      <c r="D14">
        <f t="shared" ca="1" si="5"/>
        <v>2</v>
      </c>
      <c r="E14" t="s">
        <v>180</v>
      </c>
      <c r="F14">
        <f t="shared" ca="1" si="6"/>
        <v>1</v>
      </c>
      <c r="G14">
        <f t="shared" ca="1" si="6"/>
        <v>0</v>
      </c>
      <c r="H14">
        <f t="shared" ca="1" si="6"/>
        <v>1</v>
      </c>
      <c r="I14" s="14">
        <f t="shared" ca="1" si="7"/>
        <v>0</v>
      </c>
      <c r="J14" t="s">
        <v>126</v>
      </c>
      <c r="K14">
        <f t="shared" si="8"/>
        <v>1</v>
      </c>
      <c r="L14">
        <v>1</v>
      </c>
      <c r="M14" t="str">
        <f t="shared" si="9"/>
        <v>food</v>
      </c>
      <c r="N14">
        <f t="shared" ca="1" si="10"/>
        <v>99</v>
      </c>
      <c r="O14">
        <f t="shared" ca="1" si="11"/>
        <v>27</v>
      </c>
      <c r="P14">
        <f t="shared" ca="1" si="12"/>
        <v>29</v>
      </c>
      <c r="Q14" s="10">
        <f t="shared" ca="1" si="13"/>
        <v>33</v>
      </c>
      <c r="R14" s="10">
        <f t="shared" ca="1" si="14"/>
        <v>35</v>
      </c>
      <c r="S14" s="21">
        <f t="shared" ca="1" si="15"/>
        <v>13</v>
      </c>
      <c r="T14" s="22">
        <f t="shared" ca="1" si="15"/>
        <v>3</v>
      </c>
      <c r="U14" s="21">
        <f t="shared" ca="1" si="15"/>
        <v>18</v>
      </c>
      <c r="V14" s="22">
        <f t="shared" ca="1" si="15"/>
        <v>12</v>
      </c>
      <c r="W14" s="21">
        <f t="shared" ca="1" si="0"/>
        <v>2</v>
      </c>
      <c r="X14" s="22">
        <f t="shared" ca="1" si="0"/>
        <v>20</v>
      </c>
      <c r="Y14" s="5">
        <f t="shared" ca="1" si="1"/>
        <v>21</v>
      </c>
      <c r="Z14" s="5">
        <f t="shared" ca="1" si="2"/>
        <v>23</v>
      </c>
      <c r="AA14" s="28">
        <f t="shared" ca="1" si="3"/>
        <v>19</v>
      </c>
      <c r="AB14" s="29">
        <f t="shared" ca="1" si="3"/>
        <v>12</v>
      </c>
      <c r="AC14" s="28">
        <f t="shared" ca="1" si="3"/>
        <v>12</v>
      </c>
      <c r="AD14" s="29">
        <f t="shared" ca="1" si="3"/>
        <v>6</v>
      </c>
      <c r="AE14" s="28">
        <f t="shared" ca="1" si="3"/>
        <v>14</v>
      </c>
      <c r="AF14" s="29">
        <f t="shared" ca="1" si="3"/>
        <v>2</v>
      </c>
    </row>
    <row r="15" spans="1:32" x14ac:dyDescent="0.2">
      <c r="A15">
        <v>14</v>
      </c>
      <c r="B15">
        <f t="shared" ca="1" si="4"/>
        <v>20</v>
      </c>
      <c r="C15">
        <f t="shared" ca="1" si="5"/>
        <v>3</v>
      </c>
      <c r="D15">
        <f t="shared" ca="1" si="5"/>
        <v>3</v>
      </c>
      <c r="E15" t="s">
        <v>180</v>
      </c>
      <c r="F15">
        <f t="shared" ca="1" si="6"/>
        <v>1</v>
      </c>
      <c r="G15">
        <f t="shared" ca="1" si="6"/>
        <v>0</v>
      </c>
      <c r="H15">
        <f t="shared" ca="1" si="6"/>
        <v>1</v>
      </c>
      <c r="I15" s="14">
        <f t="shared" ca="1" si="7"/>
        <v>0</v>
      </c>
      <c r="J15" t="s">
        <v>127</v>
      </c>
      <c r="K15">
        <f t="shared" si="8"/>
        <v>0</v>
      </c>
      <c r="L15">
        <v>1</v>
      </c>
      <c r="M15" t="str">
        <f t="shared" si="9"/>
        <v>food</v>
      </c>
      <c r="N15">
        <f t="shared" ca="1" si="10"/>
        <v>67</v>
      </c>
      <c r="O15">
        <f t="shared" ca="1" si="11"/>
        <v>29</v>
      </c>
      <c r="P15">
        <f t="shared" ca="1" si="12"/>
        <v>26.5</v>
      </c>
      <c r="Q15" s="10">
        <f t="shared" ca="1" si="13"/>
        <v>33</v>
      </c>
      <c r="R15" s="10">
        <f t="shared" ca="1" si="14"/>
        <v>28</v>
      </c>
      <c r="S15" s="21">
        <f t="shared" ca="1" si="15"/>
        <v>3</v>
      </c>
      <c r="T15" s="22">
        <f t="shared" ca="1" si="15"/>
        <v>15</v>
      </c>
      <c r="U15" s="21">
        <f t="shared" ca="1" si="15"/>
        <v>11</v>
      </c>
      <c r="V15" s="22">
        <f t="shared" ca="1" si="15"/>
        <v>7</v>
      </c>
      <c r="W15" s="21">
        <f t="shared" ca="1" si="0"/>
        <v>19</v>
      </c>
      <c r="X15" s="22">
        <f t="shared" ca="1" si="0"/>
        <v>6</v>
      </c>
      <c r="Y15" s="5">
        <f t="shared" ca="1" si="1"/>
        <v>25</v>
      </c>
      <c r="Z15" s="5">
        <f t="shared" ca="1" si="2"/>
        <v>25</v>
      </c>
      <c r="AA15" s="28">
        <f t="shared" ca="1" si="3"/>
        <v>15</v>
      </c>
      <c r="AB15" s="29">
        <f t="shared" ca="1" si="3"/>
        <v>1</v>
      </c>
      <c r="AC15" s="28">
        <f t="shared" ca="1" si="3"/>
        <v>13</v>
      </c>
      <c r="AD15" s="29">
        <f t="shared" ca="1" si="3"/>
        <v>6</v>
      </c>
      <c r="AE15" s="28">
        <f t="shared" ca="1" si="3"/>
        <v>4</v>
      </c>
      <c r="AF15" s="29">
        <f t="shared" ca="1" si="3"/>
        <v>16</v>
      </c>
    </row>
    <row r="16" spans="1:32" x14ac:dyDescent="0.2">
      <c r="A16">
        <v>15</v>
      </c>
      <c r="B16">
        <f t="shared" ca="1" si="4"/>
        <v>25</v>
      </c>
      <c r="C16">
        <f t="shared" ca="1" si="5"/>
        <v>4</v>
      </c>
      <c r="D16">
        <f t="shared" ca="1" si="5"/>
        <v>2</v>
      </c>
      <c r="E16" t="s">
        <v>180</v>
      </c>
      <c r="F16">
        <f t="shared" ca="1" si="6"/>
        <v>0</v>
      </c>
      <c r="G16">
        <f t="shared" ca="1" si="6"/>
        <v>0</v>
      </c>
      <c r="H16">
        <f t="shared" ca="1" si="6"/>
        <v>1</v>
      </c>
      <c r="I16" s="14">
        <f t="shared" ca="1" si="7"/>
        <v>1</v>
      </c>
      <c r="J16" t="s">
        <v>126</v>
      </c>
      <c r="K16">
        <f t="shared" si="8"/>
        <v>1</v>
      </c>
      <c r="L16">
        <v>1</v>
      </c>
      <c r="M16" t="str">
        <f t="shared" si="9"/>
        <v>food</v>
      </c>
      <c r="N16">
        <f t="shared" ca="1" si="10"/>
        <v>63</v>
      </c>
      <c r="O16">
        <f t="shared" ca="1" si="11"/>
        <v>28</v>
      </c>
      <c r="P16">
        <f t="shared" ca="1" si="12"/>
        <v>25.5</v>
      </c>
      <c r="Q16" s="10">
        <f t="shared" ca="1" si="13"/>
        <v>35</v>
      </c>
      <c r="R16" s="10">
        <f t="shared" ca="1" si="14"/>
        <v>30</v>
      </c>
      <c r="S16" s="21">
        <f t="shared" ca="1" si="15"/>
        <v>13</v>
      </c>
      <c r="T16" s="22">
        <f t="shared" ca="1" si="15"/>
        <v>7</v>
      </c>
      <c r="U16" s="21">
        <f t="shared" ca="1" si="15"/>
        <v>19</v>
      </c>
      <c r="V16" s="22">
        <f t="shared" ca="1" si="15"/>
        <v>6</v>
      </c>
      <c r="W16" s="21">
        <f t="shared" ca="1" si="0"/>
        <v>3</v>
      </c>
      <c r="X16" s="22">
        <f t="shared" ca="1" si="0"/>
        <v>17</v>
      </c>
      <c r="Y16" s="5">
        <f t="shared" ca="1" si="1"/>
        <v>21</v>
      </c>
      <c r="Z16" s="5">
        <f t="shared" ca="1" si="2"/>
        <v>21</v>
      </c>
      <c r="AA16" s="28">
        <f t="shared" ca="1" si="3"/>
        <v>15</v>
      </c>
      <c r="AB16" s="29">
        <f t="shared" ca="1" si="3"/>
        <v>5</v>
      </c>
      <c r="AC16" s="28">
        <f t="shared" ca="1" si="3"/>
        <v>0</v>
      </c>
      <c r="AD16" s="29">
        <f t="shared" ca="1" si="3"/>
        <v>15</v>
      </c>
      <c r="AE16" s="28">
        <f t="shared" ca="1" si="3"/>
        <v>5</v>
      </c>
      <c r="AF16" s="29">
        <f t="shared" ca="1" si="3"/>
        <v>7</v>
      </c>
    </row>
    <row r="17" spans="1:32" x14ac:dyDescent="0.2">
      <c r="A17">
        <v>16</v>
      </c>
      <c r="B17">
        <f t="shared" ca="1" si="4"/>
        <v>24</v>
      </c>
      <c r="C17">
        <f t="shared" ca="1" si="5"/>
        <v>2</v>
      </c>
      <c r="D17">
        <f t="shared" ca="1" si="5"/>
        <v>1</v>
      </c>
      <c r="E17" t="s">
        <v>180</v>
      </c>
      <c r="F17">
        <f t="shared" ca="1" si="6"/>
        <v>1</v>
      </c>
      <c r="G17">
        <f t="shared" ca="1" si="6"/>
        <v>1</v>
      </c>
      <c r="H17">
        <f t="shared" ca="1" si="6"/>
        <v>0</v>
      </c>
      <c r="I17" s="14">
        <f t="shared" ca="1" si="7"/>
        <v>0</v>
      </c>
      <c r="J17" t="s">
        <v>127</v>
      </c>
      <c r="K17">
        <f t="shared" si="8"/>
        <v>0</v>
      </c>
      <c r="L17">
        <v>1</v>
      </c>
      <c r="M17" t="str">
        <f t="shared" si="9"/>
        <v>food</v>
      </c>
      <c r="N17">
        <f t="shared" ca="1" si="10"/>
        <v>85</v>
      </c>
      <c r="O17">
        <f t="shared" ca="1" si="11"/>
        <v>35</v>
      </c>
      <c r="P17">
        <f t="shared" ca="1" si="12"/>
        <v>37.5</v>
      </c>
      <c r="Q17" s="10">
        <f t="shared" ca="1" si="13"/>
        <v>37</v>
      </c>
      <c r="R17" s="10">
        <f t="shared" ca="1" si="14"/>
        <v>41</v>
      </c>
      <c r="S17" s="21">
        <f t="shared" ca="1" si="15"/>
        <v>12</v>
      </c>
      <c r="T17" s="22">
        <f t="shared" ca="1" si="15"/>
        <v>20</v>
      </c>
      <c r="U17" s="21">
        <f t="shared" ca="1" si="15"/>
        <v>12</v>
      </c>
      <c r="V17" s="22">
        <f t="shared" ca="1" si="15"/>
        <v>1</v>
      </c>
      <c r="W17" s="21">
        <f t="shared" ca="1" si="0"/>
        <v>13</v>
      </c>
      <c r="X17" s="22">
        <f t="shared" ca="1" si="0"/>
        <v>20</v>
      </c>
      <c r="Y17" s="5">
        <f t="shared" ca="1" si="1"/>
        <v>33</v>
      </c>
      <c r="Z17" s="5">
        <f t="shared" ca="1" si="2"/>
        <v>34</v>
      </c>
      <c r="AA17" s="28">
        <f t="shared" ca="1" si="3"/>
        <v>16</v>
      </c>
      <c r="AB17" s="29">
        <f t="shared" ca="1" si="3"/>
        <v>4</v>
      </c>
      <c r="AC17" s="28">
        <f t="shared" ca="1" si="3"/>
        <v>4</v>
      </c>
      <c r="AD17" s="29">
        <f t="shared" ca="1" si="3"/>
        <v>0</v>
      </c>
      <c r="AE17" s="28">
        <f t="shared" ca="1" si="3"/>
        <v>9</v>
      </c>
      <c r="AF17" s="29">
        <f t="shared" ca="1" si="3"/>
        <v>15</v>
      </c>
    </row>
    <row r="18" spans="1:32" x14ac:dyDescent="0.2">
      <c r="A18">
        <v>17</v>
      </c>
      <c r="B18">
        <f t="shared" ca="1" si="4"/>
        <v>22</v>
      </c>
      <c r="C18">
        <f t="shared" ca="1" si="5"/>
        <v>1</v>
      </c>
      <c r="D18">
        <f t="shared" ca="1" si="5"/>
        <v>2</v>
      </c>
      <c r="E18" t="s">
        <v>180</v>
      </c>
      <c r="F18">
        <f t="shared" ca="1" si="6"/>
        <v>0</v>
      </c>
      <c r="G18">
        <f t="shared" ca="1" si="6"/>
        <v>1</v>
      </c>
      <c r="H18">
        <f t="shared" ca="1" si="6"/>
        <v>1</v>
      </c>
      <c r="I18" s="14">
        <f t="shared" ca="1" si="7"/>
        <v>0</v>
      </c>
      <c r="J18" t="s">
        <v>126</v>
      </c>
      <c r="K18">
        <f t="shared" si="8"/>
        <v>1</v>
      </c>
      <c r="L18">
        <v>2</v>
      </c>
      <c r="M18" t="str">
        <f t="shared" si="9"/>
        <v>elephant</v>
      </c>
      <c r="N18">
        <f t="shared" ca="1" si="10"/>
        <v>29</v>
      </c>
      <c r="O18">
        <f t="shared" ca="1" si="11"/>
        <v>30</v>
      </c>
      <c r="P18">
        <f t="shared" ca="1" si="12"/>
        <v>22.5</v>
      </c>
      <c r="Q18" s="10">
        <f t="shared" ca="1" si="13"/>
        <v>37</v>
      </c>
      <c r="R18" s="10">
        <f t="shared" ca="1" si="14"/>
        <v>20</v>
      </c>
      <c r="S18" s="21">
        <f t="shared" ca="1" si="15"/>
        <v>7</v>
      </c>
      <c r="T18" s="22">
        <f t="shared" ca="1" si="15"/>
        <v>3</v>
      </c>
      <c r="U18" s="21">
        <f t="shared" ca="1" si="15"/>
        <v>15</v>
      </c>
      <c r="V18" s="22">
        <f t="shared" ca="1" si="15"/>
        <v>8</v>
      </c>
      <c r="W18" s="21">
        <f t="shared" ref="W18:X33" ca="1" si="16">RANDBETWEEN(0,20)</f>
        <v>15</v>
      </c>
      <c r="X18" s="22">
        <f t="shared" ca="1" si="16"/>
        <v>9</v>
      </c>
      <c r="Y18" s="5">
        <f t="shared" ca="1" si="1"/>
        <v>23</v>
      </c>
      <c r="Z18" s="5">
        <f t="shared" ca="1" si="2"/>
        <v>25</v>
      </c>
      <c r="AA18" s="28">
        <f t="shared" ref="AA18:AF33" ca="1" si="17">RANDBETWEEN(0,20)</f>
        <v>5</v>
      </c>
      <c r="AB18" s="29">
        <f t="shared" ca="1" si="17"/>
        <v>15</v>
      </c>
      <c r="AC18" s="28">
        <f t="shared" ca="1" si="17"/>
        <v>9</v>
      </c>
      <c r="AD18" s="29">
        <f t="shared" ca="1" si="17"/>
        <v>13</v>
      </c>
      <c r="AE18" s="28">
        <f t="shared" ca="1" si="17"/>
        <v>4</v>
      </c>
      <c r="AF18" s="29">
        <f t="shared" ca="1" si="17"/>
        <v>4</v>
      </c>
    </row>
    <row r="19" spans="1:32" x14ac:dyDescent="0.2">
      <c r="A19">
        <v>18</v>
      </c>
      <c r="B19">
        <f t="shared" ca="1" si="4"/>
        <v>19</v>
      </c>
      <c r="C19">
        <f t="shared" ca="1" si="5"/>
        <v>4</v>
      </c>
      <c r="D19">
        <f t="shared" ca="1" si="5"/>
        <v>3</v>
      </c>
      <c r="E19" t="s">
        <v>180</v>
      </c>
      <c r="F19">
        <f t="shared" ca="1" si="6"/>
        <v>0</v>
      </c>
      <c r="G19">
        <f t="shared" ca="1" si="6"/>
        <v>1</v>
      </c>
      <c r="H19">
        <f t="shared" ca="1" si="6"/>
        <v>1</v>
      </c>
      <c r="I19" s="14">
        <f t="shared" ca="1" si="7"/>
        <v>1</v>
      </c>
      <c r="J19" t="s">
        <v>127</v>
      </c>
      <c r="K19">
        <f t="shared" si="8"/>
        <v>0</v>
      </c>
      <c r="L19">
        <v>2</v>
      </c>
      <c r="M19" t="str">
        <f t="shared" si="9"/>
        <v>elephant</v>
      </c>
      <c r="N19">
        <f t="shared" ca="1" si="10"/>
        <v>45</v>
      </c>
      <c r="O19">
        <f t="shared" ca="1" si="11"/>
        <v>20.5</v>
      </c>
      <c r="P19">
        <f t="shared" ca="1" si="12"/>
        <v>16</v>
      </c>
      <c r="Q19" s="10">
        <f t="shared" ca="1" si="13"/>
        <v>31</v>
      </c>
      <c r="R19" s="10">
        <f t="shared" ca="1" si="14"/>
        <v>22</v>
      </c>
      <c r="S19" s="21">
        <f t="shared" ca="1" si="15"/>
        <v>16</v>
      </c>
      <c r="T19" s="22">
        <f t="shared" ca="1" si="15"/>
        <v>14</v>
      </c>
      <c r="U19" s="21">
        <f t="shared" ca="1" si="15"/>
        <v>13</v>
      </c>
      <c r="V19" s="22">
        <f t="shared" ca="1" si="15"/>
        <v>0</v>
      </c>
      <c r="W19" s="21">
        <f t="shared" ca="1" si="16"/>
        <v>2</v>
      </c>
      <c r="X19" s="22">
        <f t="shared" ca="1" si="16"/>
        <v>8</v>
      </c>
      <c r="Y19" s="5">
        <f t="shared" ca="1" si="1"/>
        <v>10</v>
      </c>
      <c r="Z19" s="5">
        <f t="shared" ca="1" si="2"/>
        <v>10</v>
      </c>
      <c r="AA19" s="28">
        <f t="shared" ca="1" si="17"/>
        <v>14</v>
      </c>
      <c r="AB19" s="29">
        <f t="shared" ca="1" si="17"/>
        <v>12</v>
      </c>
      <c r="AC19" s="28">
        <f t="shared" ca="1" si="17"/>
        <v>19</v>
      </c>
      <c r="AD19" s="29">
        <f t="shared" ca="1" si="17"/>
        <v>18</v>
      </c>
      <c r="AE19" s="28">
        <f t="shared" ca="1" si="17"/>
        <v>18</v>
      </c>
      <c r="AF19" s="29">
        <f t="shared" ca="1" si="17"/>
        <v>9</v>
      </c>
    </row>
    <row r="20" spans="1:32" x14ac:dyDescent="0.2">
      <c r="A20">
        <v>19</v>
      </c>
      <c r="B20">
        <f t="shared" ca="1" si="4"/>
        <v>20</v>
      </c>
      <c r="C20">
        <f t="shared" ca="1" si="5"/>
        <v>1</v>
      </c>
      <c r="D20">
        <f t="shared" ca="1" si="5"/>
        <v>3</v>
      </c>
      <c r="E20" t="s">
        <v>180</v>
      </c>
      <c r="F20">
        <f t="shared" ca="1" si="6"/>
        <v>1</v>
      </c>
      <c r="G20">
        <f t="shared" ca="1" si="6"/>
        <v>1</v>
      </c>
      <c r="H20">
        <f t="shared" ca="1" si="6"/>
        <v>0</v>
      </c>
      <c r="I20" s="14">
        <f t="shared" ca="1" si="7"/>
        <v>0</v>
      </c>
      <c r="J20" t="s">
        <v>126</v>
      </c>
      <c r="K20">
        <f t="shared" si="8"/>
        <v>1</v>
      </c>
      <c r="L20">
        <v>2</v>
      </c>
      <c r="M20" t="str">
        <f t="shared" si="9"/>
        <v>elephant</v>
      </c>
      <c r="N20">
        <f t="shared" ca="1" si="10"/>
        <v>76</v>
      </c>
      <c r="O20">
        <f t="shared" ca="1" si="11"/>
        <v>34</v>
      </c>
      <c r="P20">
        <f t="shared" ca="1" si="12"/>
        <v>28</v>
      </c>
      <c r="Q20" s="10">
        <f t="shared" ca="1" si="13"/>
        <v>37</v>
      </c>
      <c r="R20" s="10">
        <f t="shared" ca="1" si="14"/>
        <v>27</v>
      </c>
      <c r="S20" s="21">
        <f t="shared" ca="1" si="15"/>
        <v>1</v>
      </c>
      <c r="T20" s="22">
        <f t="shared" ca="1" si="15"/>
        <v>9</v>
      </c>
      <c r="U20" s="21">
        <f t="shared" ca="1" si="15"/>
        <v>20</v>
      </c>
      <c r="V20" s="22">
        <f t="shared" ca="1" si="15"/>
        <v>4</v>
      </c>
      <c r="W20" s="21">
        <f t="shared" ca="1" si="16"/>
        <v>16</v>
      </c>
      <c r="X20" s="22">
        <f t="shared" ca="1" si="16"/>
        <v>14</v>
      </c>
      <c r="Y20" s="5">
        <f t="shared" ca="1" si="1"/>
        <v>31</v>
      </c>
      <c r="Z20" s="5">
        <f t="shared" ca="1" si="2"/>
        <v>29</v>
      </c>
      <c r="AA20" s="28">
        <f t="shared" ca="1" si="17"/>
        <v>17</v>
      </c>
      <c r="AB20" s="29">
        <f t="shared" ca="1" si="17"/>
        <v>1</v>
      </c>
      <c r="AC20" s="28">
        <f t="shared" ca="1" si="17"/>
        <v>7</v>
      </c>
      <c r="AD20" s="29">
        <f t="shared" ca="1" si="17"/>
        <v>17</v>
      </c>
      <c r="AE20" s="28">
        <f t="shared" ca="1" si="17"/>
        <v>8</v>
      </c>
      <c r="AF20" s="29">
        <f t="shared" ca="1" si="17"/>
        <v>16</v>
      </c>
    </row>
    <row r="21" spans="1:32" x14ac:dyDescent="0.2">
      <c r="A21">
        <v>20</v>
      </c>
      <c r="B21">
        <f t="shared" ca="1" si="4"/>
        <v>23</v>
      </c>
      <c r="C21">
        <f t="shared" ca="1" si="5"/>
        <v>1</v>
      </c>
      <c r="D21">
        <f t="shared" ca="1" si="5"/>
        <v>2</v>
      </c>
      <c r="E21" t="s">
        <v>180</v>
      </c>
      <c r="F21">
        <f t="shared" ca="1" si="6"/>
        <v>0</v>
      </c>
      <c r="G21">
        <f t="shared" ca="1" si="6"/>
        <v>0</v>
      </c>
      <c r="H21">
        <f t="shared" ca="1" si="6"/>
        <v>1</v>
      </c>
      <c r="I21" s="14">
        <f t="shared" ca="1" si="7"/>
        <v>0</v>
      </c>
      <c r="J21" t="s">
        <v>127</v>
      </c>
      <c r="K21">
        <f t="shared" si="8"/>
        <v>0</v>
      </c>
      <c r="L21">
        <v>2</v>
      </c>
      <c r="M21" t="str">
        <f t="shared" si="9"/>
        <v>elephant</v>
      </c>
      <c r="N21">
        <f t="shared" ca="1" si="10"/>
        <v>53</v>
      </c>
      <c r="O21">
        <f t="shared" ca="1" si="11"/>
        <v>25.5</v>
      </c>
      <c r="P21">
        <f t="shared" ca="1" si="12"/>
        <v>25</v>
      </c>
      <c r="Q21" s="10">
        <f t="shared" ca="1" si="13"/>
        <v>30</v>
      </c>
      <c r="R21" s="10">
        <f t="shared" ca="1" si="14"/>
        <v>30</v>
      </c>
      <c r="S21" s="21">
        <f t="shared" ca="1" si="15"/>
        <v>11</v>
      </c>
      <c r="T21" s="22">
        <f t="shared" ca="1" si="15"/>
        <v>6</v>
      </c>
      <c r="U21" s="21">
        <f t="shared" ca="1" si="15"/>
        <v>16</v>
      </c>
      <c r="V21" s="22">
        <f t="shared" ca="1" si="15"/>
        <v>7</v>
      </c>
      <c r="W21" s="21">
        <f t="shared" ca="1" si="16"/>
        <v>3</v>
      </c>
      <c r="X21" s="22">
        <f t="shared" ca="1" si="16"/>
        <v>17</v>
      </c>
      <c r="Y21" s="5">
        <f t="shared" ca="1" si="1"/>
        <v>21</v>
      </c>
      <c r="Z21" s="5">
        <f t="shared" ca="1" si="2"/>
        <v>20</v>
      </c>
      <c r="AA21" s="28">
        <f t="shared" ca="1" si="17"/>
        <v>2</v>
      </c>
      <c r="AB21" s="29">
        <f t="shared" ca="1" si="17"/>
        <v>12</v>
      </c>
      <c r="AC21" s="28">
        <f t="shared" ca="1" si="17"/>
        <v>20</v>
      </c>
      <c r="AD21" s="29">
        <f t="shared" ca="1" si="17"/>
        <v>16</v>
      </c>
      <c r="AE21" s="28">
        <f t="shared" ca="1" si="17"/>
        <v>5</v>
      </c>
      <c r="AF21" s="29">
        <f t="shared" ca="1" si="17"/>
        <v>16</v>
      </c>
    </row>
    <row r="22" spans="1:32" x14ac:dyDescent="0.2">
      <c r="A22">
        <v>21</v>
      </c>
      <c r="B22">
        <f t="shared" ca="1" si="4"/>
        <v>19</v>
      </c>
      <c r="C22">
        <f t="shared" ca="1" si="5"/>
        <v>3</v>
      </c>
      <c r="D22">
        <f t="shared" ca="1" si="5"/>
        <v>2</v>
      </c>
      <c r="E22" t="s">
        <v>180</v>
      </c>
      <c r="F22">
        <f t="shared" ca="1" si="6"/>
        <v>0</v>
      </c>
      <c r="G22">
        <f t="shared" ca="1" si="6"/>
        <v>0</v>
      </c>
      <c r="H22">
        <f t="shared" ca="1" si="6"/>
        <v>0</v>
      </c>
      <c r="I22" s="14">
        <f t="shared" ca="1" si="7"/>
        <v>0</v>
      </c>
      <c r="J22" t="s">
        <v>126</v>
      </c>
      <c r="K22">
        <f t="shared" si="8"/>
        <v>1</v>
      </c>
      <c r="L22">
        <v>2</v>
      </c>
      <c r="M22" t="str">
        <f t="shared" si="9"/>
        <v>elephant</v>
      </c>
      <c r="N22">
        <f t="shared" ca="1" si="10"/>
        <v>23</v>
      </c>
      <c r="O22">
        <f t="shared" ca="1" si="11"/>
        <v>17</v>
      </c>
      <c r="P22">
        <f t="shared" ca="1" si="12"/>
        <v>16</v>
      </c>
      <c r="Q22" s="10">
        <f t="shared" ca="1" si="13"/>
        <v>24</v>
      </c>
      <c r="R22" s="10">
        <f t="shared" ca="1" si="14"/>
        <v>22</v>
      </c>
      <c r="S22" s="21">
        <f t="shared" ca="1" si="15"/>
        <v>11</v>
      </c>
      <c r="T22" s="22">
        <f t="shared" ca="1" si="15"/>
        <v>12</v>
      </c>
      <c r="U22" s="21">
        <f t="shared" ca="1" si="15"/>
        <v>9</v>
      </c>
      <c r="V22" s="22">
        <f t="shared" ca="1" si="15"/>
        <v>5</v>
      </c>
      <c r="W22" s="21">
        <f t="shared" ca="1" si="16"/>
        <v>4</v>
      </c>
      <c r="X22" s="22">
        <f t="shared" ca="1" si="16"/>
        <v>5</v>
      </c>
      <c r="Y22" s="5">
        <f t="shared" ca="1" si="1"/>
        <v>10</v>
      </c>
      <c r="Z22" s="5">
        <f t="shared" ca="1" si="2"/>
        <v>10</v>
      </c>
      <c r="AA22" s="28">
        <f t="shared" ca="1" si="17"/>
        <v>16</v>
      </c>
      <c r="AB22" s="29">
        <f t="shared" ca="1" si="17"/>
        <v>4</v>
      </c>
      <c r="AC22" s="28">
        <f t="shared" ca="1" si="17"/>
        <v>2</v>
      </c>
      <c r="AD22" s="29">
        <f t="shared" ca="1" si="17"/>
        <v>19</v>
      </c>
      <c r="AE22" s="28">
        <f t="shared" ca="1" si="17"/>
        <v>19</v>
      </c>
      <c r="AF22" s="29">
        <f t="shared" ca="1" si="17"/>
        <v>18</v>
      </c>
    </row>
    <row r="23" spans="1:32" x14ac:dyDescent="0.2">
      <c r="A23">
        <v>22</v>
      </c>
      <c r="B23">
        <f t="shared" ca="1" si="4"/>
        <v>22</v>
      </c>
      <c r="C23">
        <f t="shared" ca="1" si="5"/>
        <v>2</v>
      </c>
      <c r="D23">
        <f t="shared" ca="1" si="5"/>
        <v>3</v>
      </c>
      <c r="E23" t="s">
        <v>180</v>
      </c>
      <c r="F23">
        <f t="shared" ca="1" si="6"/>
        <v>0</v>
      </c>
      <c r="G23">
        <f t="shared" ca="1" si="6"/>
        <v>1</v>
      </c>
      <c r="H23">
        <f t="shared" ca="1" si="6"/>
        <v>1</v>
      </c>
      <c r="I23" s="14">
        <f t="shared" ca="1" si="7"/>
        <v>1</v>
      </c>
      <c r="J23" t="s">
        <v>127</v>
      </c>
      <c r="K23">
        <f t="shared" si="8"/>
        <v>0</v>
      </c>
      <c r="L23">
        <v>2</v>
      </c>
      <c r="M23" t="str">
        <f t="shared" si="9"/>
        <v>elephant</v>
      </c>
      <c r="N23">
        <f t="shared" ca="1" si="10"/>
        <v>30</v>
      </c>
      <c r="O23">
        <f t="shared" ca="1" si="11"/>
        <v>12</v>
      </c>
      <c r="P23">
        <f t="shared" ca="1" si="12"/>
        <v>30</v>
      </c>
      <c r="Q23" s="10">
        <f t="shared" ca="1" si="13"/>
        <v>4</v>
      </c>
      <c r="R23" s="10">
        <f t="shared" ca="1" si="14"/>
        <v>40</v>
      </c>
      <c r="S23" s="21">
        <f t="shared" ca="1" si="15"/>
        <v>1</v>
      </c>
      <c r="T23" s="22">
        <f t="shared" ca="1" si="15"/>
        <v>14</v>
      </c>
      <c r="U23" s="21">
        <f t="shared" ca="1" si="15"/>
        <v>0</v>
      </c>
      <c r="V23" s="22">
        <f t="shared" ca="1" si="15"/>
        <v>8</v>
      </c>
      <c r="W23" s="21">
        <f t="shared" ca="1" si="16"/>
        <v>3</v>
      </c>
      <c r="X23" s="22">
        <f t="shared" ca="1" si="16"/>
        <v>18</v>
      </c>
      <c r="Y23" s="5">
        <f t="shared" ca="1" si="1"/>
        <v>20</v>
      </c>
      <c r="Z23" s="5">
        <f t="shared" ca="1" si="2"/>
        <v>20</v>
      </c>
      <c r="AA23" s="28">
        <f t="shared" ca="1" si="17"/>
        <v>3</v>
      </c>
      <c r="AB23" s="29">
        <f t="shared" ca="1" si="17"/>
        <v>9</v>
      </c>
      <c r="AC23" s="28">
        <f t="shared" ca="1" si="17"/>
        <v>4</v>
      </c>
      <c r="AD23" s="29">
        <f t="shared" ca="1" si="17"/>
        <v>1</v>
      </c>
      <c r="AE23" s="28">
        <f t="shared" ca="1" si="17"/>
        <v>1</v>
      </c>
      <c r="AF23" s="29">
        <f t="shared" ca="1" si="17"/>
        <v>7</v>
      </c>
    </row>
    <row r="24" spans="1:32" x14ac:dyDescent="0.2">
      <c r="A24">
        <v>23</v>
      </c>
      <c r="B24">
        <f t="shared" ca="1" si="4"/>
        <v>23</v>
      </c>
      <c r="C24">
        <f t="shared" ca="1" si="5"/>
        <v>3</v>
      </c>
      <c r="D24">
        <f t="shared" ca="1" si="5"/>
        <v>1</v>
      </c>
      <c r="E24" t="s">
        <v>180</v>
      </c>
      <c r="F24">
        <f t="shared" ca="1" si="6"/>
        <v>0</v>
      </c>
      <c r="G24">
        <f t="shared" ca="1" si="6"/>
        <v>1</v>
      </c>
      <c r="H24">
        <f t="shared" ca="1" si="6"/>
        <v>0</v>
      </c>
      <c r="I24" s="14">
        <f t="shared" ca="1" si="7"/>
        <v>0</v>
      </c>
      <c r="J24" t="s">
        <v>126</v>
      </c>
      <c r="K24">
        <f t="shared" si="8"/>
        <v>1</v>
      </c>
      <c r="L24">
        <v>2</v>
      </c>
      <c r="M24" t="str">
        <f t="shared" si="9"/>
        <v>elephant</v>
      </c>
      <c r="N24">
        <f t="shared" ca="1" si="10"/>
        <v>11</v>
      </c>
      <c r="O24">
        <f t="shared" ca="1" si="11"/>
        <v>18</v>
      </c>
      <c r="P24">
        <f t="shared" ca="1" si="12"/>
        <v>31.5</v>
      </c>
      <c r="Q24" s="10">
        <f t="shared" ca="1" si="13"/>
        <v>23</v>
      </c>
      <c r="R24" s="10">
        <f t="shared" ca="1" si="14"/>
        <v>49</v>
      </c>
      <c r="S24" s="21">
        <f t="shared" ca="1" si="15"/>
        <v>17</v>
      </c>
      <c r="T24" s="22">
        <f t="shared" ca="1" si="15"/>
        <v>20</v>
      </c>
      <c r="U24" s="21">
        <f t="shared" ca="1" si="15"/>
        <v>1</v>
      </c>
      <c r="V24" s="22">
        <f t="shared" ca="1" si="15"/>
        <v>20</v>
      </c>
      <c r="W24" s="21">
        <f t="shared" ca="1" si="16"/>
        <v>5</v>
      </c>
      <c r="X24" s="22">
        <f t="shared" ca="1" si="16"/>
        <v>9</v>
      </c>
      <c r="Y24" s="5">
        <f t="shared" ca="1" si="1"/>
        <v>13</v>
      </c>
      <c r="Z24" s="5">
        <f t="shared" ca="1" si="2"/>
        <v>14</v>
      </c>
      <c r="AA24" s="28">
        <f t="shared" ca="1" si="17"/>
        <v>20</v>
      </c>
      <c r="AB24" s="29">
        <f t="shared" ca="1" si="17"/>
        <v>15</v>
      </c>
      <c r="AC24" s="28">
        <f t="shared" ca="1" si="17"/>
        <v>0</v>
      </c>
      <c r="AD24" s="29">
        <f t="shared" ca="1" si="17"/>
        <v>11</v>
      </c>
      <c r="AE24" s="28">
        <f t="shared" ca="1" si="17"/>
        <v>10</v>
      </c>
      <c r="AF24" s="29">
        <f t="shared" ca="1" si="17"/>
        <v>4</v>
      </c>
    </row>
    <row r="25" spans="1:32" x14ac:dyDescent="0.2">
      <c r="A25">
        <v>24</v>
      </c>
      <c r="B25">
        <f t="shared" ca="1" si="4"/>
        <v>23</v>
      </c>
      <c r="C25">
        <f t="shared" ca="1" si="5"/>
        <v>2</v>
      </c>
      <c r="D25">
        <f t="shared" ca="1" si="5"/>
        <v>1</v>
      </c>
      <c r="E25" t="s">
        <v>180</v>
      </c>
      <c r="F25">
        <f t="shared" ca="1" si="6"/>
        <v>0</v>
      </c>
      <c r="G25">
        <f t="shared" ca="1" si="6"/>
        <v>0</v>
      </c>
      <c r="H25">
        <f t="shared" ca="1" si="6"/>
        <v>0</v>
      </c>
      <c r="I25" s="14">
        <f t="shared" ca="1" si="7"/>
        <v>0</v>
      </c>
      <c r="J25" t="s">
        <v>127</v>
      </c>
      <c r="K25">
        <f t="shared" si="8"/>
        <v>0</v>
      </c>
      <c r="L25">
        <v>2</v>
      </c>
      <c r="M25" t="str">
        <f t="shared" si="9"/>
        <v>elephant</v>
      </c>
      <c r="N25">
        <f t="shared" ca="1" si="10"/>
        <v>4</v>
      </c>
      <c r="O25">
        <f t="shared" ca="1" si="11"/>
        <v>15</v>
      </c>
      <c r="P25">
        <f t="shared" ca="1" si="12"/>
        <v>18</v>
      </c>
      <c r="Q25" s="10">
        <f t="shared" ca="1" si="13"/>
        <v>25</v>
      </c>
      <c r="R25" s="10">
        <f t="shared" ca="1" si="14"/>
        <v>31</v>
      </c>
      <c r="S25" s="21">
        <f t="shared" ca="1" si="15"/>
        <v>19</v>
      </c>
      <c r="T25" s="22">
        <f t="shared" ca="1" si="15"/>
        <v>14</v>
      </c>
      <c r="U25" s="21">
        <f t="shared" ca="1" si="15"/>
        <v>0</v>
      </c>
      <c r="V25" s="22">
        <f t="shared" ca="1" si="15"/>
        <v>17</v>
      </c>
      <c r="W25" s="21">
        <f t="shared" ca="1" si="16"/>
        <v>6</v>
      </c>
      <c r="X25" s="22">
        <f t="shared" ca="1" si="16"/>
        <v>0</v>
      </c>
      <c r="Y25" s="5">
        <f t="shared" ca="1" si="1"/>
        <v>5</v>
      </c>
      <c r="Z25" s="5">
        <f t="shared" ca="1" si="2"/>
        <v>5</v>
      </c>
      <c r="AA25" s="28">
        <f t="shared" ca="1" si="17"/>
        <v>12</v>
      </c>
      <c r="AB25" s="29">
        <f t="shared" ca="1" si="17"/>
        <v>8</v>
      </c>
      <c r="AC25" s="28">
        <f t="shared" ca="1" si="17"/>
        <v>16</v>
      </c>
      <c r="AD25" s="29">
        <f t="shared" ca="1" si="17"/>
        <v>19</v>
      </c>
      <c r="AE25" s="28">
        <f t="shared" ca="1" si="17"/>
        <v>5</v>
      </c>
      <c r="AF25" s="29">
        <f t="shared" ca="1" si="17"/>
        <v>13</v>
      </c>
    </row>
    <row r="26" spans="1:32" x14ac:dyDescent="0.2">
      <c r="A26">
        <v>25</v>
      </c>
      <c r="B26">
        <f t="shared" ca="1" si="4"/>
        <v>24</v>
      </c>
      <c r="C26">
        <f t="shared" ca="1" si="5"/>
        <v>1</v>
      </c>
      <c r="D26">
        <f t="shared" ca="1" si="5"/>
        <v>3</v>
      </c>
      <c r="E26" t="s">
        <v>180</v>
      </c>
      <c r="F26">
        <f t="shared" ca="1" si="6"/>
        <v>0</v>
      </c>
      <c r="G26">
        <f t="shared" ca="1" si="6"/>
        <v>0</v>
      </c>
      <c r="H26">
        <f t="shared" ca="1" si="6"/>
        <v>1</v>
      </c>
      <c r="I26" s="14">
        <f t="shared" ca="1" si="7"/>
        <v>0</v>
      </c>
      <c r="J26" t="s">
        <v>126</v>
      </c>
      <c r="K26">
        <f t="shared" si="8"/>
        <v>1</v>
      </c>
      <c r="L26">
        <v>2</v>
      </c>
      <c r="M26" t="str">
        <f t="shared" si="9"/>
        <v>elephant</v>
      </c>
      <c r="N26">
        <f t="shared" ca="1" si="10"/>
        <v>28</v>
      </c>
      <c r="O26">
        <f t="shared" ca="1" si="11"/>
        <v>36</v>
      </c>
      <c r="P26">
        <f t="shared" ca="1" si="12"/>
        <v>28.5</v>
      </c>
      <c r="Q26" s="10">
        <f t="shared" ca="1" si="13"/>
        <v>41</v>
      </c>
      <c r="R26" s="10">
        <f t="shared" ca="1" si="14"/>
        <v>26</v>
      </c>
      <c r="S26" s="21">
        <f t="shared" ca="1" si="15"/>
        <v>6</v>
      </c>
      <c r="T26" s="22">
        <f t="shared" ca="1" si="15"/>
        <v>8</v>
      </c>
      <c r="U26" s="21">
        <f t="shared" ca="1" si="15"/>
        <v>18</v>
      </c>
      <c r="V26" s="22">
        <f t="shared" ca="1" si="15"/>
        <v>3</v>
      </c>
      <c r="W26" s="21">
        <f t="shared" ca="1" si="16"/>
        <v>17</v>
      </c>
      <c r="X26" s="22">
        <f t="shared" ca="1" si="16"/>
        <v>15</v>
      </c>
      <c r="Y26" s="5">
        <f t="shared" ca="1" si="1"/>
        <v>31</v>
      </c>
      <c r="Z26" s="5">
        <f t="shared" ca="1" si="2"/>
        <v>31</v>
      </c>
      <c r="AA26" s="28">
        <f t="shared" ca="1" si="17"/>
        <v>9</v>
      </c>
      <c r="AB26" s="29">
        <f t="shared" ca="1" si="17"/>
        <v>18</v>
      </c>
      <c r="AC26" s="28">
        <f t="shared" ca="1" si="17"/>
        <v>3</v>
      </c>
      <c r="AD26" s="29">
        <f t="shared" ca="1" si="17"/>
        <v>19</v>
      </c>
      <c r="AE26" s="28">
        <f t="shared" ca="1" si="17"/>
        <v>13</v>
      </c>
      <c r="AF26" s="29">
        <f t="shared" ca="1" si="17"/>
        <v>8</v>
      </c>
    </row>
    <row r="27" spans="1:32" x14ac:dyDescent="0.2">
      <c r="A27">
        <v>26</v>
      </c>
      <c r="B27">
        <f t="shared" ca="1" si="4"/>
        <v>18</v>
      </c>
      <c r="C27">
        <f t="shared" ca="1" si="5"/>
        <v>4</v>
      </c>
      <c r="D27">
        <f t="shared" ca="1" si="5"/>
        <v>3</v>
      </c>
      <c r="E27" t="s">
        <v>180</v>
      </c>
      <c r="F27">
        <f t="shared" ca="1" si="6"/>
        <v>0</v>
      </c>
      <c r="G27">
        <f t="shared" ca="1" si="6"/>
        <v>1</v>
      </c>
      <c r="H27">
        <f t="shared" ca="1" si="6"/>
        <v>0</v>
      </c>
      <c r="I27" s="14">
        <f t="shared" ca="1" si="7"/>
        <v>0</v>
      </c>
      <c r="J27" t="s">
        <v>127</v>
      </c>
      <c r="K27">
        <f t="shared" si="8"/>
        <v>0</v>
      </c>
      <c r="L27">
        <v>2</v>
      </c>
      <c r="M27" t="str">
        <f t="shared" si="9"/>
        <v>elephant</v>
      </c>
      <c r="N27">
        <f t="shared" ca="1" si="10"/>
        <v>100</v>
      </c>
      <c r="O27">
        <f t="shared" ca="1" si="11"/>
        <v>23</v>
      </c>
      <c r="P27">
        <f t="shared" ca="1" si="12"/>
        <v>21.5</v>
      </c>
      <c r="Q27" s="10">
        <f t="shared" ca="1" si="13"/>
        <v>25</v>
      </c>
      <c r="R27" s="10">
        <f t="shared" ca="1" si="14"/>
        <v>24</v>
      </c>
      <c r="S27" s="21">
        <f t="shared" ca="1" si="15"/>
        <v>7</v>
      </c>
      <c r="T27" s="22">
        <f t="shared" ca="1" si="15"/>
        <v>8</v>
      </c>
      <c r="U27" s="21">
        <f t="shared" ca="1" si="15"/>
        <v>12</v>
      </c>
      <c r="V27" s="22">
        <f t="shared" ca="1" si="15"/>
        <v>2</v>
      </c>
      <c r="W27" s="21">
        <f t="shared" ca="1" si="16"/>
        <v>6</v>
      </c>
      <c r="X27" s="22">
        <f t="shared" ca="1" si="16"/>
        <v>14</v>
      </c>
      <c r="Y27" s="5">
        <f t="shared" ca="1" si="1"/>
        <v>21</v>
      </c>
      <c r="Z27" s="5">
        <f t="shared" ca="1" si="2"/>
        <v>19</v>
      </c>
      <c r="AA27" s="28">
        <f t="shared" ca="1" si="17"/>
        <v>15</v>
      </c>
      <c r="AB27" s="29">
        <f t="shared" ca="1" si="17"/>
        <v>12</v>
      </c>
      <c r="AC27" s="28">
        <f t="shared" ca="1" si="17"/>
        <v>14</v>
      </c>
      <c r="AD27" s="29">
        <f t="shared" ca="1" si="17"/>
        <v>17</v>
      </c>
      <c r="AE27" s="28">
        <f t="shared" ca="1" si="17"/>
        <v>7</v>
      </c>
      <c r="AF27" s="29">
        <f t="shared" ca="1" si="17"/>
        <v>11</v>
      </c>
    </row>
    <row r="28" spans="1:32" x14ac:dyDescent="0.2">
      <c r="A28">
        <v>27</v>
      </c>
      <c r="B28">
        <f t="shared" ca="1" si="4"/>
        <v>21</v>
      </c>
      <c r="C28">
        <f t="shared" ca="1" si="5"/>
        <v>4</v>
      </c>
      <c r="D28">
        <f t="shared" ca="1" si="5"/>
        <v>2</v>
      </c>
      <c r="E28" t="s">
        <v>180</v>
      </c>
      <c r="F28">
        <f t="shared" ca="1" si="6"/>
        <v>0</v>
      </c>
      <c r="G28">
        <f t="shared" ca="1" si="6"/>
        <v>0</v>
      </c>
      <c r="H28">
        <f t="shared" ca="1" si="6"/>
        <v>1</v>
      </c>
      <c r="I28" s="14">
        <f t="shared" ca="1" si="7"/>
        <v>1</v>
      </c>
      <c r="J28" t="s">
        <v>126</v>
      </c>
      <c r="K28">
        <f t="shared" si="8"/>
        <v>1</v>
      </c>
      <c r="L28">
        <v>2</v>
      </c>
      <c r="M28" t="str">
        <f t="shared" si="9"/>
        <v>elephant</v>
      </c>
      <c r="N28">
        <f t="shared" ca="1" si="10"/>
        <v>82</v>
      </c>
      <c r="O28">
        <f t="shared" ca="1" si="11"/>
        <v>26</v>
      </c>
      <c r="P28">
        <f t="shared" ca="1" si="12"/>
        <v>21.5</v>
      </c>
      <c r="Q28" s="10">
        <f t="shared" ca="1" si="13"/>
        <v>26</v>
      </c>
      <c r="R28" s="10">
        <f t="shared" ca="1" si="14"/>
        <v>17</v>
      </c>
      <c r="S28" s="21">
        <f t="shared" ca="1" si="15"/>
        <v>5</v>
      </c>
      <c r="T28" s="22">
        <f t="shared" ca="1" si="15"/>
        <v>2</v>
      </c>
      <c r="U28" s="21">
        <f t="shared" ca="1" si="15"/>
        <v>8</v>
      </c>
      <c r="V28" s="22">
        <f t="shared" ca="1" si="15"/>
        <v>1</v>
      </c>
      <c r="W28" s="21">
        <f t="shared" ca="1" si="16"/>
        <v>13</v>
      </c>
      <c r="X28" s="22">
        <f t="shared" ca="1" si="16"/>
        <v>14</v>
      </c>
      <c r="Y28" s="5">
        <f t="shared" ca="1" si="1"/>
        <v>26</v>
      </c>
      <c r="Z28" s="5">
        <f t="shared" ca="1" si="2"/>
        <v>26</v>
      </c>
      <c r="AA28" s="28">
        <f t="shared" ca="1" si="17"/>
        <v>2</v>
      </c>
      <c r="AB28" s="29">
        <f t="shared" ca="1" si="17"/>
        <v>5</v>
      </c>
      <c r="AC28" s="28">
        <f t="shared" ca="1" si="17"/>
        <v>1</v>
      </c>
      <c r="AD28" s="29">
        <f t="shared" ca="1" si="17"/>
        <v>6</v>
      </c>
      <c r="AE28" s="28">
        <f t="shared" ca="1" si="17"/>
        <v>16</v>
      </c>
      <c r="AF28" s="29">
        <f t="shared" ca="1" si="17"/>
        <v>3</v>
      </c>
    </row>
    <row r="29" spans="1:32" x14ac:dyDescent="0.2">
      <c r="A29">
        <v>28</v>
      </c>
      <c r="B29">
        <f t="shared" ca="1" si="4"/>
        <v>19</v>
      </c>
      <c r="C29">
        <f t="shared" ca="1" si="5"/>
        <v>2</v>
      </c>
      <c r="D29">
        <f t="shared" ca="1" si="5"/>
        <v>1</v>
      </c>
      <c r="E29" t="s">
        <v>180</v>
      </c>
      <c r="F29">
        <f t="shared" ca="1" si="6"/>
        <v>1</v>
      </c>
      <c r="G29">
        <f t="shared" ca="1" si="6"/>
        <v>0</v>
      </c>
      <c r="H29">
        <f t="shared" ca="1" si="6"/>
        <v>0</v>
      </c>
      <c r="I29" s="14">
        <f t="shared" ca="1" si="7"/>
        <v>0</v>
      </c>
      <c r="J29" t="s">
        <v>127</v>
      </c>
      <c r="K29">
        <f t="shared" si="8"/>
        <v>0</v>
      </c>
      <c r="L29">
        <v>2</v>
      </c>
      <c r="M29" t="str">
        <f t="shared" si="9"/>
        <v>elephant</v>
      </c>
      <c r="N29">
        <f t="shared" ca="1" si="10"/>
        <v>88</v>
      </c>
      <c r="O29">
        <f t="shared" ca="1" si="11"/>
        <v>23.5</v>
      </c>
      <c r="P29">
        <f t="shared" ca="1" si="12"/>
        <v>9.5</v>
      </c>
      <c r="Q29" s="10">
        <f t="shared" ca="1" si="13"/>
        <v>35</v>
      </c>
      <c r="R29" s="10">
        <f t="shared" ca="1" si="14"/>
        <v>8</v>
      </c>
      <c r="S29" s="21">
        <f t="shared" ca="1" si="15"/>
        <v>11</v>
      </c>
      <c r="T29" s="22">
        <f t="shared" ca="1" si="15"/>
        <v>6</v>
      </c>
      <c r="U29" s="21">
        <f t="shared" ca="1" si="15"/>
        <v>14</v>
      </c>
      <c r="V29" s="22">
        <f t="shared" ca="1" si="15"/>
        <v>1</v>
      </c>
      <c r="W29" s="21">
        <f t="shared" ca="1" si="16"/>
        <v>10</v>
      </c>
      <c r="X29" s="22">
        <f t="shared" ca="1" si="16"/>
        <v>1</v>
      </c>
      <c r="Y29" s="5">
        <f t="shared" ca="1" si="1"/>
        <v>12</v>
      </c>
      <c r="Z29" s="5">
        <f t="shared" ca="1" si="2"/>
        <v>11</v>
      </c>
      <c r="AA29" s="28">
        <f t="shared" ca="1" si="17"/>
        <v>14</v>
      </c>
      <c r="AB29" s="29">
        <f t="shared" ca="1" si="17"/>
        <v>1</v>
      </c>
      <c r="AC29" s="28">
        <f t="shared" ca="1" si="17"/>
        <v>7</v>
      </c>
      <c r="AD29" s="29">
        <f t="shared" ca="1" si="17"/>
        <v>0</v>
      </c>
      <c r="AE29" s="28">
        <f t="shared" ca="1" si="17"/>
        <v>0</v>
      </c>
      <c r="AF29" s="29">
        <f t="shared" ca="1" si="17"/>
        <v>17</v>
      </c>
    </row>
    <row r="30" spans="1:32" x14ac:dyDescent="0.2">
      <c r="A30">
        <v>29</v>
      </c>
      <c r="B30">
        <f t="shared" ca="1" si="4"/>
        <v>23</v>
      </c>
      <c r="C30">
        <f t="shared" ca="1" si="5"/>
        <v>3</v>
      </c>
      <c r="D30">
        <f t="shared" ca="1" si="5"/>
        <v>3</v>
      </c>
      <c r="E30" t="s">
        <v>180</v>
      </c>
      <c r="F30">
        <f t="shared" ca="1" si="6"/>
        <v>1</v>
      </c>
      <c r="G30">
        <f t="shared" ca="1" si="6"/>
        <v>0</v>
      </c>
      <c r="H30">
        <f t="shared" ca="1" si="6"/>
        <v>1</v>
      </c>
      <c r="I30" s="14">
        <f t="shared" ca="1" si="7"/>
        <v>0</v>
      </c>
      <c r="J30" t="s">
        <v>126</v>
      </c>
      <c r="K30">
        <f t="shared" si="8"/>
        <v>1</v>
      </c>
      <c r="L30">
        <v>2</v>
      </c>
      <c r="M30" t="str">
        <f t="shared" si="9"/>
        <v>elephant</v>
      </c>
      <c r="N30">
        <f t="shared" ca="1" si="10"/>
        <v>42</v>
      </c>
      <c r="O30">
        <f t="shared" ca="1" si="11"/>
        <v>31.5</v>
      </c>
      <c r="P30">
        <f t="shared" ca="1" si="12"/>
        <v>30.5</v>
      </c>
      <c r="Q30" s="10">
        <f t="shared" ca="1" si="13"/>
        <v>40</v>
      </c>
      <c r="R30" s="10">
        <f t="shared" ca="1" si="14"/>
        <v>39</v>
      </c>
      <c r="S30" s="21">
        <f t="shared" ca="1" si="15"/>
        <v>10</v>
      </c>
      <c r="T30" s="22">
        <f t="shared" ca="1" si="15"/>
        <v>19</v>
      </c>
      <c r="U30" s="21">
        <f t="shared" ca="1" si="15"/>
        <v>17</v>
      </c>
      <c r="V30" s="22">
        <f t="shared" ca="1" si="15"/>
        <v>11</v>
      </c>
      <c r="W30" s="21">
        <f t="shared" ca="1" si="16"/>
        <v>13</v>
      </c>
      <c r="X30" s="22">
        <f t="shared" ca="1" si="16"/>
        <v>9</v>
      </c>
      <c r="Y30" s="5">
        <f t="shared" ca="1" si="1"/>
        <v>23</v>
      </c>
      <c r="Z30" s="5">
        <f t="shared" ca="1" si="2"/>
        <v>22</v>
      </c>
      <c r="AA30" s="28">
        <f t="shared" ca="1" si="17"/>
        <v>1</v>
      </c>
      <c r="AB30" s="29">
        <f t="shared" ca="1" si="17"/>
        <v>20</v>
      </c>
      <c r="AC30" s="28">
        <f t="shared" ca="1" si="17"/>
        <v>17</v>
      </c>
      <c r="AD30" s="29">
        <f t="shared" ca="1" si="17"/>
        <v>2</v>
      </c>
      <c r="AE30" s="28">
        <f t="shared" ca="1" si="17"/>
        <v>0</v>
      </c>
      <c r="AF30" s="29">
        <f t="shared" ca="1" si="17"/>
        <v>4</v>
      </c>
    </row>
    <row r="31" spans="1:32" x14ac:dyDescent="0.2">
      <c r="A31">
        <v>30</v>
      </c>
      <c r="B31">
        <f t="shared" ca="1" si="4"/>
        <v>25</v>
      </c>
      <c r="C31">
        <f t="shared" ca="1" si="5"/>
        <v>2</v>
      </c>
      <c r="D31">
        <f t="shared" ca="1" si="5"/>
        <v>1</v>
      </c>
      <c r="E31" t="s">
        <v>180</v>
      </c>
      <c r="F31">
        <f t="shared" ca="1" si="6"/>
        <v>1</v>
      </c>
      <c r="G31">
        <f t="shared" ca="1" si="6"/>
        <v>1</v>
      </c>
      <c r="H31">
        <f t="shared" ca="1" si="6"/>
        <v>1</v>
      </c>
      <c r="I31" s="14">
        <f t="shared" ca="1" si="7"/>
        <v>1</v>
      </c>
      <c r="J31" t="s">
        <v>127</v>
      </c>
      <c r="K31">
        <f t="shared" si="8"/>
        <v>0</v>
      </c>
      <c r="L31">
        <v>2</v>
      </c>
      <c r="M31" t="str">
        <f t="shared" si="9"/>
        <v>elephant</v>
      </c>
      <c r="N31">
        <f t="shared" ca="1" si="10"/>
        <v>67</v>
      </c>
      <c r="O31">
        <f t="shared" ca="1" si="11"/>
        <v>21.5</v>
      </c>
      <c r="P31">
        <f t="shared" ca="1" si="12"/>
        <v>33</v>
      </c>
      <c r="Q31" s="10">
        <f t="shared" ca="1" si="13"/>
        <v>21</v>
      </c>
      <c r="R31" s="10">
        <f t="shared" ca="1" si="14"/>
        <v>43</v>
      </c>
      <c r="S31" s="21">
        <f t="shared" ca="1" si="15"/>
        <v>13</v>
      </c>
      <c r="T31" s="22">
        <f t="shared" ca="1" si="15"/>
        <v>19</v>
      </c>
      <c r="U31" s="21">
        <f t="shared" ca="1" si="15"/>
        <v>1</v>
      </c>
      <c r="V31" s="22">
        <f t="shared" ca="1" si="15"/>
        <v>9</v>
      </c>
      <c r="W31" s="21">
        <f t="shared" ca="1" si="16"/>
        <v>7</v>
      </c>
      <c r="X31" s="22">
        <f t="shared" ca="1" si="16"/>
        <v>15</v>
      </c>
      <c r="Y31" s="5">
        <f t="shared" ca="1" si="1"/>
        <v>22</v>
      </c>
      <c r="Z31" s="5">
        <f t="shared" ca="1" si="2"/>
        <v>23</v>
      </c>
      <c r="AA31" s="28">
        <f t="shared" ca="1" si="17"/>
        <v>11</v>
      </c>
      <c r="AB31" s="29">
        <f t="shared" ca="1" si="17"/>
        <v>4</v>
      </c>
      <c r="AC31" s="28">
        <f t="shared" ca="1" si="17"/>
        <v>19</v>
      </c>
      <c r="AD31" s="29">
        <f t="shared" ca="1" si="17"/>
        <v>10</v>
      </c>
      <c r="AE31" s="28">
        <f t="shared" ca="1" si="17"/>
        <v>3</v>
      </c>
      <c r="AF31" s="29">
        <f t="shared" ca="1" si="17"/>
        <v>20</v>
      </c>
    </row>
    <row r="32" spans="1:32" x14ac:dyDescent="0.2">
      <c r="A32">
        <v>31</v>
      </c>
      <c r="B32">
        <f t="shared" ca="1" si="4"/>
        <v>24</v>
      </c>
      <c r="C32">
        <f t="shared" ca="1" si="5"/>
        <v>2</v>
      </c>
      <c r="D32">
        <f t="shared" ca="1" si="5"/>
        <v>1</v>
      </c>
      <c r="E32" t="s">
        <v>180</v>
      </c>
      <c r="F32">
        <f t="shared" ca="1" si="6"/>
        <v>1</v>
      </c>
      <c r="G32">
        <f t="shared" ca="1" si="6"/>
        <v>0</v>
      </c>
      <c r="H32">
        <f t="shared" ca="1" si="6"/>
        <v>1</v>
      </c>
      <c r="I32" s="14">
        <f t="shared" ca="1" si="7"/>
        <v>0</v>
      </c>
      <c r="J32" t="s">
        <v>126</v>
      </c>
      <c r="K32">
        <f t="shared" si="8"/>
        <v>1</v>
      </c>
      <c r="L32">
        <v>2</v>
      </c>
      <c r="M32" t="str">
        <f t="shared" si="9"/>
        <v>elephant</v>
      </c>
      <c r="N32">
        <f t="shared" ca="1" si="10"/>
        <v>42</v>
      </c>
      <c r="O32">
        <f t="shared" ca="1" si="11"/>
        <v>28</v>
      </c>
      <c r="P32">
        <f t="shared" ca="1" si="12"/>
        <v>37</v>
      </c>
      <c r="Q32" s="10">
        <f t="shared" ca="1" si="13"/>
        <v>26</v>
      </c>
      <c r="R32" s="10">
        <f t="shared" ca="1" si="14"/>
        <v>44</v>
      </c>
      <c r="S32" s="21">
        <f t="shared" ca="1" si="15"/>
        <v>4</v>
      </c>
      <c r="T32" s="22">
        <f t="shared" ca="1" si="15"/>
        <v>18</v>
      </c>
      <c r="U32" s="21">
        <f t="shared" ca="1" si="15"/>
        <v>4</v>
      </c>
      <c r="V32" s="22">
        <f t="shared" ca="1" si="15"/>
        <v>14</v>
      </c>
      <c r="W32" s="21">
        <f t="shared" ca="1" si="16"/>
        <v>18</v>
      </c>
      <c r="X32" s="22">
        <f t="shared" ca="1" si="16"/>
        <v>12</v>
      </c>
      <c r="Y32" s="5">
        <f t="shared" ca="1" si="1"/>
        <v>30</v>
      </c>
      <c r="Z32" s="5">
        <f t="shared" ca="1" si="2"/>
        <v>30</v>
      </c>
      <c r="AA32" s="28">
        <f t="shared" ca="1" si="17"/>
        <v>17</v>
      </c>
      <c r="AB32" s="29">
        <f t="shared" ca="1" si="17"/>
        <v>19</v>
      </c>
      <c r="AC32" s="28">
        <f t="shared" ca="1" si="17"/>
        <v>14</v>
      </c>
      <c r="AD32" s="29">
        <f t="shared" ca="1" si="17"/>
        <v>10</v>
      </c>
      <c r="AE32" s="28">
        <f t="shared" ca="1" si="17"/>
        <v>18</v>
      </c>
      <c r="AF32" s="29">
        <f t="shared" ca="1" si="17"/>
        <v>19</v>
      </c>
    </row>
    <row r="33" spans="1:32" ht="16" thickBot="1" x14ac:dyDescent="0.25">
      <c r="A33">
        <v>32</v>
      </c>
      <c r="B33">
        <f t="shared" ca="1" si="4"/>
        <v>18</v>
      </c>
      <c r="C33">
        <f t="shared" ca="1" si="5"/>
        <v>2</v>
      </c>
      <c r="D33">
        <f t="shared" ca="1" si="5"/>
        <v>4</v>
      </c>
      <c r="E33" t="s">
        <v>180</v>
      </c>
      <c r="F33">
        <f t="shared" ca="1" si="6"/>
        <v>1</v>
      </c>
      <c r="G33">
        <f t="shared" ca="1" si="6"/>
        <v>0</v>
      </c>
      <c r="H33">
        <f t="shared" ca="1" si="6"/>
        <v>0</v>
      </c>
      <c r="I33" s="14">
        <f t="shared" ca="1" si="7"/>
        <v>1</v>
      </c>
      <c r="J33" t="s">
        <v>127</v>
      </c>
      <c r="K33">
        <f t="shared" si="8"/>
        <v>0</v>
      </c>
      <c r="L33">
        <v>2</v>
      </c>
      <c r="M33" t="str">
        <f t="shared" si="9"/>
        <v>elephant</v>
      </c>
      <c r="N33">
        <f t="shared" ca="1" si="10"/>
        <v>74</v>
      </c>
      <c r="O33">
        <f t="shared" ca="1" si="11"/>
        <v>18.5</v>
      </c>
      <c r="P33">
        <f t="shared" ca="1" si="12"/>
        <v>14.5</v>
      </c>
      <c r="Q33" s="10">
        <f t="shared" ca="1" si="13"/>
        <v>27</v>
      </c>
      <c r="R33" s="10">
        <f t="shared" ca="1" si="14"/>
        <v>18</v>
      </c>
      <c r="S33" s="23">
        <f t="shared" ca="1" si="15"/>
        <v>14</v>
      </c>
      <c r="T33" s="24">
        <f t="shared" ca="1" si="15"/>
        <v>0</v>
      </c>
      <c r="U33" s="23">
        <f t="shared" ca="1" si="15"/>
        <v>11</v>
      </c>
      <c r="V33" s="24">
        <f t="shared" ca="1" si="15"/>
        <v>10</v>
      </c>
      <c r="W33" s="23">
        <f t="shared" ca="1" si="16"/>
        <v>2</v>
      </c>
      <c r="X33" s="24">
        <f t="shared" ca="1" si="16"/>
        <v>8</v>
      </c>
      <c r="Y33" s="5">
        <f t="shared" ca="1" si="1"/>
        <v>10</v>
      </c>
      <c r="Z33" s="5">
        <f t="shared" ca="1" si="2"/>
        <v>11</v>
      </c>
      <c r="AA33" s="30">
        <f t="shared" ca="1" si="17"/>
        <v>15</v>
      </c>
      <c r="AB33" s="31">
        <f t="shared" ca="1" si="17"/>
        <v>12</v>
      </c>
      <c r="AC33" s="30">
        <f t="shared" ca="1" si="17"/>
        <v>16</v>
      </c>
      <c r="AD33" s="31">
        <f t="shared" ca="1" si="17"/>
        <v>4</v>
      </c>
      <c r="AE33" s="30">
        <f t="shared" ca="1" si="17"/>
        <v>12</v>
      </c>
      <c r="AF33" s="31">
        <f t="shared" ca="1" si="17"/>
        <v>14</v>
      </c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"/>
  <sheetViews>
    <sheetView zoomScale="150" workbookViewId="0">
      <selection activeCell="E1" sqref="E1"/>
    </sheetView>
  </sheetViews>
  <sheetFormatPr baseColWidth="10" defaultColWidth="8.83203125" defaultRowHeight="15" x14ac:dyDescent="0.2"/>
  <cols>
    <col min="1" max="1" width="14.6640625" bestFit="1" customWidth="1"/>
    <col min="2" max="2" width="4" bestFit="1" customWidth="1"/>
    <col min="3" max="3" width="10.83203125" bestFit="1" customWidth="1"/>
    <col min="4" max="4" width="11.6640625" bestFit="1" customWidth="1"/>
  </cols>
  <sheetData>
    <row r="1" spans="1:16" x14ac:dyDescent="0.2">
      <c r="A1" t="s">
        <v>87</v>
      </c>
      <c r="B1" t="s">
        <v>88</v>
      </c>
      <c r="C1" t="s">
        <v>89</v>
      </c>
      <c r="D1" t="s">
        <v>92</v>
      </c>
      <c r="E1" t="s">
        <v>91</v>
      </c>
      <c r="F1" t="s">
        <v>90</v>
      </c>
      <c r="G1" t="s">
        <v>95</v>
      </c>
      <c r="H1" t="s">
        <v>96</v>
      </c>
      <c r="I1" t="s">
        <v>93</v>
      </c>
      <c r="J1" t="s">
        <v>94</v>
      </c>
      <c r="K1" t="s">
        <v>97</v>
      </c>
      <c r="L1" t="s">
        <v>98</v>
      </c>
      <c r="M1" t="s">
        <v>99</v>
      </c>
      <c r="N1" t="s">
        <v>100</v>
      </c>
      <c r="O1" t="s">
        <v>183</v>
      </c>
      <c r="P1" t="s">
        <v>184</v>
      </c>
    </row>
    <row r="2" spans="1:16" x14ac:dyDescent="0.2">
      <c r="A2" t="s">
        <v>113</v>
      </c>
      <c r="B2">
        <f ca="1">RANDBETWEEN(50,100)*2</f>
        <v>138</v>
      </c>
      <c r="C2">
        <f ca="1">B2/2</f>
        <v>69</v>
      </c>
      <c r="D2">
        <f ca="1">C2</f>
        <v>69</v>
      </c>
      <c r="E2">
        <f ca="1">B2-C2</f>
        <v>69</v>
      </c>
      <c r="F2">
        <f ca="1">E2</f>
        <v>69</v>
      </c>
      <c r="G2" s="11">
        <f ca="1">RAND()+0.1</f>
        <v>0.78197276710866059</v>
      </c>
      <c r="H2" s="11">
        <f ca="1">RAND()+0.1</f>
        <v>0.36965103433992763</v>
      </c>
      <c r="I2" s="11">
        <f ca="1">RAND()+0.1</f>
        <v>0.10665686268468713</v>
      </c>
      <c r="J2" s="11">
        <f ca="1">RAND()+0.1</f>
        <v>0.18923821278156641</v>
      </c>
      <c r="K2" s="11">
        <f ca="1">G2*0.3</f>
        <v>0.23459183013259816</v>
      </c>
      <c r="L2" s="11">
        <f t="shared" ref="L2:N2" ca="1" si="0">H2*0.3</f>
        <v>0.11089531030197829</v>
      </c>
      <c r="M2" s="11">
        <f t="shared" ca="1" si="0"/>
        <v>3.1997058805406139E-2</v>
      </c>
      <c r="N2" s="11">
        <f t="shared" ca="1" si="0"/>
        <v>5.6771463834469918E-2</v>
      </c>
      <c r="O2" s="11">
        <f ca="1">RAND()</f>
        <v>0.43311520051979946</v>
      </c>
      <c r="P2" s="11">
        <f ca="1">RAND()</f>
        <v>0.1532217938776449</v>
      </c>
    </row>
    <row r="3" spans="1:16" x14ac:dyDescent="0.2">
      <c r="A3" t="s">
        <v>114</v>
      </c>
      <c r="B3">
        <f t="shared" ref="B3:B9" ca="1" si="1">RANDBETWEEN(50,100)*2</f>
        <v>112</v>
      </c>
      <c r="C3">
        <f t="shared" ref="C3:C9" ca="1" si="2">B3/2</f>
        <v>56</v>
      </c>
      <c r="D3">
        <f t="shared" ref="D3:D9" ca="1" si="3">C3</f>
        <v>56</v>
      </c>
      <c r="E3">
        <f t="shared" ref="E3:E9" ca="1" si="4">B3-C3</f>
        <v>56</v>
      </c>
      <c r="F3">
        <f t="shared" ref="F3:F9" ca="1" si="5">E3</f>
        <v>56</v>
      </c>
      <c r="G3" s="11">
        <f t="shared" ref="G3:J9" ca="1" si="6">RAND()+0.1</f>
        <v>0.58262007521550019</v>
      </c>
      <c r="H3" s="11">
        <f t="shared" ca="1" si="6"/>
        <v>1.0832360485497805</v>
      </c>
      <c r="I3" s="11">
        <f t="shared" ca="1" si="6"/>
        <v>1.0672643029142719</v>
      </c>
      <c r="J3" s="11">
        <f t="shared" ca="1" si="6"/>
        <v>0.64859427709977946</v>
      </c>
      <c r="K3" s="11">
        <f t="shared" ref="K3:K9" ca="1" si="7">G3*0.3</f>
        <v>0.17478602256465006</v>
      </c>
      <c r="L3" s="11">
        <f t="shared" ref="L3:L9" ca="1" si="8">H3*0.3</f>
        <v>0.32497081456493415</v>
      </c>
      <c r="M3" s="11">
        <f t="shared" ref="M3:M9" ca="1" si="9">I3*0.3</f>
        <v>0.32017929087428154</v>
      </c>
      <c r="N3" s="11">
        <f t="shared" ref="N3:N9" ca="1" si="10">J3*0.3</f>
        <v>0.19457828312993383</v>
      </c>
      <c r="O3" s="11">
        <f t="shared" ref="O3:P9" ca="1" si="11">RAND()</f>
        <v>0.76620610086627605</v>
      </c>
      <c r="P3" s="11">
        <f t="shared" ca="1" si="11"/>
        <v>0.27900402750295783</v>
      </c>
    </row>
    <row r="4" spans="1:16" x14ac:dyDescent="0.2">
      <c r="A4" t="s">
        <v>115</v>
      </c>
      <c r="B4">
        <f t="shared" ca="1" si="1"/>
        <v>176</v>
      </c>
      <c r="C4">
        <f t="shared" ca="1" si="2"/>
        <v>88</v>
      </c>
      <c r="D4">
        <f t="shared" ca="1" si="3"/>
        <v>88</v>
      </c>
      <c r="E4">
        <f t="shared" ca="1" si="4"/>
        <v>88</v>
      </c>
      <c r="F4">
        <f t="shared" ca="1" si="5"/>
        <v>88</v>
      </c>
      <c r="G4" s="11">
        <f t="shared" ca="1" si="6"/>
        <v>0.38417434755524416</v>
      </c>
      <c r="H4" s="11">
        <f t="shared" ca="1" si="6"/>
        <v>0.66402544910436956</v>
      </c>
      <c r="I4" s="11">
        <f t="shared" ca="1" si="6"/>
        <v>1.0110180933902968</v>
      </c>
      <c r="J4" s="11">
        <f t="shared" ca="1" si="6"/>
        <v>0.12802735962807968</v>
      </c>
      <c r="K4" s="11">
        <f t="shared" ca="1" si="7"/>
        <v>0.11525230426657324</v>
      </c>
      <c r="L4" s="11">
        <f t="shared" ca="1" si="8"/>
        <v>0.19920763473131087</v>
      </c>
      <c r="M4" s="11">
        <f t="shared" ca="1" si="9"/>
        <v>0.30330542801708904</v>
      </c>
      <c r="N4" s="11">
        <f t="shared" ca="1" si="10"/>
        <v>3.8408207888423904E-2</v>
      </c>
      <c r="O4" s="11">
        <f t="shared" ca="1" si="11"/>
        <v>7.1367391296658922E-2</v>
      </c>
      <c r="P4" s="11">
        <f t="shared" ca="1" si="11"/>
        <v>0.23035829428638621</v>
      </c>
    </row>
    <row r="5" spans="1:16" x14ac:dyDescent="0.2">
      <c r="A5" t="s">
        <v>107</v>
      </c>
      <c r="B5">
        <f t="shared" ca="1" si="1"/>
        <v>178</v>
      </c>
      <c r="C5">
        <f t="shared" ca="1" si="2"/>
        <v>89</v>
      </c>
      <c r="D5">
        <f t="shared" ca="1" si="3"/>
        <v>89</v>
      </c>
      <c r="E5">
        <f t="shared" ca="1" si="4"/>
        <v>89</v>
      </c>
      <c r="F5">
        <f t="shared" ca="1" si="5"/>
        <v>89</v>
      </c>
      <c r="G5" s="11">
        <f t="shared" ca="1" si="6"/>
        <v>0.79166868526978207</v>
      </c>
      <c r="H5" s="11">
        <f t="shared" ca="1" si="6"/>
        <v>0.90779811785630293</v>
      </c>
      <c r="I5" s="11">
        <f t="shared" ca="1" si="6"/>
        <v>0.55613609794638763</v>
      </c>
      <c r="J5" s="11">
        <f t="shared" ca="1" si="6"/>
        <v>0.98919651422738697</v>
      </c>
      <c r="K5" s="11">
        <f t="shared" ca="1" si="7"/>
        <v>0.23750060558093461</v>
      </c>
      <c r="L5" s="11">
        <f t="shared" ca="1" si="8"/>
        <v>0.27233943535689087</v>
      </c>
      <c r="M5" s="11">
        <f t="shared" ca="1" si="9"/>
        <v>0.16684082938391628</v>
      </c>
      <c r="N5" s="11">
        <f t="shared" ca="1" si="10"/>
        <v>0.29675895426821608</v>
      </c>
      <c r="O5" s="11">
        <f t="shared" ca="1" si="11"/>
        <v>0.24339109447531193</v>
      </c>
      <c r="P5" s="11">
        <f t="shared" ca="1" si="11"/>
        <v>0.13754203054650327</v>
      </c>
    </row>
    <row r="6" spans="1:16" x14ac:dyDescent="0.2">
      <c r="A6" t="s">
        <v>108</v>
      </c>
      <c r="B6">
        <f t="shared" ca="1" si="1"/>
        <v>102</v>
      </c>
      <c r="C6">
        <f t="shared" ca="1" si="2"/>
        <v>51</v>
      </c>
      <c r="D6">
        <f t="shared" ca="1" si="3"/>
        <v>51</v>
      </c>
      <c r="E6">
        <f t="shared" ca="1" si="4"/>
        <v>51</v>
      </c>
      <c r="F6">
        <f t="shared" ca="1" si="5"/>
        <v>51</v>
      </c>
      <c r="G6" s="11">
        <f t="shared" ca="1" si="6"/>
        <v>0.57228918593501654</v>
      </c>
      <c r="H6" s="11">
        <f t="shared" ca="1" si="6"/>
        <v>0.36003730255230193</v>
      </c>
      <c r="I6" s="11">
        <f t="shared" ca="1" si="6"/>
        <v>1.0006409086704124</v>
      </c>
      <c r="J6" s="11">
        <f t="shared" ca="1" si="6"/>
        <v>1.0830690189335641</v>
      </c>
      <c r="K6" s="11">
        <f t="shared" ca="1" si="7"/>
        <v>0.17168675578050496</v>
      </c>
      <c r="L6" s="11">
        <f t="shared" ca="1" si="8"/>
        <v>0.10801119076569057</v>
      </c>
      <c r="M6" s="11">
        <f t="shared" ca="1" si="9"/>
        <v>0.30019227260112374</v>
      </c>
      <c r="N6" s="11">
        <f t="shared" ca="1" si="10"/>
        <v>0.3249207056800692</v>
      </c>
      <c r="O6" s="11">
        <f t="shared" ca="1" si="11"/>
        <v>0.42254773861025918</v>
      </c>
      <c r="P6" s="11">
        <f t="shared" ca="1" si="11"/>
        <v>0.7888037018909515</v>
      </c>
    </row>
    <row r="7" spans="1:16" x14ac:dyDescent="0.2">
      <c r="A7" t="s">
        <v>109</v>
      </c>
      <c r="B7">
        <f t="shared" ca="1" si="1"/>
        <v>196</v>
      </c>
      <c r="C7">
        <f t="shared" ca="1" si="2"/>
        <v>98</v>
      </c>
      <c r="D7">
        <f t="shared" ca="1" si="3"/>
        <v>98</v>
      </c>
      <c r="E7">
        <f t="shared" ca="1" si="4"/>
        <v>98</v>
      </c>
      <c r="F7">
        <f t="shared" ca="1" si="5"/>
        <v>98</v>
      </c>
      <c r="G7" s="11">
        <f t="shared" ca="1" si="6"/>
        <v>0.44473345521347951</v>
      </c>
      <c r="H7" s="11">
        <f t="shared" ca="1" si="6"/>
        <v>0.65778576657904786</v>
      </c>
      <c r="I7" s="11">
        <f t="shared" ca="1" si="6"/>
        <v>0.62390742360527618</v>
      </c>
      <c r="J7" s="11">
        <f t="shared" ca="1" si="6"/>
        <v>0.40682993640641685</v>
      </c>
      <c r="K7" s="11">
        <f t="shared" ca="1" si="7"/>
        <v>0.13342003656404386</v>
      </c>
      <c r="L7" s="11">
        <f t="shared" ca="1" si="8"/>
        <v>0.19733572997371435</v>
      </c>
      <c r="M7" s="11">
        <f t="shared" ca="1" si="9"/>
        <v>0.18717222708158285</v>
      </c>
      <c r="N7" s="11">
        <f t="shared" ca="1" si="10"/>
        <v>0.12204898092192505</v>
      </c>
      <c r="O7" s="11">
        <f t="shared" ca="1" si="11"/>
        <v>0.51897529005883503</v>
      </c>
      <c r="P7" s="11">
        <f t="shared" ca="1" si="11"/>
        <v>6.8247477943272905E-3</v>
      </c>
    </row>
    <row r="8" spans="1:16" x14ac:dyDescent="0.2">
      <c r="A8" t="s">
        <v>116</v>
      </c>
      <c r="B8">
        <f t="shared" ca="1" si="1"/>
        <v>126</v>
      </c>
      <c r="C8">
        <f t="shared" ca="1" si="2"/>
        <v>63</v>
      </c>
      <c r="D8">
        <f t="shared" ca="1" si="3"/>
        <v>63</v>
      </c>
      <c r="E8">
        <f t="shared" ca="1" si="4"/>
        <v>63</v>
      </c>
      <c r="F8">
        <f t="shared" ca="1" si="5"/>
        <v>63</v>
      </c>
      <c r="G8" s="11">
        <f t="shared" ca="1" si="6"/>
        <v>0.11285857760208332</v>
      </c>
      <c r="H8" s="11">
        <f t="shared" ca="1" si="6"/>
        <v>0.30410518196401426</v>
      </c>
      <c r="I8" s="11">
        <f t="shared" ca="1" si="6"/>
        <v>0.25569741629754783</v>
      </c>
      <c r="J8" s="11">
        <f t="shared" ca="1" si="6"/>
        <v>0.15893909641227624</v>
      </c>
      <c r="K8" s="11">
        <f t="shared" ca="1" si="7"/>
        <v>3.385757328062499E-2</v>
      </c>
      <c r="L8" s="11">
        <f t="shared" ca="1" si="8"/>
        <v>9.1231554589204275E-2</v>
      </c>
      <c r="M8" s="11">
        <f t="shared" ca="1" si="9"/>
        <v>7.6709224889264349E-2</v>
      </c>
      <c r="N8" s="11">
        <f t="shared" ca="1" si="10"/>
        <v>4.7681728923682873E-2</v>
      </c>
      <c r="O8" s="11">
        <f t="shared" ca="1" si="11"/>
        <v>0.14419131879639047</v>
      </c>
      <c r="P8" s="11">
        <f t="shared" ca="1" si="11"/>
        <v>6.0432163984006304E-2</v>
      </c>
    </row>
    <row r="9" spans="1:16" x14ac:dyDescent="0.2">
      <c r="A9" t="s">
        <v>117</v>
      </c>
      <c r="B9">
        <f t="shared" ca="1" si="1"/>
        <v>104</v>
      </c>
      <c r="C9">
        <f t="shared" ca="1" si="2"/>
        <v>52</v>
      </c>
      <c r="D9">
        <f t="shared" ca="1" si="3"/>
        <v>52</v>
      </c>
      <c r="E9">
        <f t="shared" ca="1" si="4"/>
        <v>52</v>
      </c>
      <c r="F9">
        <f t="shared" ca="1" si="5"/>
        <v>52</v>
      </c>
      <c r="G9" s="11">
        <f t="shared" ca="1" si="6"/>
        <v>0.93921508301130197</v>
      </c>
      <c r="H9" s="11">
        <f t="shared" ca="1" si="6"/>
        <v>0.90506278330678536</v>
      </c>
      <c r="I9" s="11">
        <f t="shared" ca="1" si="6"/>
        <v>0.24375470642817579</v>
      </c>
      <c r="J9" s="11">
        <f t="shared" ca="1" si="6"/>
        <v>0.3119956812479644</v>
      </c>
      <c r="K9" s="11">
        <f t="shared" ca="1" si="7"/>
        <v>0.2817645249033906</v>
      </c>
      <c r="L9" s="11">
        <f t="shared" ca="1" si="8"/>
        <v>0.27151883499203561</v>
      </c>
      <c r="M9" s="11">
        <f t="shared" ca="1" si="9"/>
        <v>7.3126411928452734E-2</v>
      </c>
      <c r="N9" s="11">
        <f t="shared" ca="1" si="10"/>
        <v>9.3598704374389316E-2</v>
      </c>
      <c r="O9" s="11">
        <f t="shared" ca="1" si="11"/>
        <v>0.36564254843535815</v>
      </c>
      <c r="P9" s="11">
        <f t="shared" ca="1" si="11"/>
        <v>0.62583408733820778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J2" sqref="J2"/>
    </sheetView>
  </sheetViews>
  <sheetFormatPr baseColWidth="10" defaultColWidth="8.83203125" defaultRowHeight="15" x14ac:dyDescent="0.2"/>
  <cols>
    <col min="1" max="1" width="14.6640625" bestFit="1" customWidth="1"/>
    <col min="2" max="2" width="4" bestFit="1" customWidth="1"/>
    <col min="3" max="3" width="10.83203125" bestFit="1" customWidth="1"/>
  </cols>
  <sheetData>
    <row r="1" spans="1:10" x14ac:dyDescent="0.2">
      <c r="A1" t="s">
        <v>87</v>
      </c>
      <c r="B1" t="s">
        <v>88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183</v>
      </c>
      <c r="J1" t="s">
        <v>184</v>
      </c>
    </row>
    <row r="2" spans="1:10" x14ac:dyDescent="0.2">
      <c r="A2" t="s">
        <v>113</v>
      </c>
      <c r="B2">
        <f ca="1">RANDBETWEEN(50,100)*2</f>
        <v>200</v>
      </c>
      <c r="C2">
        <f ca="1">B2/2</f>
        <v>100</v>
      </c>
      <c r="D2">
        <f t="shared" ref="D2:D9" ca="1" si="0">B2-C2</f>
        <v>100</v>
      </c>
      <c r="E2" s="11">
        <f ca="1">RAND()+0.1</f>
        <v>0.9126946425979372</v>
      </c>
      <c r="F2" s="11">
        <f ca="1">RAND()+0.1</f>
        <v>0.75799239243660577</v>
      </c>
      <c r="G2" s="11">
        <f t="shared" ref="G2:H9" ca="1" si="1">E2*0.3</f>
        <v>0.27380839277938113</v>
      </c>
      <c r="H2" s="11">
        <f t="shared" ca="1" si="1"/>
        <v>0.22739771773098172</v>
      </c>
      <c r="I2" s="11">
        <f ca="1">RAND()</f>
        <v>0.37412596061992631</v>
      </c>
      <c r="J2" s="11">
        <f ca="1">RAND()</f>
        <v>0.17496200067637591</v>
      </c>
    </row>
    <row r="3" spans="1:10" x14ac:dyDescent="0.2">
      <c r="A3" t="s">
        <v>114</v>
      </c>
      <c r="B3">
        <f t="shared" ref="B3:B9" ca="1" si="2">RANDBETWEEN(50,100)*2</f>
        <v>118</v>
      </c>
      <c r="C3">
        <f t="shared" ref="C3:C9" ca="1" si="3">B3/2</f>
        <v>59</v>
      </c>
      <c r="D3">
        <f t="shared" ca="1" si="0"/>
        <v>59</v>
      </c>
      <c r="E3" s="11">
        <f t="shared" ref="E3:F9" ca="1" si="4">RAND()+0.1</f>
        <v>0.89020724712832344</v>
      </c>
      <c r="F3" s="11">
        <f t="shared" ca="1" si="4"/>
        <v>0.65477681041508196</v>
      </c>
      <c r="G3" s="11">
        <f t="shared" ca="1" si="1"/>
        <v>0.26706217413849703</v>
      </c>
      <c r="H3" s="11">
        <f t="shared" ca="1" si="1"/>
        <v>0.19643304312452459</v>
      </c>
      <c r="I3" s="11">
        <f t="shared" ref="I3:J9" ca="1" si="5">RAND()</f>
        <v>0.53223887178981899</v>
      </c>
      <c r="J3" s="11">
        <f t="shared" ca="1" si="5"/>
        <v>0.5087627117629141</v>
      </c>
    </row>
    <row r="4" spans="1:10" x14ac:dyDescent="0.2">
      <c r="A4" t="s">
        <v>115</v>
      </c>
      <c r="B4">
        <f t="shared" ca="1" si="2"/>
        <v>130</v>
      </c>
      <c r="C4">
        <f t="shared" ca="1" si="3"/>
        <v>65</v>
      </c>
      <c r="D4">
        <f t="shared" ca="1" si="0"/>
        <v>65</v>
      </c>
      <c r="E4" s="11">
        <f t="shared" ca="1" si="4"/>
        <v>0.63941809279966777</v>
      </c>
      <c r="F4" s="11">
        <f t="shared" ca="1" si="4"/>
        <v>0.38551235064090694</v>
      </c>
      <c r="G4" s="11">
        <f t="shared" ca="1" si="1"/>
        <v>0.19182542783990034</v>
      </c>
      <c r="H4" s="11">
        <f t="shared" ca="1" si="1"/>
        <v>0.11565370519227208</v>
      </c>
      <c r="I4" s="11">
        <f t="shared" ca="1" si="5"/>
        <v>0.31756265828247576</v>
      </c>
      <c r="J4" s="11">
        <f t="shared" ca="1" si="5"/>
        <v>0.62792308479698133</v>
      </c>
    </row>
    <row r="5" spans="1:10" x14ac:dyDescent="0.2">
      <c r="A5" t="s">
        <v>107</v>
      </c>
      <c r="B5">
        <f t="shared" ca="1" si="2"/>
        <v>158</v>
      </c>
      <c r="C5">
        <f t="shared" ca="1" si="3"/>
        <v>79</v>
      </c>
      <c r="D5">
        <f t="shared" ca="1" si="0"/>
        <v>79</v>
      </c>
      <c r="E5" s="11">
        <f t="shared" ca="1" si="4"/>
        <v>1.0687235487779669</v>
      </c>
      <c r="F5" s="11">
        <f t="shared" ca="1" si="4"/>
        <v>0.14463370675892753</v>
      </c>
      <c r="G5" s="11">
        <f t="shared" ca="1" si="1"/>
        <v>0.32061706463339007</v>
      </c>
      <c r="H5" s="11">
        <f t="shared" ca="1" si="1"/>
        <v>4.3390112027678257E-2</v>
      </c>
      <c r="I5" s="11">
        <f t="shared" ca="1" si="5"/>
        <v>0.93996858705578457</v>
      </c>
      <c r="J5" s="11">
        <f t="shared" ca="1" si="5"/>
        <v>5.9054912404585713E-2</v>
      </c>
    </row>
    <row r="6" spans="1:10" x14ac:dyDescent="0.2">
      <c r="A6" t="s">
        <v>108</v>
      </c>
      <c r="B6">
        <f t="shared" ca="1" si="2"/>
        <v>126</v>
      </c>
      <c r="C6">
        <f t="shared" ca="1" si="3"/>
        <v>63</v>
      </c>
      <c r="D6">
        <f t="shared" ca="1" si="0"/>
        <v>63</v>
      </c>
      <c r="E6" s="11">
        <f t="shared" ca="1" si="4"/>
        <v>0.78688642093724892</v>
      </c>
      <c r="F6" s="11">
        <f t="shared" ca="1" si="4"/>
        <v>0.18356710953327174</v>
      </c>
      <c r="G6" s="11">
        <f t="shared" ca="1" si="1"/>
        <v>0.23606592628117468</v>
      </c>
      <c r="H6" s="11">
        <f t="shared" ca="1" si="1"/>
        <v>5.5070132859981517E-2</v>
      </c>
      <c r="I6" s="11">
        <f t="shared" ca="1" si="5"/>
        <v>0.63988590291178671</v>
      </c>
      <c r="J6" s="11">
        <f t="shared" ca="1" si="5"/>
        <v>0.47674162705923617</v>
      </c>
    </row>
    <row r="7" spans="1:10" x14ac:dyDescent="0.2">
      <c r="A7" t="s">
        <v>109</v>
      </c>
      <c r="B7">
        <f t="shared" ca="1" si="2"/>
        <v>146</v>
      </c>
      <c r="C7">
        <f t="shared" ca="1" si="3"/>
        <v>73</v>
      </c>
      <c r="D7">
        <f t="shared" ca="1" si="0"/>
        <v>73</v>
      </c>
      <c r="E7" s="11">
        <f t="shared" ca="1" si="4"/>
        <v>0.75679161375759452</v>
      </c>
      <c r="F7" s="11">
        <f t="shared" ca="1" si="4"/>
        <v>0.88140926102902573</v>
      </c>
      <c r="G7" s="11">
        <f t="shared" ca="1" si="1"/>
        <v>0.22703748412727834</v>
      </c>
      <c r="H7" s="11">
        <f t="shared" ca="1" si="1"/>
        <v>0.2644227783087077</v>
      </c>
      <c r="I7" s="11">
        <f t="shared" ca="1" si="5"/>
        <v>0.38273212107317833</v>
      </c>
      <c r="J7" s="11">
        <f t="shared" ca="1" si="5"/>
        <v>0.42450605150106224</v>
      </c>
    </row>
    <row r="8" spans="1:10" x14ac:dyDescent="0.2">
      <c r="A8" t="s">
        <v>116</v>
      </c>
      <c r="B8">
        <f t="shared" ca="1" si="2"/>
        <v>176</v>
      </c>
      <c r="C8">
        <f t="shared" ca="1" si="3"/>
        <v>88</v>
      </c>
      <c r="D8">
        <f t="shared" ca="1" si="0"/>
        <v>88</v>
      </c>
      <c r="E8" s="11">
        <f t="shared" ca="1" si="4"/>
        <v>0.18128682602600901</v>
      </c>
      <c r="F8" s="11">
        <f t="shared" ca="1" si="4"/>
        <v>0.51801332475568784</v>
      </c>
      <c r="G8" s="11">
        <f t="shared" ca="1" si="1"/>
        <v>5.43860478078027E-2</v>
      </c>
      <c r="H8" s="11">
        <f t="shared" ca="1" si="1"/>
        <v>0.15540399742670635</v>
      </c>
      <c r="I8" s="11">
        <f t="shared" ca="1" si="5"/>
        <v>0.34489185945555845</v>
      </c>
      <c r="J8" s="11">
        <f t="shared" ca="1" si="5"/>
        <v>0.69654836017087596</v>
      </c>
    </row>
    <row r="9" spans="1:10" x14ac:dyDescent="0.2">
      <c r="A9" t="s">
        <v>117</v>
      </c>
      <c r="B9">
        <f t="shared" ca="1" si="2"/>
        <v>126</v>
      </c>
      <c r="C9">
        <f t="shared" ca="1" si="3"/>
        <v>63</v>
      </c>
      <c r="D9">
        <f t="shared" ca="1" si="0"/>
        <v>63</v>
      </c>
      <c r="E9" s="11">
        <f t="shared" ca="1" si="4"/>
        <v>0.3975193457572701</v>
      </c>
      <c r="F9" s="11">
        <f t="shared" ca="1" si="4"/>
        <v>0.73783206331394169</v>
      </c>
      <c r="G9" s="11">
        <f t="shared" ca="1" si="1"/>
        <v>0.11925580372718103</v>
      </c>
      <c r="H9" s="11">
        <f t="shared" ca="1" si="1"/>
        <v>0.22134961899418251</v>
      </c>
      <c r="I9" s="11">
        <f t="shared" ca="1" si="5"/>
        <v>0.13326820636089998</v>
      </c>
      <c r="J9" s="11">
        <f t="shared" ca="1" si="5"/>
        <v>0.65009832550597813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4"/>
  <sheetViews>
    <sheetView tabSelected="1" workbookViewId="0">
      <selection activeCell="I3" sqref="I3"/>
    </sheetView>
  </sheetViews>
  <sheetFormatPr baseColWidth="10" defaultColWidth="8.83203125" defaultRowHeight="15" x14ac:dyDescent="0.2"/>
  <cols>
    <col min="1" max="1" width="19.33203125" bestFit="1" customWidth="1"/>
  </cols>
  <sheetData>
    <row r="1" spans="1:9" x14ac:dyDescent="0.2">
      <c r="A1" t="s">
        <v>87</v>
      </c>
      <c r="B1" t="s">
        <v>88</v>
      </c>
      <c r="C1" t="s">
        <v>101</v>
      </c>
      <c r="D1" t="s">
        <v>102</v>
      </c>
      <c r="E1" t="s">
        <v>103</v>
      </c>
    </row>
    <row r="2" spans="1:9" x14ac:dyDescent="0.2">
      <c r="A2" t="s">
        <v>110</v>
      </c>
      <c r="B2">
        <f ca="1">SUM(B7,B12,B17,B22,B27,B32,B37,B42)</f>
        <v>1142</v>
      </c>
      <c r="C2">
        <f ca="1">AVERAGE(C7,C12,C17,C22,C27,C32,C37,C42)</f>
        <v>0.50367918227170372</v>
      </c>
      <c r="D2">
        <f ca="1">C2-0.1</f>
        <v>0.40367918227170374</v>
      </c>
      <c r="E2">
        <f ca="1">C2+0.1</f>
        <v>0.6036791822717037</v>
      </c>
      <c r="I2" s="32" t="s">
        <v>185</v>
      </c>
    </row>
    <row r="3" spans="1:9" x14ac:dyDescent="0.2">
      <c r="A3" t="s">
        <v>111</v>
      </c>
      <c r="B3">
        <f ca="1">SUM(B8,B13,B18,B23,B28,B33,B38,B43)</f>
        <v>1270</v>
      </c>
      <c r="C3">
        <f t="shared" ref="C3:C4" ca="1" si="0">AVERAGE(C8,C13,C18,C23,C28,C33,C38,C43)</f>
        <v>-0.18291991865131549</v>
      </c>
      <c r="D3">
        <f t="shared" ref="D3:D4" ca="1" si="1">C3-0.1</f>
        <v>-0.28291991865131549</v>
      </c>
      <c r="E3">
        <f t="shared" ref="E3:E4" ca="1" si="2">C3+0.1</f>
        <v>-8.2919918651315483E-2</v>
      </c>
    </row>
    <row r="4" spans="1:9" x14ac:dyDescent="0.2">
      <c r="A4" t="s">
        <v>112</v>
      </c>
      <c r="B4">
        <f ca="1">SUM(B9,B14,B19,B24,B29,B34,B39,B44)</f>
        <v>1262</v>
      </c>
      <c r="C4">
        <f t="shared" ca="1" si="0"/>
        <v>-0.23663745362672414</v>
      </c>
      <c r="D4">
        <f t="shared" ca="1" si="1"/>
        <v>-0.33663745362672415</v>
      </c>
      <c r="E4">
        <f t="shared" ca="1" si="2"/>
        <v>-0.13663745362672414</v>
      </c>
    </row>
    <row r="6" spans="1:9" x14ac:dyDescent="0.2">
      <c r="A6" t="s">
        <v>113</v>
      </c>
    </row>
    <row r="7" spans="1:9" x14ac:dyDescent="0.2">
      <c r="A7" t="s">
        <v>104</v>
      </c>
      <c r="B7">
        <f ca="1">RANDBETWEEN(100,200)</f>
        <v>106</v>
      </c>
      <c r="C7">
        <f ca="1">RAND()-RAND()+0.5</f>
        <v>1.0383241776018002</v>
      </c>
      <c r="D7">
        <f ca="1">C7-0.25</f>
        <v>0.78832417760180018</v>
      </c>
      <c r="E7">
        <f t="shared" ref="E7:E9" ca="1" si="3">C7+0.25</f>
        <v>1.2883241776018002</v>
      </c>
    </row>
    <row r="8" spans="1:9" x14ac:dyDescent="0.2">
      <c r="A8" t="s">
        <v>105</v>
      </c>
      <c r="B8">
        <f ca="1">RANDBETWEEN(100,200)</f>
        <v>188</v>
      </c>
      <c r="C8">
        <f ca="1">RAND()-RAND()-0.2</f>
        <v>0.17392698627567965</v>
      </c>
      <c r="D8">
        <f t="shared" ref="D8:D9" ca="1" si="4">C8-0.25</f>
        <v>-7.6073013724320349E-2</v>
      </c>
      <c r="E8">
        <f t="shared" ca="1" si="3"/>
        <v>0.42392698627567965</v>
      </c>
    </row>
    <row r="9" spans="1:9" x14ac:dyDescent="0.2">
      <c r="A9" t="s">
        <v>106</v>
      </c>
      <c r="B9">
        <f ca="1">RANDBETWEEN(100,200)</f>
        <v>194</v>
      </c>
      <c r="C9">
        <f ca="1">RAND()-RAND()-0.5</f>
        <v>-0.15124533249703187</v>
      </c>
      <c r="D9">
        <f t="shared" ca="1" si="4"/>
        <v>-0.40124533249703187</v>
      </c>
      <c r="E9">
        <f t="shared" ca="1" si="3"/>
        <v>9.875466750296813E-2</v>
      </c>
    </row>
    <row r="11" spans="1:9" x14ac:dyDescent="0.2">
      <c r="A11" t="s">
        <v>114</v>
      </c>
    </row>
    <row r="12" spans="1:9" x14ac:dyDescent="0.2">
      <c r="A12" t="s">
        <v>104</v>
      </c>
      <c r="B12">
        <f t="shared" ref="B12:B13" ca="1" si="5">RANDBETWEEN(100,200)</f>
        <v>185</v>
      </c>
      <c r="C12">
        <f ca="1">RAND()-RAND()+0.5</f>
        <v>0.35381914294401695</v>
      </c>
      <c r="D12">
        <f ca="1">C12-0.25</f>
        <v>0.10381914294401695</v>
      </c>
      <c r="E12">
        <f t="shared" ref="E12:E14" ca="1" si="6">C12+0.25</f>
        <v>0.60381914294401695</v>
      </c>
    </row>
    <row r="13" spans="1:9" x14ac:dyDescent="0.2">
      <c r="A13" t="s">
        <v>105</v>
      </c>
      <c r="B13">
        <f t="shared" ca="1" si="5"/>
        <v>170</v>
      </c>
      <c r="C13">
        <f ca="1">RAND()-RAND()-0.2</f>
        <v>-0.14362376032487661</v>
      </c>
      <c r="D13">
        <f t="shared" ref="D13:D14" ca="1" si="7">C13-0.25</f>
        <v>-0.39362376032487661</v>
      </c>
      <c r="E13">
        <f t="shared" ca="1" si="6"/>
        <v>0.10637623967512339</v>
      </c>
    </row>
    <row r="14" spans="1:9" x14ac:dyDescent="0.2">
      <c r="A14" t="s">
        <v>106</v>
      </c>
      <c r="B14">
        <f ca="1">RANDBETWEEN(100,200)</f>
        <v>185</v>
      </c>
      <c r="C14">
        <f ca="1">RAND()-RAND()-0.5</f>
        <v>-0.47850092799225585</v>
      </c>
      <c r="D14">
        <f t="shared" ca="1" si="7"/>
        <v>-0.72850092799225585</v>
      </c>
      <c r="E14">
        <f t="shared" ca="1" si="6"/>
        <v>-0.22850092799225585</v>
      </c>
    </row>
    <row r="16" spans="1:9" x14ac:dyDescent="0.2">
      <c r="A16" t="s">
        <v>115</v>
      </c>
    </row>
    <row r="17" spans="1:5" x14ac:dyDescent="0.2">
      <c r="A17" t="s">
        <v>104</v>
      </c>
      <c r="B17">
        <f t="shared" ref="B17:B18" ca="1" si="8">RANDBETWEEN(100,200)</f>
        <v>118</v>
      </c>
      <c r="C17">
        <f ca="1">RAND()-RAND()+0.5</f>
        <v>1.103907189364925</v>
      </c>
      <c r="D17">
        <f ca="1">C17-0.25</f>
        <v>0.85390718936492505</v>
      </c>
      <c r="E17">
        <f t="shared" ref="E17:E19" ca="1" si="9">C17+0.25</f>
        <v>1.353907189364925</v>
      </c>
    </row>
    <row r="18" spans="1:5" x14ac:dyDescent="0.2">
      <c r="A18" t="s">
        <v>105</v>
      </c>
      <c r="B18">
        <f t="shared" ca="1" si="8"/>
        <v>199</v>
      </c>
      <c r="C18">
        <f ca="1">RAND()-RAND()-0.2</f>
        <v>-0.17608758404696229</v>
      </c>
      <c r="D18">
        <f t="shared" ref="D18:D19" ca="1" si="10">C18-0.25</f>
        <v>-0.42608758404696229</v>
      </c>
      <c r="E18">
        <f t="shared" ca="1" si="9"/>
        <v>7.3912415953037713E-2</v>
      </c>
    </row>
    <row r="19" spans="1:5" x14ac:dyDescent="0.2">
      <c r="A19" t="s">
        <v>106</v>
      </c>
      <c r="B19">
        <f ca="1">RANDBETWEEN(100,200)</f>
        <v>153</v>
      </c>
      <c r="C19">
        <f ca="1">RAND()-RAND()-0.5</f>
        <v>-0.17482023782429057</v>
      </c>
      <c r="D19">
        <f t="shared" ca="1" si="10"/>
        <v>-0.42482023782429057</v>
      </c>
      <c r="E19">
        <f t="shared" ca="1" si="9"/>
        <v>7.517976217570943E-2</v>
      </c>
    </row>
    <row r="21" spans="1:5" x14ac:dyDescent="0.2">
      <c r="A21" t="s">
        <v>107</v>
      </c>
    </row>
    <row r="22" spans="1:5" x14ac:dyDescent="0.2">
      <c r="A22" t="s">
        <v>104</v>
      </c>
      <c r="B22">
        <f t="shared" ref="B22:B23" ca="1" si="11">RANDBETWEEN(100,200)</f>
        <v>133</v>
      </c>
      <c r="C22">
        <f ca="1">RAND()-RAND()+0.5</f>
        <v>0.23257609263480372</v>
      </c>
      <c r="D22">
        <f ca="1">C22-0.25</f>
        <v>-1.7423907365196278E-2</v>
      </c>
      <c r="E22">
        <f t="shared" ref="E22:E24" ca="1" si="12">C22+0.25</f>
        <v>0.48257609263480372</v>
      </c>
    </row>
    <row r="23" spans="1:5" x14ac:dyDescent="0.2">
      <c r="A23" t="s">
        <v>105</v>
      </c>
      <c r="B23">
        <f t="shared" ca="1" si="11"/>
        <v>118</v>
      </c>
      <c r="C23">
        <f ca="1">RAND()-RAND()-0.2</f>
        <v>9.0418886109512042E-2</v>
      </c>
      <c r="D23">
        <f t="shared" ref="D23:D24" ca="1" si="13">C23-0.25</f>
        <v>-0.15958111389048796</v>
      </c>
      <c r="E23">
        <f t="shared" ca="1" si="12"/>
        <v>0.34041888610951204</v>
      </c>
    </row>
    <row r="24" spans="1:5" x14ac:dyDescent="0.2">
      <c r="A24" t="s">
        <v>106</v>
      </c>
      <c r="B24">
        <f ca="1">RANDBETWEEN(100,200)</f>
        <v>112</v>
      </c>
      <c r="C24">
        <f ca="1">RAND()-RAND()-0.5</f>
        <v>0.36582115571610385</v>
      </c>
      <c r="D24">
        <f t="shared" ca="1" si="13"/>
        <v>0.11582115571610385</v>
      </c>
      <c r="E24">
        <f t="shared" ca="1" si="12"/>
        <v>0.61582115571610385</v>
      </c>
    </row>
    <row r="26" spans="1:5" x14ac:dyDescent="0.2">
      <c r="A26" t="s">
        <v>108</v>
      </c>
    </row>
    <row r="27" spans="1:5" x14ac:dyDescent="0.2">
      <c r="A27" t="s">
        <v>104</v>
      </c>
      <c r="B27">
        <f t="shared" ref="B27:B28" ca="1" si="14">RANDBETWEEN(100,200)</f>
        <v>191</v>
      </c>
      <c r="C27">
        <f ca="1">RAND()-RAND()+0.5</f>
        <v>-0.29955797360489356</v>
      </c>
      <c r="D27">
        <f ca="1">C27-0.25</f>
        <v>-0.54955797360489356</v>
      </c>
      <c r="E27">
        <f t="shared" ref="E27:E29" ca="1" si="15">C27+0.25</f>
        <v>-4.9557973604893557E-2</v>
      </c>
    </row>
    <row r="28" spans="1:5" x14ac:dyDescent="0.2">
      <c r="A28" t="s">
        <v>105</v>
      </c>
      <c r="B28">
        <f t="shared" ca="1" si="14"/>
        <v>171</v>
      </c>
      <c r="C28">
        <f ca="1">RAND()-RAND()-0.2</f>
        <v>-0.43802068467173888</v>
      </c>
      <c r="D28">
        <f t="shared" ref="D28:D29" ca="1" si="16">C28-0.25</f>
        <v>-0.68802068467173894</v>
      </c>
      <c r="E28">
        <f t="shared" ca="1" si="15"/>
        <v>-0.18802068467173888</v>
      </c>
    </row>
    <row r="29" spans="1:5" x14ac:dyDescent="0.2">
      <c r="A29" t="s">
        <v>106</v>
      </c>
      <c r="B29">
        <f ca="1">RANDBETWEEN(100,200)</f>
        <v>162</v>
      </c>
      <c r="C29">
        <f ca="1">RAND()-RAND()-0.5</f>
        <v>-0.30654222949337684</v>
      </c>
      <c r="D29">
        <f t="shared" ca="1" si="16"/>
        <v>-0.55654222949337684</v>
      </c>
      <c r="E29">
        <f t="shared" ca="1" si="15"/>
        <v>-5.6542229493376839E-2</v>
      </c>
    </row>
    <row r="31" spans="1:5" x14ac:dyDescent="0.2">
      <c r="A31" t="s">
        <v>109</v>
      </c>
    </row>
    <row r="32" spans="1:5" x14ac:dyDescent="0.2">
      <c r="A32" t="s">
        <v>104</v>
      </c>
      <c r="B32">
        <f t="shared" ref="B32:B33" ca="1" si="17">RANDBETWEEN(100,200)</f>
        <v>161</v>
      </c>
      <c r="C32">
        <f ca="1">RAND()-RAND()+0.5</f>
        <v>-4.860424724593948E-2</v>
      </c>
      <c r="D32">
        <f ca="1">C32-0.25</f>
        <v>-0.29860424724593948</v>
      </c>
      <c r="E32">
        <f t="shared" ref="E32:E34" ca="1" si="18">C32+0.25</f>
        <v>0.20139575275406052</v>
      </c>
    </row>
    <row r="33" spans="1:5" x14ac:dyDescent="0.2">
      <c r="A33" t="s">
        <v>105</v>
      </c>
      <c r="B33">
        <f t="shared" ca="1" si="17"/>
        <v>176</v>
      </c>
      <c r="C33">
        <f ca="1">RAND()-RAND()-0.2</f>
        <v>-0.21392554204459818</v>
      </c>
      <c r="D33">
        <f t="shared" ref="D33:D34" ca="1" si="19">C33-0.25</f>
        <v>-0.46392554204459818</v>
      </c>
      <c r="E33">
        <f t="shared" ca="1" si="18"/>
        <v>3.6074457955401817E-2</v>
      </c>
    </row>
    <row r="34" spans="1:5" x14ac:dyDescent="0.2">
      <c r="A34" t="s">
        <v>106</v>
      </c>
      <c r="B34">
        <f ca="1">RANDBETWEEN(100,200)</f>
        <v>192</v>
      </c>
      <c r="C34">
        <f ca="1">RAND()-RAND()-0.5</f>
        <v>-0.40008138185373399</v>
      </c>
      <c r="D34">
        <f t="shared" ca="1" si="19"/>
        <v>-0.65008138185373399</v>
      </c>
      <c r="E34">
        <f t="shared" ca="1" si="18"/>
        <v>-0.15008138185373399</v>
      </c>
    </row>
    <row r="36" spans="1:5" x14ac:dyDescent="0.2">
      <c r="A36" t="s">
        <v>116</v>
      </c>
    </row>
    <row r="37" spans="1:5" x14ac:dyDescent="0.2">
      <c r="A37" t="s">
        <v>104</v>
      </c>
      <c r="B37">
        <f t="shared" ref="B37:B38" ca="1" si="20">RANDBETWEEN(100,200)</f>
        <v>125</v>
      </c>
      <c r="C37">
        <f ca="1">RAND()-RAND()+0.5</f>
        <v>0.88117239592606222</v>
      </c>
      <c r="D37">
        <f ca="1">C37-0.25</f>
        <v>0.63117239592606222</v>
      </c>
      <c r="E37">
        <f t="shared" ref="E37:E39" ca="1" si="21">C37+0.25</f>
        <v>1.1311723959260622</v>
      </c>
    </row>
    <row r="38" spans="1:5" x14ac:dyDescent="0.2">
      <c r="A38" t="s">
        <v>105</v>
      </c>
      <c r="B38">
        <f t="shared" ca="1" si="20"/>
        <v>126</v>
      </c>
      <c r="C38">
        <f ca="1">RAND()-RAND()-0.2</f>
        <v>-0.52217122990391207</v>
      </c>
      <c r="D38">
        <f t="shared" ref="D38:D39" ca="1" si="22">C38-0.25</f>
        <v>-0.77217122990391207</v>
      </c>
      <c r="E38">
        <f t="shared" ca="1" si="21"/>
        <v>-0.27217122990391207</v>
      </c>
    </row>
    <row r="39" spans="1:5" x14ac:dyDescent="0.2">
      <c r="A39" t="s">
        <v>106</v>
      </c>
      <c r="B39">
        <f ca="1">RANDBETWEEN(100,200)</f>
        <v>159</v>
      </c>
      <c r="C39">
        <f ca="1">RAND()-RAND()-0.5</f>
        <v>-0.41401071139779622</v>
      </c>
      <c r="D39">
        <f t="shared" ca="1" si="22"/>
        <v>-0.66401071139779622</v>
      </c>
      <c r="E39">
        <f t="shared" ca="1" si="21"/>
        <v>-0.16401071139779622</v>
      </c>
    </row>
    <row r="41" spans="1:5" x14ac:dyDescent="0.2">
      <c r="A41" t="s">
        <v>117</v>
      </c>
    </row>
    <row r="42" spans="1:5" x14ac:dyDescent="0.2">
      <c r="A42" t="s">
        <v>104</v>
      </c>
      <c r="B42">
        <f t="shared" ref="B42:B43" ca="1" si="23">RANDBETWEEN(100,200)</f>
        <v>123</v>
      </c>
      <c r="C42">
        <f ca="1">RAND()-RAND()+0.5</f>
        <v>0.76779668055285488</v>
      </c>
      <c r="D42">
        <f ca="1">C42-0.25</f>
        <v>0.51779668055285488</v>
      </c>
      <c r="E42">
        <f t="shared" ref="E42:E44" ca="1" si="24">C42+0.25</f>
        <v>1.0177966805528549</v>
      </c>
    </row>
    <row r="43" spans="1:5" x14ac:dyDescent="0.2">
      <c r="A43" t="s">
        <v>105</v>
      </c>
      <c r="B43">
        <f t="shared" ca="1" si="23"/>
        <v>122</v>
      </c>
      <c r="C43">
        <f ca="1">RAND()-RAND()-0.2</f>
        <v>-0.23387642060362762</v>
      </c>
      <c r="D43">
        <f t="shared" ref="D43:D44" ca="1" si="25">C43-0.25</f>
        <v>-0.48387642060362762</v>
      </c>
      <c r="E43">
        <f t="shared" ca="1" si="24"/>
        <v>1.6123579396372378E-2</v>
      </c>
    </row>
    <row r="44" spans="1:5" x14ac:dyDescent="0.2">
      <c r="A44" t="s">
        <v>106</v>
      </c>
      <c r="B44">
        <f ca="1">RANDBETWEEN(100,200)</f>
        <v>105</v>
      </c>
      <c r="C44">
        <f ca="1">RAND()-RAND()-0.5</f>
        <v>-0.33371996367141166</v>
      </c>
      <c r="D44">
        <f t="shared" ca="1" si="25"/>
        <v>-0.58371996367141166</v>
      </c>
      <c r="E44">
        <f t="shared" ca="1" si="24"/>
        <v>-8.3719963671411657E-2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workbookViewId="0">
      <selection activeCell="D7" sqref="D7"/>
    </sheetView>
  </sheetViews>
  <sheetFormatPr baseColWidth="10" defaultColWidth="8.83203125" defaultRowHeight="15" x14ac:dyDescent="0.2"/>
  <cols>
    <col min="1" max="1" width="19.33203125" bestFit="1" customWidth="1"/>
  </cols>
  <sheetData>
    <row r="1" spans="1:5" x14ac:dyDescent="0.2">
      <c r="A1" t="s">
        <v>87</v>
      </c>
      <c r="B1" t="s">
        <v>88</v>
      </c>
      <c r="C1" t="s">
        <v>101</v>
      </c>
      <c r="D1" t="s">
        <v>102</v>
      </c>
      <c r="E1" t="s">
        <v>103</v>
      </c>
    </row>
    <row r="2" spans="1:5" x14ac:dyDescent="0.2">
      <c r="A2" t="s">
        <v>110</v>
      </c>
      <c r="B2">
        <f ca="1">SUM(B6,B10,B14,B18,B22,B26,B30,B34)</f>
        <v>1362</v>
      </c>
      <c r="C2">
        <f ca="1">AVERAGE(C6,C10,C14,C18,C22,C26,C30,C34)</f>
        <v>0.51179353836584984</v>
      </c>
      <c r="D2">
        <f ca="1">C2-0.1</f>
        <v>0.41179353836584986</v>
      </c>
      <c r="E2">
        <f ca="1">C2+0.1</f>
        <v>0.61179353836584982</v>
      </c>
    </row>
    <row r="3" spans="1:5" x14ac:dyDescent="0.2">
      <c r="A3" t="s">
        <v>111</v>
      </c>
      <c r="B3">
        <f ca="1">SUM(B7,B11,B15,B19,B23,B27,B31,B35)</f>
        <v>1231</v>
      </c>
      <c r="C3">
        <f ca="1">AVERAGE(C7,C11,C15,C19,C23,C27,C31,C35)</f>
        <v>-7.458399290180695E-2</v>
      </c>
      <c r="D3">
        <f t="shared" ref="D3" ca="1" si="0">C3-0.1</f>
        <v>-0.17458399290180696</v>
      </c>
      <c r="E3">
        <f t="shared" ref="E3" ca="1" si="1">C3+0.1</f>
        <v>2.5416007098193055E-2</v>
      </c>
    </row>
    <row r="5" spans="1:5" x14ac:dyDescent="0.2">
      <c r="A5" t="s">
        <v>113</v>
      </c>
    </row>
    <row r="6" spans="1:5" x14ac:dyDescent="0.2">
      <c r="A6" t="s">
        <v>104</v>
      </c>
      <c r="B6">
        <f ca="1">RANDBETWEEN(100,200)</f>
        <v>181</v>
      </c>
      <c r="C6">
        <f ca="1">RAND()-RAND()+0.5</f>
        <v>-2.0989058569442887E-2</v>
      </c>
      <c r="D6">
        <f ca="1">C6-0.25</f>
        <v>-0.27098905856944289</v>
      </c>
      <c r="E6">
        <f t="shared" ref="E6:E7" ca="1" si="2">C6+0.25</f>
        <v>0.22901094143055711</v>
      </c>
    </row>
    <row r="7" spans="1:5" x14ac:dyDescent="0.2">
      <c r="A7" t="s">
        <v>105</v>
      </c>
      <c r="B7">
        <f ca="1">RANDBETWEEN(100,200)</f>
        <v>130</v>
      </c>
      <c r="C7">
        <f ca="1">RAND()-RAND()-0.2</f>
        <v>0.40627205883406486</v>
      </c>
      <c r="D7">
        <f t="shared" ref="D7" ca="1" si="3">C7-0.25</f>
        <v>0.15627205883406486</v>
      </c>
      <c r="E7">
        <f t="shared" ca="1" si="2"/>
        <v>0.65627205883406492</v>
      </c>
    </row>
    <row r="9" spans="1:5" x14ac:dyDescent="0.2">
      <c r="A9" t="s">
        <v>114</v>
      </c>
    </row>
    <row r="10" spans="1:5" x14ac:dyDescent="0.2">
      <c r="A10" t="s">
        <v>104</v>
      </c>
      <c r="B10">
        <f t="shared" ref="B10:B11" ca="1" si="4">RANDBETWEEN(100,200)</f>
        <v>166</v>
      </c>
      <c r="C10">
        <f ca="1">RAND()-RAND()+0.5</f>
        <v>0.32598075480877009</v>
      </c>
      <c r="D10">
        <f ca="1">C10-0.25</f>
        <v>7.598075480877009E-2</v>
      </c>
      <c r="E10">
        <f t="shared" ref="E10:E11" ca="1" si="5">C10+0.25</f>
        <v>0.57598075480877009</v>
      </c>
    </row>
    <row r="11" spans="1:5" x14ac:dyDescent="0.2">
      <c r="A11" t="s">
        <v>105</v>
      </c>
      <c r="B11">
        <f t="shared" ca="1" si="4"/>
        <v>112</v>
      </c>
      <c r="C11">
        <f ca="1">RAND()-RAND()-0.2</f>
        <v>6.838881077255704E-2</v>
      </c>
      <c r="D11">
        <f t="shared" ref="D11" ca="1" si="6">C11-0.25</f>
        <v>-0.18161118922744296</v>
      </c>
      <c r="E11">
        <f t="shared" ca="1" si="5"/>
        <v>0.31838881077255704</v>
      </c>
    </row>
    <row r="13" spans="1:5" x14ac:dyDescent="0.2">
      <c r="A13" t="s">
        <v>115</v>
      </c>
    </row>
    <row r="14" spans="1:5" x14ac:dyDescent="0.2">
      <c r="A14" t="s">
        <v>104</v>
      </c>
      <c r="B14">
        <f t="shared" ref="B14:B15" ca="1" si="7">RANDBETWEEN(100,200)</f>
        <v>128</v>
      </c>
      <c r="C14">
        <f ca="1">RAND()-RAND()+0.5</f>
        <v>0.66500009437338015</v>
      </c>
      <c r="D14">
        <f ca="1">C14-0.25</f>
        <v>0.41500009437338015</v>
      </c>
      <c r="E14">
        <f t="shared" ref="E14:E15" ca="1" si="8">C14+0.25</f>
        <v>0.91500009437338015</v>
      </c>
    </row>
    <row r="15" spans="1:5" x14ac:dyDescent="0.2">
      <c r="A15" t="s">
        <v>105</v>
      </c>
      <c r="B15">
        <f t="shared" ca="1" si="7"/>
        <v>197</v>
      </c>
      <c r="C15">
        <f ca="1">RAND()-RAND()-0.2</f>
        <v>-0.10170630164100597</v>
      </c>
      <c r="D15">
        <f t="shared" ref="D15" ca="1" si="9">C15-0.25</f>
        <v>-0.35170630164100597</v>
      </c>
      <c r="E15">
        <f t="shared" ca="1" si="8"/>
        <v>0.14829369835899403</v>
      </c>
    </row>
    <row r="17" spans="1:5" x14ac:dyDescent="0.2">
      <c r="A17" t="s">
        <v>107</v>
      </c>
    </row>
    <row r="18" spans="1:5" x14ac:dyDescent="0.2">
      <c r="A18" t="s">
        <v>104</v>
      </c>
      <c r="B18">
        <f t="shared" ref="B18:B19" ca="1" si="10">RANDBETWEEN(100,200)</f>
        <v>172</v>
      </c>
      <c r="C18">
        <f ca="1">RAND()-RAND()+0.5</f>
        <v>0.58198116779684739</v>
      </c>
      <c r="D18">
        <f ca="1">C18-0.25</f>
        <v>0.33198116779684739</v>
      </c>
      <c r="E18">
        <f t="shared" ref="E18:E19" ca="1" si="11">C18+0.25</f>
        <v>0.83198116779684739</v>
      </c>
    </row>
    <row r="19" spans="1:5" x14ac:dyDescent="0.2">
      <c r="A19" t="s">
        <v>105</v>
      </c>
      <c r="B19">
        <f t="shared" ca="1" si="10"/>
        <v>192</v>
      </c>
      <c r="C19">
        <f ca="1">RAND()-RAND()-0.2</f>
        <v>-0.42468499159072054</v>
      </c>
      <c r="D19">
        <f t="shared" ref="D19" ca="1" si="12">C19-0.25</f>
        <v>-0.67468499159072048</v>
      </c>
      <c r="E19">
        <f t="shared" ca="1" si="11"/>
        <v>-0.17468499159072054</v>
      </c>
    </row>
    <row r="21" spans="1:5" x14ac:dyDescent="0.2">
      <c r="A21" t="s">
        <v>108</v>
      </c>
    </row>
    <row r="22" spans="1:5" x14ac:dyDescent="0.2">
      <c r="A22" t="s">
        <v>104</v>
      </c>
      <c r="B22">
        <f t="shared" ref="B22:B23" ca="1" si="13">RANDBETWEEN(100,200)</f>
        <v>192</v>
      </c>
      <c r="C22">
        <f ca="1">RAND()-RAND()+0.5</f>
        <v>0.29586259254153702</v>
      </c>
      <c r="D22">
        <f ca="1">C22-0.25</f>
        <v>4.5862592541537017E-2</v>
      </c>
      <c r="E22">
        <f t="shared" ref="E22:E23" ca="1" si="14">C22+0.25</f>
        <v>0.54586259254153702</v>
      </c>
    </row>
    <row r="23" spans="1:5" x14ac:dyDescent="0.2">
      <c r="A23" t="s">
        <v>105</v>
      </c>
      <c r="B23">
        <f t="shared" ca="1" si="13"/>
        <v>117</v>
      </c>
      <c r="C23">
        <f ca="1">RAND()-RAND()-0.2</f>
        <v>-2.5027546202941842E-2</v>
      </c>
      <c r="D23">
        <f t="shared" ref="D23" ca="1" si="15">C23-0.25</f>
        <v>-0.27502754620294184</v>
      </c>
      <c r="E23">
        <f t="shared" ca="1" si="14"/>
        <v>0.22497245379705816</v>
      </c>
    </row>
    <row r="25" spans="1:5" x14ac:dyDescent="0.2">
      <c r="A25" t="s">
        <v>109</v>
      </c>
    </row>
    <row r="26" spans="1:5" x14ac:dyDescent="0.2">
      <c r="A26" t="s">
        <v>104</v>
      </c>
      <c r="B26">
        <f t="shared" ref="B26:B27" ca="1" si="16">RANDBETWEEN(100,200)</f>
        <v>165</v>
      </c>
      <c r="C26">
        <f ca="1">RAND()-RAND()+0.5</f>
        <v>0.58818368367093854</v>
      </c>
      <c r="D26">
        <f ca="1">C26-0.25</f>
        <v>0.33818368367093854</v>
      </c>
      <c r="E26">
        <f t="shared" ref="E26:E27" ca="1" si="17">C26+0.25</f>
        <v>0.83818368367093854</v>
      </c>
    </row>
    <row r="27" spans="1:5" x14ac:dyDescent="0.2">
      <c r="A27" t="s">
        <v>105</v>
      </c>
      <c r="B27">
        <f t="shared" ca="1" si="16"/>
        <v>141</v>
      </c>
      <c r="C27">
        <f ca="1">RAND()-RAND()-0.2</f>
        <v>0.14263571516083279</v>
      </c>
      <c r="D27">
        <f t="shared" ref="D27" ca="1" si="18">C27-0.25</f>
        <v>-0.10736428483916721</v>
      </c>
      <c r="E27">
        <f t="shared" ca="1" si="17"/>
        <v>0.39263571516083279</v>
      </c>
    </row>
    <row r="29" spans="1:5" x14ac:dyDescent="0.2">
      <c r="A29" t="s">
        <v>116</v>
      </c>
    </row>
    <row r="30" spans="1:5" x14ac:dyDescent="0.2">
      <c r="A30" t="s">
        <v>104</v>
      </c>
      <c r="B30">
        <f t="shared" ref="B30:B31" ca="1" si="19">RANDBETWEEN(100,200)</f>
        <v>179</v>
      </c>
      <c r="C30">
        <f ca="1">RAND()-RAND()+0.5</f>
        <v>0.99652677157035086</v>
      </c>
      <c r="D30">
        <f ca="1">C30-0.25</f>
        <v>0.74652677157035086</v>
      </c>
      <c r="E30">
        <f t="shared" ref="E30:E31" ca="1" si="20">C30+0.25</f>
        <v>1.246526771570351</v>
      </c>
    </row>
    <row r="31" spans="1:5" x14ac:dyDescent="0.2">
      <c r="A31" t="s">
        <v>105</v>
      </c>
      <c r="B31">
        <f t="shared" ca="1" si="19"/>
        <v>149</v>
      </c>
      <c r="C31">
        <f ca="1">RAND()-RAND()-0.2</f>
        <v>-0.30995037173418744</v>
      </c>
      <c r="D31">
        <f t="shared" ref="D31" ca="1" si="21">C31-0.25</f>
        <v>-0.55995037173418738</v>
      </c>
      <c r="E31">
        <f t="shared" ca="1" si="20"/>
        <v>-5.9950371734187435E-2</v>
      </c>
    </row>
    <row r="33" spans="1:5" x14ac:dyDescent="0.2">
      <c r="A33" t="s">
        <v>117</v>
      </c>
    </row>
    <row r="34" spans="1:5" x14ac:dyDescent="0.2">
      <c r="A34" t="s">
        <v>104</v>
      </c>
      <c r="B34">
        <f t="shared" ref="B34:B35" ca="1" si="22">RANDBETWEEN(100,200)</f>
        <v>179</v>
      </c>
      <c r="C34">
        <f ca="1">RAND()-RAND()+0.5</f>
        <v>0.6618023007344177</v>
      </c>
      <c r="D34">
        <f ca="1">C34-0.25</f>
        <v>0.4118023007344177</v>
      </c>
      <c r="E34">
        <f t="shared" ref="E34:E35" ca="1" si="23">C34+0.25</f>
        <v>0.9118023007344177</v>
      </c>
    </row>
    <row r="35" spans="1:5" x14ac:dyDescent="0.2">
      <c r="A35" t="s">
        <v>105</v>
      </c>
      <c r="B35">
        <f t="shared" ca="1" si="22"/>
        <v>193</v>
      </c>
      <c r="C35">
        <f ca="1">RAND()-RAND()-0.2</f>
        <v>-0.35259931681305451</v>
      </c>
      <c r="D35">
        <f t="shared" ref="D35" ca="1" si="24">C35-0.25</f>
        <v>-0.60259931681305456</v>
      </c>
      <c r="E35">
        <f t="shared" ca="1" si="23"/>
        <v>-0.10259931681305451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6"/>
  <sheetViews>
    <sheetView workbookViewId="0">
      <selection activeCell="F12" sqref="F12"/>
    </sheetView>
  </sheetViews>
  <sheetFormatPr baseColWidth="10" defaultColWidth="8.83203125" defaultRowHeight="15" x14ac:dyDescent="0.2"/>
  <cols>
    <col min="1" max="1" width="19.33203125" bestFit="1" customWidth="1"/>
  </cols>
  <sheetData>
    <row r="1" spans="1:5" x14ac:dyDescent="0.2">
      <c r="A1" t="s">
        <v>87</v>
      </c>
      <c r="B1" t="s">
        <v>88</v>
      </c>
      <c r="C1" t="s">
        <v>101</v>
      </c>
      <c r="D1" t="s">
        <v>102</v>
      </c>
      <c r="E1" t="s">
        <v>103</v>
      </c>
    </row>
    <row r="2" spans="1:5" x14ac:dyDescent="0.2">
      <c r="A2" t="s">
        <v>112</v>
      </c>
      <c r="B2">
        <f ca="1">SUM(B5,B8,B11,B14,B17,B20,B23,B26)</f>
        <v>1113</v>
      </c>
      <c r="C2">
        <f ca="1">AVERAGE(C5,C8,C11,C14,C17,C20,C23,C26)</f>
        <v>0.17099714076892422</v>
      </c>
      <c r="D2">
        <f t="shared" ref="D2" ca="1" si="0">C2-0.1</f>
        <v>7.0997140768924216E-2</v>
      </c>
      <c r="E2">
        <f t="shared" ref="E2" ca="1" si="1">C2+0.1</f>
        <v>0.27099714076892423</v>
      </c>
    </row>
    <row r="4" spans="1:5" x14ac:dyDescent="0.2">
      <c r="A4" t="s">
        <v>113</v>
      </c>
    </row>
    <row r="5" spans="1:5" x14ac:dyDescent="0.2">
      <c r="A5" t="s">
        <v>106</v>
      </c>
      <c r="B5">
        <f ca="1">RANDBETWEEN(100,200)</f>
        <v>172</v>
      </c>
      <c r="C5">
        <f ca="1">RAND()-RAND()+0.3</f>
        <v>3.1596486878261998E-3</v>
      </c>
      <c r="D5">
        <f t="shared" ref="D5" ca="1" si="2">C5-0.25</f>
        <v>-0.2468403513121738</v>
      </c>
      <c r="E5">
        <f t="shared" ref="E5" ca="1" si="3">C5+0.25</f>
        <v>0.2531596486878262</v>
      </c>
    </row>
    <row r="7" spans="1:5" x14ac:dyDescent="0.2">
      <c r="A7" t="s">
        <v>114</v>
      </c>
    </row>
    <row r="8" spans="1:5" x14ac:dyDescent="0.2">
      <c r="A8" t="s">
        <v>106</v>
      </c>
      <c r="B8">
        <f ca="1">RANDBETWEEN(100,200)</f>
        <v>156</v>
      </c>
      <c r="C8">
        <f ca="1">RAND()-RAND()+0.3</f>
        <v>0.11598723773365344</v>
      </c>
      <c r="D8">
        <f t="shared" ref="D8" ca="1" si="4">C8-0.25</f>
        <v>-0.13401276226634656</v>
      </c>
      <c r="E8">
        <f t="shared" ref="E8" ca="1" si="5">C8+0.25</f>
        <v>0.36598723773365344</v>
      </c>
    </row>
    <row r="10" spans="1:5" x14ac:dyDescent="0.2">
      <c r="A10" t="s">
        <v>115</v>
      </c>
    </row>
    <row r="11" spans="1:5" x14ac:dyDescent="0.2">
      <c r="A11" t="s">
        <v>106</v>
      </c>
      <c r="B11">
        <f ca="1">RANDBETWEEN(100,200)</f>
        <v>113</v>
      </c>
      <c r="C11">
        <f ca="1">RAND()-RAND()+0.3</f>
        <v>-9.6852811589781485E-2</v>
      </c>
      <c r="D11">
        <f t="shared" ref="D11" ca="1" si="6">C11-0.25</f>
        <v>-0.34685281158978148</v>
      </c>
      <c r="E11">
        <f t="shared" ref="E11" ca="1" si="7">C11+0.25</f>
        <v>0.15314718841021852</v>
      </c>
    </row>
    <row r="13" spans="1:5" x14ac:dyDescent="0.2">
      <c r="A13" t="s">
        <v>107</v>
      </c>
    </row>
    <row r="14" spans="1:5" x14ac:dyDescent="0.2">
      <c r="A14" t="s">
        <v>106</v>
      </c>
      <c r="B14">
        <f ca="1">RANDBETWEEN(100,200)</f>
        <v>103</v>
      </c>
      <c r="C14">
        <f ca="1">RAND()-RAND()+0.3</f>
        <v>0.6784145494432543</v>
      </c>
      <c r="D14">
        <f t="shared" ref="D14" ca="1" si="8">C14-0.25</f>
        <v>0.4284145494432543</v>
      </c>
      <c r="E14">
        <f t="shared" ref="E14" ca="1" si="9">C14+0.25</f>
        <v>0.9284145494432543</v>
      </c>
    </row>
    <row r="16" spans="1:5" x14ac:dyDescent="0.2">
      <c r="A16" t="s">
        <v>108</v>
      </c>
    </row>
    <row r="17" spans="1:5" x14ac:dyDescent="0.2">
      <c r="A17" t="s">
        <v>106</v>
      </c>
      <c r="B17">
        <f ca="1">RANDBETWEEN(100,200)</f>
        <v>178</v>
      </c>
      <c r="C17">
        <f ca="1">RAND()-RAND()+0.3</f>
        <v>3.7709339704650569E-2</v>
      </c>
      <c r="D17">
        <f t="shared" ref="D17" ca="1" si="10">C17-0.25</f>
        <v>-0.21229066029534943</v>
      </c>
      <c r="E17">
        <f t="shared" ref="E17" ca="1" si="11">C17+0.25</f>
        <v>0.28770933970465057</v>
      </c>
    </row>
    <row r="19" spans="1:5" x14ac:dyDescent="0.2">
      <c r="A19" t="s">
        <v>109</v>
      </c>
    </row>
    <row r="20" spans="1:5" x14ac:dyDescent="0.2">
      <c r="A20" t="s">
        <v>106</v>
      </c>
      <c r="B20">
        <f ca="1">RANDBETWEEN(100,200)</f>
        <v>147</v>
      </c>
      <c r="C20">
        <f ca="1">RAND()-RAND()+0.3</f>
        <v>-0.33316569325636941</v>
      </c>
      <c r="D20">
        <f t="shared" ref="D20" ca="1" si="12">C20-0.25</f>
        <v>-0.58316569325636936</v>
      </c>
      <c r="E20">
        <f t="shared" ref="E20" ca="1" si="13">C20+0.25</f>
        <v>-8.3165693256369411E-2</v>
      </c>
    </row>
    <row r="22" spans="1:5" x14ac:dyDescent="0.2">
      <c r="A22" t="s">
        <v>116</v>
      </c>
    </row>
    <row r="23" spans="1:5" x14ac:dyDescent="0.2">
      <c r="A23" t="s">
        <v>106</v>
      </c>
      <c r="B23">
        <f ca="1">RANDBETWEEN(100,200)</f>
        <v>115</v>
      </c>
      <c r="C23">
        <f ca="1">RAND()-RAND()+0.3</f>
        <v>0.74660880866805579</v>
      </c>
      <c r="D23">
        <f t="shared" ref="D23" ca="1" si="14">C23-0.25</f>
        <v>0.49660880866805579</v>
      </c>
      <c r="E23">
        <f t="shared" ref="E23" ca="1" si="15">C23+0.25</f>
        <v>0.99660880866805579</v>
      </c>
    </row>
    <row r="25" spans="1:5" x14ac:dyDescent="0.2">
      <c r="A25" t="s">
        <v>117</v>
      </c>
    </row>
    <row r="26" spans="1:5" x14ac:dyDescent="0.2">
      <c r="A26" t="s">
        <v>106</v>
      </c>
      <c r="B26">
        <f ca="1">RANDBETWEEN(100,200)</f>
        <v>129</v>
      </c>
      <c r="C26">
        <f ca="1">RAND()-RAND()+0.3</f>
        <v>0.21611604676010415</v>
      </c>
      <c r="D26">
        <f t="shared" ref="D26" ca="1" si="16">C26-0.25</f>
        <v>-3.3883953239895848E-2</v>
      </c>
      <c r="E26">
        <f t="shared" ref="E26" ca="1" si="17">C26+0.25</f>
        <v>0.46611604676010415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testdata_W&amp;E'92_origstim</vt:lpstr>
      <vt:lpstr>testdata_W&amp;E'92_singlelab</vt:lpstr>
      <vt:lpstr>testdata_Wegner'87_singlelab</vt:lpstr>
      <vt:lpstr>testdata_W&amp;E'92_multilab</vt:lpstr>
      <vt:lpstr>testdata_Wegner'87_multilab</vt:lpstr>
      <vt:lpstr>forestplot</vt:lpstr>
      <vt:lpstr>forestplotd1d2</vt:lpstr>
      <vt:lpstr>forestplotd3</vt:lpstr>
    </vt:vector>
  </TitlesOfParts>
  <Company>James Cook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Kaiqin Chan</dc:creator>
  <cp:lastModifiedBy>Hussey, Ian (PSY)</cp:lastModifiedBy>
  <dcterms:created xsi:type="dcterms:W3CDTF">2021-09-08T01:10:42Z</dcterms:created>
  <dcterms:modified xsi:type="dcterms:W3CDTF">2024-03-23T16:49:34Z</dcterms:modified>
</cp:coreProperties>
</file>